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20"/>
  </bookViews>
  <sheets>
    <sheet name="README" sheetId="2" state="visible" r:id="rId2"/>
    <sheet name="Run_Metadata" sheetId="3" state="visible" r:id="rId3"/>
    <sheet name="Scenario_Catalog" sheetId="19" state="visible" r:id="rId19"/>
    <sheet name="Cascade_Assumptions" sheetId="20" state="visible" r:id="rId20"/>
    <sheet name="Cascade_Trajectory" sheetId="21" state="visible" r:id="rId21"/>
    <sheet name="Cascade_QA" sheetId="22" state="visible" r:id="rId22"/>
    <sheet name="Selected_Interventions" sheetId="4" state="visible" r:id="rId4"/>
    <sheet name="Cost_Components" sheetId="5" state="visible" r:id="rId5"/>
    <sheet name="Annual_Mortality" sheetId="6" state="visible" r:id="rId6"/>
    <sheet name="Health_Outcomes" sheetId="10" state="visible" r:id="rId10"/>
    <sheet name="CVD_40q30" sheetId="14" state="visible" r:id="rId14"/>
    <sheet name="CVD_40q30_Age" sheetId="13" state="visible" r:id="rId13"/>
    <sheet name="Annual_Cost" sheetId="7" state="visible" r:id="rId7"/>
    <sheet name="Budget_Impact" sheetId="8" state="visible" r:id="rId8"/>
    <sheet name="Cost_Effectiveness" sheetId="9" state="visible" r:id="rId9"/>
    <sheet name="Economic_Value" sheetId="11" state="visible" r:id="rId11"/>
    <sheet name="Benefit_Cost" sheetId="12" state="visible" r:id="rId12"/>
    <sheet name="QA_Checks" sheetId="16" state="visible" r:id="rId16"/>
    <sheet name="Input_Diagnostic" sheetId="15" state="visible" r:id="rId15"/>
    <sheet name="Methods_and_Sources" sheetId="17" state="visible" r:id="rId17"/>
    <sheet name="Calculation_Assumptions" sheetId="1" state="visible" r:id="rId1"/>
    <sheet name="Calculation_Map" sheetId="18" state="visible" r:id="rId18"/>
  </sheets>
  <calcPr calcId="191029" fullCalcOnLoad="1"/>
</workbook>
</file>

<file path=xl/sharedStrings.xml><?xml version="1.0" encoding="utf-8"?>
<sst xmlns="http://schemas.openxmlformats.org/spreadsheetml/2006/main" count="712" uniqueCount="712">
  <si>
    <t xml:space="preserve">parameter_id</t>
  </si>
  <si>
    <t xml:space="preserve">value</t>
  </si>
  <si>
    <t xml:space="preserve">unit</t>
  </si>
  <si>
    <t xml:space="preserve">role</t>
  </si>
  <si>
    <t xml:space="preserve">description</t>
  </si>
  <si>
    <t xml:space="preserve">source</t>
  </si>
  <si>
    <t xml:space="preserve">analysis_start_year</t>
  </si>
  <si>
    <t xml:space="preserve">analysis_end_year</t>
  </si>
  <si>
    <t xml:space="preserve">baseline_scenario_id</t>
  </si>
  <si>
    <t xml:space="preserve">cost_discount_rate</t>
  </si>
  <si>
    <t xml:space="preserve">cost_price_year</t>
  </si>
  <si>
    <t xml:space="preserve">currency</t>
  </si>
  <si>
    <t xml:space="preserve">economic_perspective</t>
  </si>
  <si>
    <t xml:space="preserve">scale_up_shape</t>
  </si>
  <si>
    <t xml:space="preserve">downstream_cost_offsets</t>
  </si>
  <si>
    <t xml:space="preserve">formula_tolerance</t>
  </si>
  <si>
    <t xml:space="preserve">stock_flow_residual_limit</t>
  </si>
  <si>
    <t xml:space="preserve">trace_precision</t>
  </si>
  <si>
    <t xml:space="preserve">r_stock_flow_max_residual</t>
  </si>
  <si>
    <t xml:space="preserve">r_background_distinct_count</t>
  </si>
  <si>
    <t xml:space="preserve">r_negative_state_count</t>
  </si>
  <si>
    <t xml:space="preserve">r_deaths_averted_anchor</t>
  </si>
  <si>
    <t xml:space="preserve">r_disc_incremental_cost_anchor</t>
  </si>
  <si>
    <t xml:space="preserve">r_cost_per_death_anchor</t>
  </si>
  <si>
    <t xml:space="preserve">qa_anchor_scenario</t>
  </si>
  <si>
    <t xml:space="preserve">bca_base_year</t>
  </si>
  <si>
    <t xml:space="preserve">bca_discount_rate_primary</t>
  </si>
  <si>
    <t xml:space="preserve">bca_discount_rate_sensitivity_3pct</t>
  </si>
  <si>
    <t xml:space="preserve">bca_discount_rate_sensitivity_2x_gdp_pc_growth</t>
  </si>
  <si>
    <t xml:space="preserve">vsl_us_gni_ratio</t>
  </si>
  <si>
    <t xml:space="preserve">vsl_income_elasticity_preferred</t>
  </si>
  <si>
    <t xml:space="preserve">vsl_floor_gni_multiple</t>
  </si>
  <si>
    <t xml:space="preserve">vsl_sensitivity_gni_multiple_100</t>
  </si>
  <si>
    <t xml:space="preserve">vsl_sensitivity_gni_multiple_160</t>
  </si>
  <si>
    <t xml:space="preserve">vsly_adult_min_age</t>
  </si>
  <si>
    <t xml:space="preserve">vsly_adult_max_age</t>
  </si>
  <si>
    <t xml:space="preserve">bca_currency_basis</t>
  </si>
  <si>
    <t xml:space="preserve">bca_price_year</t>
  </si>
  <si>
    <t xml:space="preserve">cost_to_bca_currency_factor</t>
  </si>
  <si>
    <t xml:space="preserve">bca_standing</t>
  </si>
  <si>
    <t xml:space="preserve">bca_scope</t>
  </si>
  <si>
    <t xml:space="preserve">bca_discount_rate_sensitivity_2x_gdp_pc_growth_computed</t>
  </si>
  <si>
    <t xml:space="preserve">year</t>
  </si>
  <si>
    <t xml:space="preserve">formula control</t>
  </si>
  <si>
    <t xml:space="preserve">First model and discount year</t>
  </si>
  <si>
    <t xml:space="preserve">indonesia_model_inputs.xlsx / Model 09</t>
  </si>
  <si>
    <t xml:space="preserve">Last model year</t>
  </si>
  <si>
    <t xml:space="preserve">scenario id</t>
  </si>
  <si>
    <t xml:space="preserve">Comparator used for health and cost calculations</t>
  </si>
  <si>
    <t xml:space="preserve">Model 04 / Model 09</t>
  </si>
  <si>
    <t xml:space="preserve">proportion/year</t>
  </si>
  <si>
    <t xml:space="preserve">Annual discount rate applied to costs only</t>
  </si>
  <si>
    <t xml:space="preserve">USD year</t>
  </si>
  <si>
    <t xml:space="preserve">metadata</t>
  </si>
  <si>
    <t xml:space="preserve">Reporting price year</t>
  </si>
  <si>
    <t xml:space="preserve">indonesia_model_inputs.xlsx</t>
  </si>
  <si>
    <t xml:space="preserve">Workbook reporting currency</t>
  </si>
  <si>
    <t xml:space="preserve">text</t>
  </si>
  <si>
    <t xml:space="preserve">Economic evaluation perspective</t>
  </si>
  <si>
    <t xml:space="preserve">Coverage increases linearly from start to target year</t>
  </si>
  <si>
    <t xml:space="preserve">0/1 flag</t>
  </si>
  <si>
    <t xml:space="preserve">scope</t>
  </si>
  <si>
    <t xml:space="preserve">Downstream disease-cost offsets excluded at this stage</t>
  </si>
  <si>
    <t xml:space="preserve">USD/count</t>
  </si>
  <si>
    <t xml:space="preserve">QA control</t>
  </si>
  <si>
    <t xml:space="preserve">Absolute reconciliation tolerance (internal Excel checks)</t>
  </si>
  <si>
    <t xml:space="preserve">Workbook QA rule</t>
  </si>
  <si>
    <t xml:space="preserve">persons</t>
  </si>
  <si>
    <t xml:space="preserve">Review threshold used by the R stock/flow check</t>
  </si>
  <si>
    <t xml:space="preserve">Model 09</t>
  </si>
  <si>
    <t xml:space="preserve">decimal places</t>
  </si>
  <si>
    <t xml:space="preserve">audit note</t>
  </si>
  <si>
    <t xml:space="preserve">Exported model traces are rounded; R quantity helpers keep full precision</t>
  </si>
  <si>
    <t xml:space="preserve">Model 09 export rule</t>
  </si>
  <si>
    <t xml:space="preserve">R QA source</t>
  </si>
  <si>
    <t xml:space="preserve">Maximum stock/flow residual computed in R before export</t>
  </si>
  <si>
    <t xml:space="preserve">Model 09 current run</t>
  </si>
  <si>
    <t xml:space="preserve">count</t>
  </si>
  <si>
    <t xml:space="preserve">Max distinct all-cause mortality values across causes (R)</t>
  </si>
  <si>
    <t xml:space="preserve">Count of impossible negative state/flow values (R)</t>
  </si>
  <si>
    <t xml:space="preserve">deaths</t>
  </si>
  <si>
    <t xml:space="preserve">R reconciliation source</t>
  </si>
  <si>
    <t xml:space="preserve">R engine deaths averted for the anchor scenario</t>
  </si>
  <si>
    <t xml:space="preserve">Model 09 current run (R CEA)</t>
  </si>
  <si>
    <t xml:space="preserve">USD</t>
  </si>
  <si>
    <t xml:space="preserve">R engine discounted incremental cost for the anchor scenario</t>
  </si>
  <si>
    <t xml:space="preserve">USD/death</t>
  </si>
  <si>
    <t xml:space="preserve">R engine USD per death averted for the anchor scenario</t>
  </si>
  <si>
    <t xml:space="preserve">Scenario used for the Excel-vs-R reconciliation checks</t>
  </si>
  <si>
    <t xml:space="preserve">BCA control</t>
  </si>
  <si>
    <t xml:space="preserve">BCA base year (benefits and costs discounted to this year)</t>
  </si>
  <si>
    <t xml:space="preserve">Robinson et al. 2019 Reference Case Guidelines (via input workbook / Model 08)</t>
  </si>
  <si>
    <t xml:space="preserve">Primary real discount rate for BOTH benefits and costs</t>
  </si>
  <si>
    <t xml:space="preserve">Standardized sensitivity discount rate (3%)</t>
  </si>
  <si>
    <t xml:space="preserve">Standardized sensitivity: 2x near-term real GDP-pc growth (workbook default)</t>
  </si>
  <si>
    <t xml:space="preserve">ratio (VSL/GNIpc)</t>
  </si>
  <si>
    <t xml:space="preserve">US reference VSL-to-GNI-per-capita ratio</t>
  </si>
  <si>
    <t xml:space="preserve">elasticity</t>
  </si>
  <si>
    <t xml:space="preserve">Income elasticity of VSL (preferred)</t>
  </si>
  <si>
    <t xml:space="preserve">Floor: VSL not below this multiple of GNI per capita</t>
  </si>
  <si>
    <t xml:space="preserve">Sensitivity: VSL = 100x GNI per capita</t>
  </si>
  <si>
    <t xml:space="preserve">Sensitivity: VSL = 160x GNI per capita</t>
  </si>
  <si>
    <t xml:space="preserve">age (years)</t>
  </si>
  <si>
    <t xml:space="preserve">Working-age lower bound (VSLY avg-adult-age)</t>
  </si>
  <si>
    <t xml:space="preserve">Working-age upper bound (VSLY avg-adult-age)</t>
  </si>
  <si>
    <t xml:space="preserve">Common monetary basis for benefits and costs</t>
  </si>
  <si>
    <t xml:space="preserve">Real price year for benefits and costs</t>
  </si>
  <si>
    <t xml:space="preserve">int$ per market US$</t>
  </si>
  <si>
    <t xml:space="preserve">Market-USD cost -&gt; PPP int$ multiplier</t>
  </si>
  <si>
    <t xml:space="preserve">BCA standing / perspective</t>
  </si>
  <si>
    <t xml:space="preserve">BCA scope (partial mortality-benefit vs full societal)</t>
  </si>
  <si>
    <t xml:space="preserve">2x near-term real GDP-pc growth recomputed from SSP2 by Model 08</t>
  </si>
  <si>
    <t xml:space="preserve">baseline</t>
  </si>
  <si>
    <t xml:space="preserve">health_system</t>
  </si>
  <si>
    <t xml:space="preserve">piecewise_linear</t>
  </si>
  <si>
    <t xml:space="preserve">S_70_30_30_TO_70_70_70</t>
  </si>
  <si>
    <t xml:space="preserve">PPP_international_dollars</t>
  </si>
  <si>
    <t xml:space="preserve">societal</t>
  </si>
  <si>
    <t xml:space="preserve">partial_mortality_benefit</t>
  </si>
  <si>
    <t xml:space="preserve">Indonesia NCD FAIR Choices - cost &amp; value workbook (formula edition)</t>
  </si>
  <si>
    <t xml:space="preserve">section</t>
  </si>
  <si>
    <t xml:space="preserve">detail</t>
  </si>
  <si>
    <t xml:space="preserve">Purpose</t>
  </si>
  <si>
    <t xml:space="preserve">Costing, budget impact and mortality-based cost-effectiveness for the FAIR Choices CVD interventions selected in indonesia_model_inputs.xlsx.</t>
  </si>
  <si>
    <t xml:space="preserve">How to read</t>
  </si>
  <si>
    <t xml:space="preserve">Grey cells are R-generated source values; light-blue cells are LIVE Excel formulas; pale-yellow cells on Calculation_Assumptions are editable controls. Change a yellow control and the blue results recompute. Calculation_Map lists every dependency.</t>
  </si>
  <si>
    <t xml:space="preserve">Scenarios</t>
  </si>
  <si>
    <t xml:space="preserve">Baseline + one scenario per selected valid intervention + a combined 'all' scenario. Membership derives only from the workbook selections (Model 04).</t>
  </si>
  <si>
    <t xml:space="preserve">Baseline pairing</t>
  </si>
  <si>
    <t xml:space="preserve">Deaths averted = baseline deaths - scenario deaths, matched at location x year x age x sex x cause (aggregated to year x cause here).</t>
  </si>
  <si>
    <t xml:space="preserve">CVD 40q30</t>
  </si>
  <si>
    <t xml:space="preserve">CVD_40q30 / CVD_40q30_Age give the period probability of dying from the six CVD causes (ihd, istroke, hstroke, hhd, rhd, cmd) between exact ages 30 and 70, per scenario/HTN-target/year. The life table (m_x, q_x, l_x, l_{x+1}) is live Excel formula off grey CVD deaths and de-duplicated population; cvd_40q30 = 100*(1-l_70/l_30) reconciles to the Model 07 value. cvd_40q30 and the absolute reduction are PERCENT on a 0-100 scale (format 0.000), NOT Excel's fractional %.</t>
  </si>
  <si>
    <t xml:space="preserve">Model aggregates</t>
  </si>
  <si>
    <t xml:space="preserve">Annual_Mortality carries the R health aggregates (cases, deaths, baseline); Annual_Cost carries the full-precision R population quantity before the PIN fraction. The 157k-row state trace stays in the companion R workbook.</t>
  </si>
  <si>
    <t xml:space="preserve">Costing</t>
  </si>
  <si>
    <t xml:space="preserve">annual_cost = population_in_need x coverage(t) x frequency x unit_cost. PIN measure maps 'all'-&gt;eligible population, 'prevalence'-&gt;sick stock, 'incidence'-&gt;new cases.</t>
  </si>
  <si>
    <t xml:space="preserve">Shared costs</t>
  </si>
  <si>
    <t xml:space="preserve">Components flagged 'shared-count-once' (cost_join_key ...__C_SHARED) are counted once at intervention level, never once per affected cause (see Annual_Cost shared_duplicate_count and QA).</t>
  </si>
  <si>
    <t xml:space="preserve">Budget impact</t>
  </si>
  <si>
    <t xml:space="preserve">Budget impact reports UNDISCOUNTED baseline, scenario, incremental and cumulative incremental cost. Discounted costs are separate columns. The four *_cost_per_capita columns are LIVE formulae (= that year's cost / national_population); national_population (grey R-source) is each year's national Indonesia population from out_model/model_output_Indonesia_htncov2_aspirational.rds (baseline series, de-duplicated across cause). Annual_Cost carries the matching per-component per-capita formulae, and Cost_Effectiveness carries the scenario mean annual incremental/discounted per-capita (2026-2050).</t>
  </si>
  <si>
    <t xml:space="preserve">Cost-effectiveness</t>
  </si>
  <si>
    <t xml:space="preserve">USD per death averted = cumulative discounted incremental cost / cumulative (undiscounted) deaths averted over the horizon. Not a DALY-based ICER.</t>
  </si>
  <si>
    <t xml:space="preserve">Economic value</t>
  </si>
  <si>
    <t xml:space="preserve">Reference-Case benefit-cost analysis (2019 Robinson et al. Guidelines): Health_Outcomes (Model 07 averted deaths/YLL/YLD/DALY &amp; life-years gained), Economic_Value (Model 08 VSL/VSLY source with LIVE VSL-transfer, floor, VSLY, discount and PV-benefit formulas) and Benefit_Cost (PV benefits, PV costs converted to the benefit basis, net benefit and BCR). Preferred VSL = MAX(160xGNIpc_US x (GNIpc_IDN/GNIpc_US)^1.5, 20xGNIpc_IDN); 100x/160x GNI sensitivities. PARTIAL mortality-benefit BCA -- not a full societal BCA, and distinct from Cost_Effectiveness (USD per death averted).</t>
  </si>
  <si>
    <t xml:space="preserve">QA &amp; reconciliation</t>
  </si>
  <si>
    <t xml:space="preserve">QA_Checks recomputes each invariant in Excel and reconciles the Excel cost-effectiveness headline against the R engine values stored on Calculation_Assumptions; BCA checks cover the VSL floor, reference-case parameters, price-year basis and Benefit_Cost scenario coverage. PASS/FAIL/REVIEW are conditionally formatted.</t>
  </si>
  <si>
    <t xml:space="preserve">Colour legend</t>
  </si>
  <si>
    <t xml:space="preserve">Header dark-blue; formula-derived light-blue; R source/helper grey; editable controls pale-yellow; PASS green; FAIL/REVIEW red/orange.</t>
  </si>
  <si>
    <t xml:space="preserve">Companion workbook</t>
  </si>
  <si>
    <t xml:space="preserve">The full R-value workbook (indonesia_model_cost_value.xlsx) keeps the detailed Model_State_Trace and Background_Mortality tables for independent review.</t>
  </si>
  <si>
    <t xml:space="preserve">Deferred</t>
  </si>
  <si>
    <t xml:space="preserve">Health outcomes (deaths averted, YLL/YLD/DALY averted, life-years gained) now come from Model 07 (Health_Outcomes); life-expectancy and disability-weight sources are documented via Model 07.</t>
  </si>
  <si>
    <t xml:space="preserve">item</t>
  </si>
  <si>
    <t xml:space="preserve">Workbook title</t>
  </si>
  <si>
    <t xml:space="preserve">Indonesia NCD FAIR Choices - cost &amp; value</t>
  </si>
  <si>
    <t xml:space="preserve">Run date</t>
  </si>
  <si>
    <t xml:space="preserve">2026-08-29</t>
  </si>
  <si>
    <t xml:space="preserve">Model / pipeline</t>
  </si>
  <si>
    <t xml:space="preserve">CVD FAIR Choices (Models 00-06 -&gt; 09)</t>
  </si>
  <si>
    <t xml:space="preserve">Input workbook</t>
  </si>
  <si>
    <t xml:space="preserve">C:/Users/wrgar/OneDrive - UW/02Work/WorldBank-Indonesia/uw-wb-indonesia-ncd//data/indonesia_70_30_30_to_70_70_70_inputs.xlsx</t>
  </si>
  <si>
    <t xml:space="preserve">Model output source</t>
  </si>
  <si>
    <t xml:space="preserve">output/out_model/model_output_*.rds (Model 06)</t>
  </si>
  <si>
    <t xml:space="preserve">Location</t>
  </si>
  <si>
    <t xml:space="preserve">Indonesia</t>
  </si>
  <si>
    <t xml:space="preserve">Analysis years</t>
  </si>
  <si>
    <t xml:space="preserve">2025-2050</t>
  </si>
  <si>
    <t xml:space="preserve">Baseline scenario</t>
  </si>
  <si>
    <t xml:space="preserve">Scenarios costed</t>
  </si>
  <si>
    <t xml:space="preserve">Cost discount rate</t>
  </si>
  <si>
    <t xml:space="preserve">3.0%</t>
  </si>
  <si>
    <t xml:space="preserve">Cost price year</t>
  </si>
  <si>
    <t xml:space="preserve">2023</t>
  </si>
  <si>
    <t xml:space="preserve">Currency</t>
  </si>
  <si>
    <t xml:space="preserve">Economic perspective</t>
  </si>
  <si>
    <t xml:space="preserve">Coverage scale-up shape</t>
  </si>
  <si>
    <t xml:space="preserve">Downstream cost offsets</t>
  </si>
  <si>
    <t xml:space="preserve">0</t>
  </si>
  <si>
    <t xml:space="preserve">Health outcomes (DALYs/YLL/YLD)</t>
  </si>
  <si>
    <t xml:space="preserve">Out of scope in this stage (deferred)</t>
  </si>
  <si>
    <t xml:space="preserve">R version</t>
  </si>
  <si>
    <t xml:space="preserve">R version 4.5.1 (2025-06-13 ucrt)</t>
  </si>
  <si>
    <t xml:space="preserve">openxlsx / data.table</t>
  </si>
  <si>
    <t xml:space="preserve">4.2.8 / 1.17.8</t>
  </si>
  <si>
    <t xml:space="preserve">intervention_id</t>
  </si>
  <si>
    <t xml:space="preserve">intervention_cause_key</t>
  </si>
  <si>
    <t xml:space="preserve">intervention_name</t>
  </si>
  <si>
    <t xml:space="preserve">cause_id</t>
  </si>
  <si>
    <t xml:space="preserve">cause_code</t>
  </si>
  <si>
    <t xml:space="preserve">model_name</t>
  </si>
  <si>
    <t xml:space="preserve">transition_from</t>
  </si>
  <si>
    <t xml:space="preserve">transition_to</t>
  </si>
  <si>
    <t xml:space="preserve">model_transition</t>
  </si>
  <si>
    <t xml:space="preserve">effect_value</t>
  </si>
  <si>
    <t xml:space="preserve">affected_fraction</t>
  </si>
  <si>
    <t xml:space="preserve">baseline_coverage</t>
  </si>
  <si>
    <t xml:space="preserve">target_coverage</t>
  </si>
  <si>
    <t xml:space="preserve">start_year</t>
  </si>
  <si>
    <t xml:space="preserve">target_year</t>
  </si>
  <si>
    <t xml:space="preserve">adjusted_effect_at_target</t>
  </si>
  <si>
    <t xml:space="preserve">cost_join_key</t>
  </si>
  <si>
    <t xml:space="preserve">cost_scope</t>
  </si>
  <si>
    <t xml:space="preserve">effect_review</t>
  </si>
  <si>
    <t xml:space="preserve">coverage_review</t>
  </si>
  <si>
    <t xml:space="preserve">key_count</t>
  </si>
  <si>
    <t xml:space="preserve">formula_status</t>
  </si>
  <si>
    <t xml:space="preserve">I_CVD_PRIMARY</t>
  </si>
  <si>
    <t xml:space="preserve">I_CVD_PRIMARY__C_HHD</t>
  </si>
  <si>
    <t xml:space="preserve">Primary prevention of CVD</t>
  </si>
  <si>
    <t xml:space="preserve">C_HHD</t>
  </si>
  <si>
    <t xml:space="preserve">hhd</t>
  </si>
  <si>
    <t xml:space="preserve">Hypertensive heart disease</t>
  </si>
  <si>
    <t xml:space="preserve">well</t>
  </si>
  <si>
    <t xml:space="preserve">sick</t>
  </si>
  <si>
    <t xml:space="preserve">incidence</t>
  </si>
  <si>
    <t xml:space="preserve">I_CVD_PRIMARY__C_SHARED</t>
  </si>
  <si>
    <t xml:space="preserve">shared-count-once</t>
  </si>
  <si>
    <t xml:space="preserve">Provisional</t>
  </si>
  <si>
    <t xml:space="preserve">OK (cascade trajectory)</t>
  </si>
  <si>
    <t xml:space="preserve">I_CVD_PRIMARY__C_ICH</t>
  </si>
  <si>
    <t xml:space="preserve">C_ICH</t>
  </si>
  <si>
    <t xml:space="preserve">hstroke</t>
  </si>
  <si>
    <t xml:space="preserve">Intracerebral hemorrhage</t>
  </si>
  <si>
    <t xml:space="preserve">I_CVD_PRIMARY__C_IHD</t>
  </si>
  <si>
    <t xml:space="preserve">C_IHD</t>
  </si>
  <si>
    <t xml:space="preserve">ihd</t>
  </si>
  <si>
    <t xml:space="preserve">Ischemic heart disease</t>
  </si>
  <si>
    <t xml:space="preserve">I_CVD_PRIMARY__C_IS</t>
  </si>
  <si>
    <t xml:space="preserve">C_IS</t>
  </si>
  <si>
    <t xml:space="preserve">istroke</t>
  </si>
  <si>
    <t xml:space="preserve">Ischemic stroke</t>
  </si>
  <si>
    <t xml:space="preserve">I_T2D_TREATMENT</t>
  </si>
  <si>
    <t xml:space="preserve">I_T2D_TREATMENT__C_T2D</t>
  </si>
  <si>
    <t xml:space="preserve">Longitudinal treatment of type 2 diabetes</t>
  </si>
  <si>
    <t xml:space="preserve">C_T2D</t>
  </si>
  <si>
    <t xml:space="preserve">dm2</t>
  </si>
  <si>
    <t xml:space="preserve">Type 2 diabetes</t>
  </si>
  <si>
    <t xml:space="preserve">dead_t2d</t>
  </si>
  <si>
    <t xml:space="preserve">case_fatality</t>
  </si>
  <si>
    <t xml:space="preserve">cause-specific</t>
  </si>
  <si>
    <t xml:space="preserve">I_T2D_TREATMENT__C_IHD</t>
  </si>
  <si>
    <t xml:space="preserve">dead_ihd</t>
  </si>
  <si>
    <t xml:space="preserve">Review</t>
  </si>
  <si>
    <t xml:space="preserve">cost_record_id</t>
  </si>
  <si>
    <t xml:space="preserve">cost_component_key</t>
  </si>
  <si>
    <t xml:space="preserve">cost_option</t>
  </si>
  <si>
    <t xml:space="preserve">cost_component</t>
  </si>
  <si>
    <t xml:space="preserve">population_in_need_measure</t>
  </si>
  <si>
    <t xml:space="preserve">population_in_need_fraction</t>
  </si>
  <si>
    <t xml:space="preserve">frequency_per_year</t>
  </si>
  <si>
    <t xml:space="preserve">c_age_start</t>
  </si>
  <si>
    <t xml:space="preserve">c_age_stop</t>
  </si>
  <si>
    <t xml:space="preserve">c_sex</t>
  </si>
  <si>
    <t xml:space="preserve">unit_cost_usd</t>
  </si>
  <si>
    <t xml:space="preserve">price_year</t>
  </si>
  <si>
    <t xml:space="preserve">indonesia_adjusted_flag</t>
  </si>
  <si>
    <t xml:space="preserve">cov_baseline</t>
  </si>
  <si>
    <t xml:space="preserve">cov_target</t>
  </si>
  <si>
    <t xml:space="preserve">cov_start_year</t>
  </si>
  <si>
    <t xml:space="preserve">cov_target_year</t>
  </si>
  <si>
    <t xml:space="preserve">cost_review</t>
  </si>
  <si>
    <t xml:space="preserve">cost_ready</t>
  </si>
  <si>
    <t xml:space="preserve">COST_PRIMARY_TX_B</t>
  </si>
  <si>
    <t xml:space="preserve">CC_PRIMARY_HTN_STATIN</t>
  </si>
  <si>
    <t xml:space="preserve">Option B</t>
  </si>
  <si>
    <t xml:space="preserve">C_SHARED</t>
  </si>
  <si>
    <t xml:space="preserve">Antihypertensives and statins for absolute CVD risk &gt;20%</t>
  </si>
  <si>
    <t xml:space="preserve">all</t>
  </si>
  <si>
    <t xml:space="preserve">Both</t>
  </si>
  <si>
    <t xml:space="preserve">Alternative</t>
  </si>
  <si>
    <t xml:space="preserve">COST_PRIMARY_SCREEN_B</t>
  </si>
  <si>
    <t xml:space="preserve">CC_PRIMARY_SCREENING</t>
  </si>
  <si>
    <t xml:space="preserve">CVD targeted screening</t>
  </si>
  <si>
    <t xml:space="preserve">COST_T2D_INSULIN</t>
  </si>
  <si>
    <t xml:space="preserve">CC_T2D_INSULIN</t>
  </si>
  <si>
    <t xml:space="preserve">Base</t>
  </si>
  <si>
    <t xml:space="preserve">Diabetes management, insulin dependent</t>
  </si>
  <si>
    <t xml:space="preserve">prevalence</t>
  </si>
  <si>
    <t xml:space="preserve">Ready</t>
  </si>
  <si>
    <t xml:space="preserve">COST_T2D_NONINSULIN</t>
  </si>
  <si>
    <t xml:space="preserve">CC_T2D_NONINSULIN</t>
  </si>
  <si>
    <t xml:space="preserve">Diabetes management, non insulin dependent</t>
  </si>
  <si>
    <t xml:space="preserve">COST_T2D_SCREEN</t>
  </si>
  <si>
    <t xml:space="preserve">CC_T2D_SCREENING</t>
  </si>
  <si>
    <t xml:space="preserve">Diabetes opportunistic screening</t>
  </si>
  <si>
    <t xml:space="preserve">scenario</t>
  </si>
  <si>
    <t xml:space="preserve">scenario_label</t>
  </si>
  <si>
    <t xml:space="preserve">cause</t>
  </si>
  <si>
    <t xml:space="preserve">cases</t>
  </si>
  <si>
    <t xml:space="preserve">cause_deaths</t>
  </si>
  <si>
    <t xml:space="preserve">base_deaths</t>
  </si>
  <si>
    <t xml:space="preserve">deaths_averted</t>
  </si>
  <si>
    <t xml:space="preserve">base_cases</t>
  </si>
  <si>
    <t xml:space="preserve">cases_averted</t>
  </si>
  <si>
    <t xml:space="preserve">70-30-30 -&gt; 70-70-70 hypertension/cholesterol + diabetes cascade</t>
  </si>
  <si>
    <t xml:space="preserve">cmd</t>
  </si>
  <si>
    <t xml:space="preserve">rhd</t>
  </si>
  <si>
    <t xml:space="preserve">Baseline (no new intervention)</t>
  </si>
  <si>
    <t xml:space="preserve">coverage_scenario</t>
  </si>
  <si>
    <t xml:space="preserve">coverage_baseline</t>
  </si>
  <si>
    <t xml:space="preserve">pin_scenario</t>
  </si>
  <si>
    <t xml:space="preserve">pin_baseline</t>
  </si>
  <si>
    <t xml:space="preserve">annual_cost_baseline</t>
  </si>
  <si>
    <t xml:space="preserve">annual_cost_scenario</t>
  </si>
  <si>
    <t xml:space="preserve">annual_cost_incremental</t>
  </si>
  <si>
    <t xml:space="preserve">discount_factor</t>
  </si>
  <si>
    <t xml:space="preserve">disc_cost_baseline</t>
  </si>
  <si>
    <t xml:space="preserve">disc_cost_scenario</t>
  </si>
  <si>
    <t xml:space="preserve">disc_cost_incremental</t>
  </si>
  <si>
    <t xml:space="preserve">r_quantity_scenario</t>
  </si>
  <si>
    <t xml:space="preserve">r_quantity_baseline</t>
  </si>
  <si>
    <t xml:space="preserve">shared_duplicate_count</t>
  </si>
  <si>
    <t xml:space="preserve">national_population</t>
  </si>
  <si>
    <t xml:space="preserve">annual_cost_baseline_per_capita</t>
  </si>
  <si>
    <t xml:space="preserve">annual_cost_scenario_per_capita</t>
  </si>
  <si>
    <t xml:space="preserve">annual_cost_incremental_per_capita</t>
  </si>
  <si>
    <t xml:space="preserve">disc_cost_incremental_per_capita</t>
  </si>
  <si>
    <t xml:space="preserve">baseline_cost</t>
  </si>
  <si>
    <t xml:space="preserve">scenario_cost</t>
  </si>
  <si>
    <t xml:space="preserve">incremental_cost</t>
  </si>
  <si>
    <t xml:space="preserve">disc_incremental_cost</t>
  </si>
  <si>
    <t xml:space="preserve">cumulative_incremental_cost</t>
  </si>
  <si>
    <t xml:space="preserve">cumulative_disc_incremental_cost</t>
  </si>
  <si>
    <t xml:space="preserve">baseline_cost_per_capita</t>
  </si>
  <si>
    <t xml:space="preserve">scenario_cost_per_capita</t>
  </si>
  <si>
    <t xml:space="preserve">incremental_cost_per_capita</t>
  </si>
  <si>
    <t xml:space="preserve">disc_incremental_cost_per_capita</t>
  </si>
  <si>
    <t xml:space="preserve">cost_per_death_averted</t>
  </si>
  <si>
    <t xml:space="preserve">dominance</t>
  </si>
  <si>
    <t xml:space="preserve">reconciliation_status</t>
  </si>
  <si>
    <t xml:space="preserve">modeled_deaths</t>
  </si>
  <si>
    <t xml:space="preserve">baseline_deaths</t>
  </si>
  <si>
    <t xml:space="preserve">modeled_cases</t>
  </si>
  <si>
    <t xml:space="preserve">baseline_cases</t>
  </si>
  <si>
    <t xml:space="preserve">yll</t>
  </si>
  <si>
    <t xml:space="preserve">base_yll</t>
  </si>
  <si>
    <t xml:space="preserve">yll_averted</t>
  </si>
  <si>
    <t xml:space="preserve">yld</t>
  </si>
  <si>
    <t xml:space="preserve">base_yld</t>
  </si>
  <si>
    <t xml:space="preserve">yld_averted</t>
  </si>
  <si>
    <t xml:space="preserve">daly</t>
  </si>
  <si>
    <t xml:space="preserve">base_daly</t>
  </si>
  <si>
    <t xml:space="preserve">dalys_averted</t>
  </si>
  <si>
    <t xml:space="preserve">life_years_gained</t>
  </si>
  <si>
    <t xml:space="preserve">gni_pc_idn</t>
  </si>
  <si>
    <t xml:space="preserve">gni_pc_usa</t>
  </si>
  <si>
    <t xml:space="preserve">population</t>
  </si>
  <si>
    <t xml:space="preserve">le_avg_adult</t>
  </si>
  <si>
    <t xml:space="preserve">vsl_transfer_prefloor</t>
  </si>
  <si>
    <t xml:space="preserve">vsl_floor</t>
  </si>
  <si>
    <t xml:space="preserve">vsl_preferred</t>
  </si>
  <si>
    <t xml:space="preserve">vsl_over_gnipc</t>
  </si>
  <si>
    <t xml:space="preserve">vsl_gni100</t>
  </si>
  <si>
    <t xml:space="preserve">vsl_gni160</t>
  </si>
  <si>
    <t xml:space="preserve">vsly_preferred</t>
  </si>
  <si>
    <t xml:space="preserve">econ_value_vsl_undisc</t>
  </si>
  <si>
    <t xml:space="preserve">econ_value_vsly_undisc</t>
  </si>
  <si>
    <t xml:space="preserve">econ_value_vsl100_undisc</t>
  </si>
  <si>
    <t xml:space="preserve">econ_value_vsl160_undisc</t>
  </si>
  <si>
    <t xml:space="preserve">disc_factor</t>
  </si>
  <si>
    <t xml:space="preserve">pv_vsl_pref</t>
  </si>
  <si>
    <t xml:space="preserve">pv_vsly_pref</t>
  </si>
  <si>
    <t xml:space="preserve">pv_vsl100</t>
  </si>
  <si>
    <t xml:space="preserve">pv_vsl160</t>
  </si>
  <si>
    <t xml:space="preserve">total_national_gni</t>
  </si>
  <si>
    <t xml:space="preserve">pv_national_gni</t>
  </si>
  <si>
    <t xml:space="preserve">annual_benefit_share_gni</t>
  </si>
  <si>
    <t xml:space="preserve">intervention_family</t>
  </si>
  <si>
    <t xml:space="preserve">scenario_level</t>
  </si>
  <si>
    <t xml:space="preserve">valuation_method</t>
  </si>
  <si>
    <t xml:space="preserve">valuation_case</t>
  </si>
  <si>
    <t xml:space="preserve">pv_benefits</t>
  </si>
  <si>
    <t xml:space="preserve">pv_costs</t>
  </si>
  <si>
    <t xml:space="preserve">pv_net_benefit</t>
  </si>
  <si>
    <t xml:space="preserve">benefit_cost_ratio</t>
  </si>
  <si>
    <t xml:space="preserve">benefit_gni_share</t>
  </si>
  <si>
    <t xml:space="preserve">decision</t>
  </si>
  <si>
    <t xml:space="preserve">scope_note</t>
  </si>
  <si>
    <t xml:space="preserve">cascade_70_30_30_to_70_70_70</t>
  </si>
  <si>
    <t xml:space="preserve">combined</t>
  </si>
  <si>
    <t xml:space="preserve">VSL</t>
  </si>
  <si>
    <t xml:space="preserve">preferred (elasticity 1.5, 20x floor)</t>
  </si>
  <si>
    <t xml:space="preserve">VSLY</t>
  </si>
  <si>
    <t xml:space="preserve">preferred (VSLY from preferred VSL)</t>
  </si>
  <si>
    <t xml:space="preserve">sensitivity: 100x GNI per capita</t>
  </si>
  <si>
    <t xml:space="preserve">sensitivity: 160x GNI per capita</t>
  </si>
  <si>
    <t xml:space="preserve">Partial mortality-benefit BCA (preferred (elasticity 1.5, 20x floor)). Benefits = averted-mortality VSL/VSLY in PPP int$; costs = implementation/health-system converted to PPP int$ (market USD x cost_to_bca_currency_factor). Omits morbidity, productivity and downstream cost offsets.</t>
  </si>
  <si>
    <t xml:space="preserve">location</t>
  </si>
  <si>
    <t xml:space="preserve">htn_target_scenario</t>
  </si>
  <si>
    <t xml:space="preserve">age</t>
  </si>
  <si>
    <t xml:space="preserve">cvd_deaths</t>
  </si>
  <si>
    <t xml:space="preserve">m_x</t>
  </si>
  <si>
    <t xml:space="preserve">q_x</t>
  </si>
  <si>
    <t xml:space="preserve">l_x</t>
  </si>
  <si>
    <t xml:space="preserve">l_x_next</t>
  </si>
  <si>
    <t xml:space="preserve">htncov2_aspirational</t>
  </si>
  <si>
    <t xml:space="preserve">scenario_role</t>
  </si>
  <si>
    <t xml:space="preserve">parent_package_id</t>
  </si>
  <si>
    <t xml:space="preserve">cvd_40q30</t>
  </si>
  <si>
    <t xml:space="preserve">baseline_cvd_40q30</t>
  </si>
  <si>
    <t xml:space="preserve">absolute_reduction_pp</t>
  </si>
  <si>
    <t xml:space="preserve">percent_reduction</t>
  </si>
  <si>
    <t xml:space="preserve">cvd_40q30_r</t>
  </si>
  <si>
    <t xml:space="preserve">recon_status</t>
  </si>
  <si>
    <t xml:space="preserve">item_key</t>
  </si>
  <si>
    <t xml:space="preserve">field</t>
  </si>
  <si>
    <t xml:space="preserve">problem</t>
  </si>
  <si>
    <t xml:space="preserve">severity</t>
  </si>
  <si>
    <t xml:space="preserve">check</t>
  </si>
  <si>
    <t xml:space="preserve">expected</t>
  </si>
  <si>
    <t xml:space="preserve">actual</t>
  </si>
  <si>
    <t xml:space="preserve">status</t>
  </si>
  <si>
    <t xml:space="preserve">note</t>
  </si>
  <si>
    <t xml:space="preserve">Intervention-cause key uniqueness</t>
  </si>
  <si>
    <t xml:space="preserve">Each selected link key appears once</t>
  </si>
  <si>
    <t xml:space="preserve">Workbook FAIL-level issues</t>
  </si>
  <si>
    <t xml:space="preserve">Blocked links/scenarios excluded (see Selected_Interventions / Input_Diagnostic)</t>
  </si>
  <si>
    <t xml:space="preserve">Workbook REVIEW-level issues</t>
  </si>
  <si>
    <t xml:space="preserve">Flagged but usable (e.g. cost not Indonesia-adjusted, missing optional component)</t>
  </si>
  <si>
    <t xml:space="preserve">Every scenario paired to baseline</t>
  </si>
  <si>
    <t xml:space="preserve">TRUE</t>
  </si>
  <si>
    <t xml:space="preserve">Deaths averted = baseline - scenario at matched location/year/cause</t>
  </si>
  <si>
    <t xml:space="preserve">No impossible negative states</t>
  </si>
  <si>
    <t xml:space="preserve">well/sick/new_cases/cause_deaths/population &gt;= 0</t>
  </si>
  <si>
    <t xml:space="preserve">Stock/flow identity pop = well + sick + all-cause deaths</t>
  </si>
  <si>
    <t xml:space="preserve">&lt;= limit</t>
  </si>
  <si>
    <t xml:space="preserve">Per cause row; small residual from 95+ pooling / rounding</t>
  </si>
  <si>
    <t xml:space="preserve">Background mortality constant across cause (not duplicated)</t>
  </si>
  <si>
    <t xml:space="preserve">1</t>
  </si>
  <si>
    <t xml:space="preserve">all.mx taken once per stratum in the R Background sheet</t>
  </si>
  <si>
    <t xml:space="preserve">Cost reconciliation (components -&gt; budget impact)</t>
  </si>
  <si>
    <t xml:space="preserve">&lt;= tol</t>
  </si>
  <si>
    <t xml:space="preserve">Excel component rows sum to Excel annual totals within tolerance</t>
  </si>
  <si>
    <t xml:space="preserve">Shared cost counted once per stratum/year</t>
  </si>
  <si>
    <t xml:space="preserve">shared-count-once components appear once per scenario-year</t>
  </si>
  <si>
    <t xml:space="preserve">CEA reconciliation (detail -&gt; summary ratio)</t>
  </si>
  <si>
    <t xml:space="preserve">consistent</t>
  </si>
  <si>
    <t xml:space="preserve">Every Cost_Effectiveness row's internal reconciliation is consistent</t>
  </si>
  <si>
    <t xml:space="preserve">Excel vs R: deaths averted (anchor scenario)</t>
  </si>
  <si>
    <t xml:space="preserve">match R</t>
  </si>
  <si>
    <t xml:space="preserve">Excel CEA deaths averted reconciles to the R engine value</t>
  </si>
  <si>
    <t xml:space="preserve">Excel vs R: discounted incremental cost (anchor scenario)</t>
  </si>
  <si>
    <t xml:space="preserve">Excel CEA discounted incremental cost reconciles to the R engine value</t>
  </si>
  <si>
    <t xml:space="preserve">Excel vs R: cost per death averted (anchor scenario)</t>
  </si>
  <si>
    <t xml:space="preserve">Excel CEA USD per death averted reconciles to the R engine value</t>
  </si>
  <si>
    <t xml:space="preserve">VSL floor applied (preferred VSL &gt;= 20x GNI floor)</t>
  </si>
  <si>
    <t xml:space="preserve">No Economic_Value row has preferred VSL below the 20x GNI-per-capita floor</t>
  </si>
  <si>
    <t xml:space="preserve">Reference-case VSL parameters (elasticity 1.5, US ratio 160, 20x floor)</t>
  </si>
  <si>
    <t xml:space="preserve">as_specified</t>
  </si>
  <si>
    <t xml:space="preserve">Reference case = elasticity 1.5 transfer, 160x US ratio, 20x GNI floor (Robinson et al. 2019)</t>
  </si>
  <si>
    <t xml:space="preserve">Benefit and cost on the same price year (BCA basis)</t>
  </si>
  <si>
    <t xml:space="preserve">match</t>
  </si>
  <si>
    <t xml:space="preserve">bca_price_year equals the cost price year, so benefits and costs share a real price basis</t>
  </si>
  <si>
    <t xml:space="preserve">Benefit_Cost scenarios all present in Health_Outcomes</t>
  </si>
  <si>
    <t xml:space="preserve">Every scenario x valuation-case row in Benefit_Cost has a matching Health_Outcomes scenario</t>
  </si>
  <si>
    <t xml:space="preserve">CVD 40q30 Excel vs R (all rows match)</t>
  </si>
  <si>
    <t xml:space="preserve">CVD_40q30 recon_status has no 'mismatch' (life-table formula reconciles to Model 07)</t>
  </si>
  <si>
    <t xml:space="preserve">method_id</t>
  </si>
  <si>
    <t xml:space="preserve">concept</t>
  </si>
  <si>
    <t xml:space="preserve">formula_or_rule</t>
  </si>
  <si>
    <t xml:space="preserve">M01</t>
  </si>
  <si>
    <t xml:space="preserve">Incremental coverage</t>
  </si>
  <si>
    <t xml:space="preserve">delta_cov(t) = coverage(t) - baseline_coverage</t>
  </si>
  <si>
    <t xml:space="preserve">FairChoices_Methods sheet + https://fairchoices.w.uib.no/documentation/fairchoices-methods/</t>
  </si>
  <si>
    <t xml:space="preserve">M02</t>
  </si>
  <si>
    <t xml:space="preserve">FAIR adjusted effect</t>
  </si>
  <si>
    <t xml:space="preserve">e_adj(t) = effect_value * delta_cov(t) / (1 - effect_value * baseline_coverage)</t>
  </si>
  <si>
    <t xml:space="preserve">M03</t>
  </si>
  <si>
    <t xml:space="preserve">Affected fraction</t>
  </si>
  <si>
    <t xml:space="preserve">transition_effect(t) = e_adj(t) * affected_fraction</t>
  </si>
  <si>
    <t xml:space="preserve">M04</t>
  </si>
  <si>
    <t xml:space="preserve">Adjusted transition</t>
  </si>
  <si>
    <t xml:space="preserve">p_scenario(t) = p_baseline(t) * (1 - transition_effect(t)); prevention-&gt;incidence (IR/eff_ir), management-&gt;case fatality (CF/eff_cf)</t>
  </si>
  <si>
    <t xml:space="preserve">M05</t>
  </si>
  <si>
    <t xml:space="preserve">HF/severe mapping</t>
  </si>
  <si>
    <t xml:space="preserve">workbook sick_hf / sick_severe collapse onto the single 'sick' state via affected_fraction; NO new Markov states</t>
  </si>
  <si>
    <t xml:space="preserve">Model 04 translation table (Indonesia Markov adaptation)</t>
  </si>
  <si>
    <t xml:space="preserve">M06</t>
  </si>
  <si>
    <t xml:space="preserve">Annual component cost</t>
  </si>
  <si>
    <t xml:space="preserve">annual_cost = population_in_need * coverage(t) * frequency_per_year * unit_cost_usd</t>
  </si>
  <si>
    <t xml:space="preserve">FairChoices_Methods sheet / input workbook</t>
  </si>
  <si>
    <t xml:space="preserve">M07</t>
  </si>
  <si>
    <t xml:space="preserve">Shared cost</t>
  </si>
  <si>
    <t xml:space="preserve">shared-count-once components counted once per intervention &amp; eligible stratum, not once per affected cause</t>
  </si>
  <si>
    <t xml:space="preserve">M08</t>
  </si>
  <si>
    <t xml:space="preserve">Discounting</t>
  </si>
  <si>
    <t xml:space="preserve">discount_factor(t) = 1 / (1 + cost_discount_rate)^(t - analysis_start_year); costs discounted, death counts undiscounted</t>
  </si>
  <si>
    <t xml:space="preserve">M09</t>
  </si>
  <si>
    <t xml:space="preserve">incremental = scenario_cost - baseline_cost (undiscounted headline; discounted reported separately)</t>
  </si>
  <si>
    <t xml:space="preserve">M10</t>
  </si>
  <si>
    <t xml:space="preserve">USD per death averted = cumulative discounted incremental cost / cumulative deaths averted</t>
  </si>
  <si>
    <t xml:space="preserve">M11</t>
  </si>
  <si>
    <t xml:space="preserve">FAIR unit-cost markups</t>
  </si>
  <si>
    <t xml:space="preserve">not re-applied where indonesia_adjusted_flag = 1 (supplied adjusted costs already include them)</t>
  </si>
  <si>
    <t xml:space="preserve">FairChoices_Methods M08</t>
  </si>
  <si>
    <t xml:space="preserve">M12</t>
  </si>
  <si>
    <t xml:space="preserve">Excel formula lineage</t>
  </si>
  <si>
    <t xml:space="preserve">Formula-derived cells are light blue and depend on visible grey R source/helper cells; Calculation_Map lists the dependency chain.</t>
  </si>
  <si>
    <t xml:space="preserve">This workbook</t>
  </si>
  <si>
    <t xml:space="preserve">M13</t>
  </si>
  <si>
    <t xml:space="preserve">PIN audit quantities</t>
  </si>
  <si>
    <t xml:space="preserve">r_quantity_scenario/baseline (Annual_Cost AF:AG) retain the full-precision R population quantity used before the PIN fraction.</t>
  </si>
  <si>
    <t xml:space="preserve">Model 09 and this workbook</t>
  </si>
  <si>
    <t xml:space="preserve">M14</t>
  </si>
  <si>
    <t xml:space="preserve">Reference-Case VSL transfer</t>
  </si>
  <si>
    <t xml:space="preserve">Preferred VSL = MAX(vsl_us_gni_ratio*GNIpc_US*(GNIpc_IDN/GNIpc_US)^income_elasticity, vsl_floor_gni_multiple*GNIpc_IDN); standardized sensitivities VSL = 100x and 160x GNIpc (Economic_Value J:P,N,O).</t>
  </si>
  <si>
    <t xml:space="preserve">Robinson et al. 2019 Reference Case Guidelines / Model 08</t>
  </si>
  <si>
    <t xml:space="preserve">M15</t>
  </si>
  <si>
    <t xml:space="preserve">Constant VSLY</t>
  </si>
  <si>
    <t xml:space="preserve">VSLY = preferred VSL / undiscounted remaining LE at the average age of the working-age (vsly_adult_min_age..max_age) population; applied to Model 07 age-specific life-years gained (not an algebraic identity with VSL).</t>
  </si>
  <si>
    <t xml:space="preserve">M16</t>
  </si>
  <si>
    <t xml:space="preserve">BCA discounting &amp; monetary basis</t>
  </si>
  <si>
    <t xml:space="preserve">Benefits and costs are discounted to bca_base_year at bca_discount_rate_primary; VSL benefits are PPP international dollars; market-USD costs are converted to that basis via cost_to_bca_currency_factor (never assumed 1).</t>
  </si>
  <si>
    <t xml:space="preserve">M17</t>
  </si>
  <si>
    <t xml:space="preserve">Benefit-cost ratio &amp; net benefit</t>
  </si>
  <si>
    <t xml:space="preserve">BCR = PV benefits / PV costs and net benefit = PV benefits - PV costs, on ONE base year, rate, price year and currency basis (Benefit_Cost). This is a PARTIAL mortality-benefit BCA, not cost-effectiveness (USD per death averted).</t>
  </si>
  <si>
    <t xml:space="preserve">M18</t>
  </si>
  <si>
    <t xml:space="preserve">CVD 40q30 (period life table)</t>
  </si>
  <si>
    <t xml:space="preserve">Period CVD 40q30 over the six CVD causes (ihd, istroke, hstroke, hhd, rhd, cmd), exact ages 30-69: sexes combined before the rate, m_x=(D_F+D_M)/(N_F+N_M), q_x=1-EXP(-m_x), l_30=1, l_{x+1}=l_x(1-q_x), 40q30=100*(1-l_70/l_30). CVD_40q30_Age carries the live life-table formulas; CVD_40q30 has the metric, shared-baseline pairing, absolute (pp) and relative (%) reduction, all reconciled to the Model 07 R value. cvd_40q30 is a PERCENT on a 0-100 scale (format 0.000, not Excel %). Population is de-duplicated across causes (never summed over the six causes).</t>
  </si>
  <si>
    <t xml:space="preserve">Model 07 (07_cvd_40q30.rds) / Model 09</t>
  </si>
  <si>
    <t xml:space="preserve">output_sheet</t>
  </si>
  <si>
    <t xml:space="preserve">formula_columns</t>
  </si>
  <si>
    <t xml:space="preserve">depends_on</t>
  </si>
  <si>
    <t xml:space="preserve">calculation</t>
  </si>
  <si>
    <t xml:space="preserve">source_role</t>
  </si>
  <si>
    <t xml:space="preserve">Selected_Interventions</t>
  </si>
  <si>
    <t xml:space="preserve">P, U:V</t>
  </si>
  <si>
    <t xml:space="preserve">selected health links (J:M)</t>
  </si>
  <si>
    <t xml:space="preserve">Adjusted effect at target; key uniqueness/status</t>
  </si>
  <si>
    <t xml:space="preserve">Workbook formula</t>
  </si>
  <si>
    <t xml:space="preserve">Cost_Components</t>
  </si>
  <si>
    <t xml:space="preserve">S:V, X</t>
  </si>
  <si>
    <t xml:space="preserve">Coverage link (INDEX/MATCH) and cost-readiness rule</t>
  </si>
  <si>
    <t xml:space="preserve">Annual_Mortality</t>
  </si>
  <si>
    <t xml:space="preserve">H, J</t>
  </si>
  <si>
    <t xml:space="preserve">R aggregates E:G, I</t>
  </si>
  <si>
    <t xml:space="preserve">Deaths averted and cases averted</t>
  </si>
  <si>
    <t xml:space="preserve">Health_Outcomes</t>
  </si>
  <si>
    <t xml:space="preserve">F,I,L,O,R,S</t>
  </si>
  <si>
    <t xml:space="preserve">Model 07 modeled/baseline health (grey D:E,G:H,J:K,M:N,P:Q)</t>
  </si>
  <si>
    <t xml:space="preserve">Deaths/cases/YLL/YLD/DALY averted and life-years gained (baseline - intervention)</t>
  </si>
  <si>
    <t xml:space="preserve">CVD_40q30_Age</t>
  </si>
  <si>
    <t xml:space="preserve">J:M</t>
  </si>
  <si>
    <t xml:space="preserve">CVD deaths + de-duplicated population (grey H:I)</t>
  </si>
  <si>
    <t xml:space="preserve">m_x=deaths/pop, q_x=1-EXP(-m_x), recursive l_x, l_{x+1} (period life table, ages 30-69)</t>
  </si>
  <si>
    <t xml:space="preserve">CVD_40q30</t>
  </si>
  <si>
    <t xml:space="preserve">I,J,K,L,N</t>
  </si>
  <si>
    <t xml:space="preserve">CVD_40q30_Age life table; baseline SUMIFS; R anchor (M)</t>
  </si>
  <si>
    <t xml:space="preserve">CVD 40q30 = 100*(1-l_70/l_30); baseline-paired absolute (pp) &amp; relative (%) reduction; R reconciliation</t>
  </si>
  <si>
    <t xml:space="preserve">Annual_Cost</t>
  </si>
  <si>
    <t xml:space="preserve">J:AE, AH</t>
  </si>
  <si>
    <t xml:space="preserve">Cost_Components; Calculation_Assumptions; R quantity AF:AG</t>
  </si>
  <si>
    <t xml:space="preserve">Coverage path, PIN, annual + discounted cost, shared-cost QA</t>
  </si>
  <si>
    <t xml:space="preserve">AF:AG</t>
  </si>
  <si>
    <t xml:space="preserve">full-precision Model 06 output</t>
  </si>
  <si>
    <t xml:space="preserve">Scenario/baseline quantity before the PIN fraction</t>
  </si>
  <si>
    <t xml:space="preserve">Budget_Impact</t>
  </si>
  <si>
    <t xml:space="preserve">C:H</t>
  </si>
  <si>
    <t xml:space="preserve">Annual and cumulative cost by scenario</t>
  </si>
  <si>
    <t xml:space="preserve">Cost_Effectiveness</t>
  </si>
  <si>
    <t xml:space="preserve">C:I</t>
  </si>
  <si>
    <t xml:space="preserve">Annual_Mortality; Budget_Impact; Calculation_Assumptions</t>
  </si>
  <si>
    <t xml:space="preserve">Cumulative health, cost, cost/death, dominance, reconciliation</t>
  </si>
  <si>
    <t xml:space="preserve">Economic_Value</t>
  </si>
  <si>
    <t xml:space="preserve">J:AB</t>
  </si>
  <si>
    <t xml:space="preserve">Model 08 source (grey D:I); Calculation_Assumptions BCA controls</t>
  </si>
  <si>
    <t xml:space="preserve">Reference-Case VSL (elast 1.5 + 20x floor) &amp; 100x/160x, VSLY, undisc &amp; PV benefits, GNI shares</t>
  </si>
  <si>
    <t xml:space="preserve">Benefit_Cost</t>
  </si>
  <si>
    <t xml:space="preserve">G:M</t>
  </si>
  <si>
    <t xml:space="preserve">Economic_Value PV benefits; Budget_Impact costs; Calculation_Assumptions</t>
  </si>
  <si>
    <t xml:space="preserve">PV benefits, PV costs (to PPP int$), net benefit, BCR, benefit/GNI, decision (partial BCA)</t>
  </si>
  <si>
    <t xml:space="preserve">QA_Checks</t>
  </si>
  <si>
    <t xml:space="preserve">C:D</t>
  </si>
  <si>
    <t xml:space="preserve">calculation + diagnostic sheets</t>
  </si>
  <si>
    <t xml:space="preserve">Invariant recomputation and Excel-vs-R reconciliation status</t>
  </si>
  <si>
    <t xml:space="preserve">Run_Metadata</t>
  </si>
  <si>
    <t xml:space="preserve">B8:B16 (subset)</t>
  </si>
  <si>
    <t xml:space="preserve">Calculation_Assumptions</t>
  </si>
  <si>
    <t xml:space="preserve">Metadata pulled from the assumptions controls</t>
  </si>
  <si>
    <t xml:space="preserve">Companion R workbook</t>
  </si>
  <si>
    <t xml:space="preserve">none</t>
  </si>
  <si>
    <t xml:space="preserve">Model 06 / Model 09</t>
  </si>
  <si>
    <t xml:space="preserve">Detailed Model_State_Trace and Background_Mortality</t>
  </si>
  <si>
    <t xml:space="preserve">R source data</t>
  </si>
  <si>
    <t xml:space="preserve">intervention_ids</t>
  </si>
  <si>
    <t xml:space="preserve">n_interventions</t>
  </si>
  <si>
    <t xml:space="preserve"/>
  </si>
  <si>
    <t xml:space="preserve">I_CVD_PRIMARY; I_T2D_TREATMENT</t>
  </si>
  <si>
    <t xml:space="preserve">source_workbook_cell</t>
  </si>
  <si>
    <t xml:space="preserve">2025</t>
  </si>
  <si>
    <t xml:space="preserve">First modeled year</t>
  </si>
  <si>
    <t xml:space="preserve">Agreed analysis horizon</t>
  </si>
  <si>
    <t xml:space="preserve">Assumptions![parameter_id=analysis_start_year]</t>
  </si>
  <si>
    <t xml:space="preserve">2050</t>
  </si>
  <si>
    <t xml:space="preserve">Last modeled year</t>
  </si>
  <si>
    <t xml:space="preserve">Assumptions![parameter_id=analysis_end_year]</t>
  </si>
  <si>
    <t xml:space="preserve">first_target_year</t>
  </si>
  <si>
    <t xml:space="preserve">2030</t>
  </si>
  <si>
    <t xml:space="preserve">Year to achieve 70-30-30</t>
  </si>
  <si>
    <t xml:space="preserve">World Bank/UW request, 27 Aug 2026</t>
  </si>
  <si>
    <t xml:space="preserve">Assumptions![parameter_id=first_target_year]</t>
  </si>
  <si>
    <t xml:space="preserve">final_target_year</t>
  </si>
  <si>
    <t xml:space="preserve">2040</t>
  </si>
  <si>
    <t xml:space="preserve">Year to achieve 70-70-70</t>
  </si>
  <si>
    <t xml:space="preserve">Assumptions![parameter_id=final_target_year]</t>
  </si>
  <si>
    <t xml:space="preserve">target_diagnosis_share</t>
  </si>
  <si>
    <t xml:space="preserve">0.7</t>
  </si>
  <si>
    <t xml:space="preserve">proportion</t>
  </si>
  <si>
    <t xml:space="preserve">Diagnosis step for both targets</t>
  </si>
  <si>
    <t xml:space="preserve">World Bank/UW request</t>
  </si>
  <si>
    <t xml:space="preserve">Assumptions![parameter_id=target_diagnosis_share]</t>
  </si>
  <si>
    <t xml:space="preserve">first_target_treatment_conditional</t>
  </si>
  <si>
    <t xml:space="preserve">0.3</t>
  </si>
  <si>
    <t xml:space="preserve">Treated among diagnosed in 2030</t>
  </si>
  <si>
    <t xml:space="preserve">70-30-30 definition</t>
  </si>
  <si>
    <t xml:space="preserve">Assumptions![parameter_id=first_target_treatment_conditional]</t>
  </si>
  <si>
    <t xml:space="preserve">first_target_control_conditional</t>
  </si>
  <si>
    <t xml:space="preserve">Controlled among treated in 2030</t>
  </si>
  <si>
    <t xml:space="preserve">Assumptions![parameter_id=first_target_control_conditional]</t>
  </si>
  <si>
    <t xml:space="preserve">final_target_treatment_conditional</t>
  </si>
  <si>
    <t xml:space="preserve">Treated among diagnosed in 2040</t>
  </si>
  <si>
    <t xml:space="preserve">70-70-70 definition</t>
  </si>
  <si>
    <t xml:space="preserve">Assumptions![parameter_id=final_target_treatment_conditional]</t>
  </si>
  <si>
    <t xml:space="preserve">final_target_control_conditional</t>
  </si>
  <si>
    <t xml:space="preserve">Controlled among treated in 2040</t>
  </si>
  <si>
    <t xml:space="preserve">Assumptions![parameter_id=final_target_control_conditional]</t>
  </si>
  <si>
    <t xml:space="preserve">treated_uncontrolled_effect_fraction</t>
  </si>
  <si>
    <t xml:space="preserve">0.5</t>
  </si>
  <si>
    <t xml:space="preserve">share of full effect</t>
  </si>
  <si>
    <t xml:space="preserve">Effect received when treated but uncontrolled</t>
  </si>
  <si>
    <t xml:space="preserve">Assumptions![parameter_id=treated_uncontrolled_effect_fraction]</t>
  </si>
  <si>
    <t xml:space="preserve">first_target_effective_coverage_exact</t>
  </si>
  <si>
    <t xml:space="preserve">0.13649999999999998</t>
  </si>
  <si>
    <t xml:space="preserve">Exact 70-30-30 effective coverage; no rounding override</t>
  </si>
  <si>
    <t xml:space="preserve">World Bank/UW cascade specification</t>
  </si>
  <si>
    <t xml:space="preserve">Assumptions![parameter_id=first_target_effective_coverage_exact]</t>
  </si>
  <si>
    <t xml:space="preserve">final_target_effective_coverage_exact</t>
  </si>
  <si>
    <t xml:space="preserve">0.41649999999999993</t>
  </si>
  <si>
    <t xml:space="preserve">Exact 70-70-70 effective coverage; no rounding override</t>
  </si>
  <si>
    <t xml:space="preserve">Assumptions![parameter_id=final_target_effective_coverage_exact]</t>
  </si>
  <si>
    <t xml:space="preserve">diabetes_baseline_control_among_treated</t>
  </si>
  <si>
    <t xml:space="preserve">0.34210526315789502</t>
  </si>
  <si>
    <t xml:space="preserve">Derived as 6.5% controlled / 19.0% treated in the 2023 national diabetes cascade; editable</t>
  </si>
  <si>
    <t xml:space="preserve">Muharram et al. medRxiv 2026; peer-reviewed national estimate 32.0% HbA1c&lt;7%</t>
  </si>
  <si>
    <t xml:space="preserve">Assumptions![parameter_id=diabetes_baseline_control_among_treated]</t>
  </si>
  <si>
    <t xml:space="preserve">diabetes_baseline_diagnosis_conditioning</t>
  </si>
  <si>
    <t xml:space="preserve">Conditions directly on all people with diabetes so reported treatment is reproduced</t>
  </si>
  <si>
    <t xml:space="preserve">Explicit modeling assumption</t>
  </si>
  <si>
    <t xml:space="preserve">Assumptions![parameter_id=diabetes_baseline_diagnosis_conditioning]</t>
  </si>
  <si>
    <t xml:space="preserve">cholesterol_coverage_proxy</t>
  </si>
  <si>
    <t xml:space="preserve">hypertension</t>
  </si>
  <si>
    <t xml:space="preserve">Cholesterol coverage follows hypertension coverage</t>
  </si>
  <si>
    <t xml:space="preserve">Assumptions![parameter_id=cholesterol_coverage_proxy]</t>
  </si>
  <si>
    <t xml:space="preserve">Linear to 2030, then linear to 2040</t>
  </si>
  <si>
    <t xml:space="preserve">Assumptions![parameter_id=scale_up_shape]</t>
  </si>
  <si>
    <t xml:space="preserve">post_target_rule</t>
  </si>
  <si>
    <t xml:space="preserve">hold</t>
  </si>
  <si>
    <t xml:space="preserve">Maintain achieved level after 2040</t>
  </si>
  <si>
    <t xml:space="preserve">Assumptions![parameter_id=post_target_rule]</t>
  </si>
  <si>
    <t xml:space="preserve">prevent_coverage_backsliding</t>
  </si>
  <si>
    <t xml:space="preserve">0/1</t>
  </si>
  <si>
    <t xml:space="preserve">When a measured baseline already exceeds a milestone, retain baseline rather than scale down</t>
  </si>
  <si>
    <t xml:space="preserve">Scale-up interpretation</t>
  </si>
  <si>
    <t xml:space="preserve">Assumptions![parameter_id=prevent_coverage_backsliding]</t>
  </si>
  <si>
    <t xml:space="preserve">scenario_id</t>
  </si>
  <si>
    <t xml:space="preserve">Stable scenario identifier</t>
  </si>
  <si>
    <t xml:space="preserve">This analysis</t>
  </si>
  <si>
    <t xml:space="preserve">Assumptions![parameter_id=scenario_id]</t>
  </si>
  <si>
    <t xml:space="preserve">0.03</t>
  </si>
  <si>
    <t xml:space="preserve">Annual cost discount rate</t>
  </si>
  <si>
    <t xml:space="preserve">Supplied Indonesia input workbook</t>
  </si>
  <si>
    <t xml:space="preserve">Assumptions![parameter_id=cost_discount_rate]</t>
  </si>
  <si>
    <t xml:space="preserve">health_discount_rate</t>
  </si>
  <si>
    <t xml:space="preserve">Annual health discount rate</t>
  </si>
  <si>
    <t xml:space="preserve">Assumptions![parameter_id=health_discount_rate]</t>
  </si>
  <si>
    <t xml:space="preserve">Assumptions![parameter_id=cost_price_year]</t>
  </si>
  <si>
    <t xml:space="preserve">Reporting currency</t>
  </si>
  <si>
    <t xml:space="preserve">Assumptions![parameter_id=currency]</t>
  </si>
  <si>
    <t xml:space="preserve">risk_factor_id</t>
  </si>
  <si>
    <t xml:space="preserve">sex</t>
  </si>
  <si>
    <t xml:space="preserve">phase</t>
  </si>
  <si>
    <t xml:space="preserve">baseline_effective_coverage</t>
  </si>
  <si>
    <t xml:space="preserve">target_2030_effective</t>
  </si>
  <si>
    <t xml:space="preserve">target_2040_effective</t>
  </si>
  <si>
    <t xml:space="preserve">controlled_share</t>
  </si>
  <si>
    <t xml:space="preserve">treated_uncontrolled_share</t>
  </si>
  <si>
    <t xml:space="preserve">half_effect_fraction</t>
  </si>
  <si>
    <t xml:space="preserve">scenario_effective_coverage</t>
  </si>
  <si>
    <t xml:space="preserve">effective_from_components</t>
  </si>
  <si>
    <t xml:space="preserve">model_effective_coverage_used</t>
  </si>
  <si>
    <t xml:space="preserve">RF_HTN</t>
  </si>
  <si>
    <t xml:space="preserve">Men</t>
  </si>
  <si>
    <t xml:space="preserve">Scale to 70-30-30</t>
  </si>
  <si>
    <t xml:space="preserve">Scale to 70-70-70</t>
  </si>
  <si>
    <t xml:space="preserve">Maintain 70-70-70</t>
  </si>
  <si>
    <t xml:space="preserve">Women</t>
  </si>
  <si>
    <t xml:space="preserve">RF_T2D</t>
  </si>
  <si>
    <t xml:space="preserve">check_id</t>
  </si>
  <si>
    <t xml:space="preserve">excel_effective</t>
  </si>
  <si>
    <t xml:space="preserve">expected_effective</t>
  </si>
  <si>
    <t xml:space="preserve">r_value</t>
  </si>
  <si>
    <t xml:space="preserve">QAC01</t>
  </si>
  <si>
    <t xml:space="preserve">2030 effective coverage reconstructs to 0.1365</t>
  </si>
  <si>
    <t xml:space="preserve">QAC02</t>
  </si>
  <si>
    <t xml:space="preserve">2040 effective coverage reconstructs to 0.4165</t>
  </si>
  <si>
    <t xml:space="preserve">QAC03</t>
  </si>
  <si>
    <t xml:space="preserve">Excel model_effective_coverage_used ties to R (by construction)</t>
  </si>
  <si>
    <t xml:space="preserve">QAC04</t>
  </si>
  <si>
    <t xml:space="preserve">R adapter vs workbook Model_Input_View multipliers</t>
  </si>
  <si>
    <t xml:space="preserve">QAC05</t>
  </si>
  <si>
    <t xml:space="preserve">Effective coverage is monotonic (no backsliding)</t>
  </si>
  <si>
    <t xml:space="preserve">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</si>
</sst>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0">
    <numFmt numFmtId="166" formatCode="0"/>
    <numFmt numFmtId="167" formatCode="0"/>
    <numFmt numFmtId="168" formatCode="0.0%"/>
    <numFmt numFmtId="169" formatCode="0"/>
    <numFmt numFmtId="170" formatCode="0"/>
    <numFmt numFmtId="171" formatCode="0.000"/>
    <numFmt numFmtId="172" formatCode="#,##0"/>
    <numFmt numFmtId="173" formatCode="0"/>
    <numFmt numFmtId="174" formatCode="#,##0.0"/>
    <numFmt numFmtId="175" formatCode="0"/>
    <numFmt numFmtId="176" formatCode="0"/>
    <numFmt numFmtId="177" formatCode="#,##0"/>
    <numFmt numFmtId="178" formatCode="#,##0"/>
    <numFmt numFmtId="179" formatCode="#,##0.00"/>
    <numFmt numFmtId="180" formatCode="0"/>
    <numFmt numFmtId="181" formatCode="0.000"/>
    <numFmt numFmtId="182" formatCode="0.000"/>
    <numFmt numFmtId="183" formatCode="0.000"/>
    <numFmt numFmtId="184" formatCode="0"/>
    <numFmt numFmtId="185" formatCode="0.0"/>
    <numFmt numFmtId="186" formatCode="0"/>
    <numFmt numFmtId="187" formatCode="0"/>
    <numFmt numFmtId="188" formatCode="0"/>
    <numFmt numFmtId="189" formatCode="0"/>
    <numFmt numFmtId="190" formatCode="0"/>
    <numFmt numFmtId="191" formatCode="0"/>
    <numFmt numFmtId="192" formatCode="0.00"/>
    <numFmt numFmtId="193" formatCode="0.000"/>
    <numFmt numFmtId="194" formatCode="0.0%"/>
    <numFmt numFmtId="195" formatCode="0.000"/>
    <numFmt numFmtId="196" formatCode="0.000"/>
    <numFmt numFmtId="197" formatCode="0.0%"/>
    <numFmt numFmtId="198" formatCode="0.0%"/>
    <numFmt numFmtId="199" formatCode="0"/>
    <numFmt numFmtId="200" formatCode="0"/>
    <numFmt numFmtId="201" formatCode="0.0000"/>
    <numFmt numFmtId="202" formatCode="#,##0"/>
    <numFmt numFmtId="203" formatCode="#,##0"/>
    <numFmt numFmtId="204" formatCode="0.0%"/>
    <numFmt numFmtId="205" formatCode="#,##0"/>
    <numFmt numFmtId="206" formatCode="#,##0"/>
    <numFmt numFmtId="207" formatCode="#,##0"/>
    <numFmt numFmtId="208" formatCode="#,##0"/>
    <numFmt numFmtId="209" formatCode="#,##0"/>
    <numFmt numFmtId="210" formatCode="#,##0"/>
    <numFmt numFmtId="212" formatCode="#,##0"/>
    <numFmt numFmtId="213" formatCode="0.0%"/>
    <numFmt numFmtId="214" formatCode="0.00"/>
    <numFmt numFmtId="215" formatCode="0"/>
    <numFmt numFmtId="216" formatCode="0"/>
    <numFmt numFmtId="217" formatCode="#,##0.00"/>
    <numFmt numFmtId="218" formatCode="0"/>
    <numFmt numFmtId="219" formatCode="0.0%"/>
    <numFmt numFmtId="220" formatCode="0.0%"/>
    <numFmt numFmtId="221" formatCode="0"/>
    <numFmt numFmtId="222" formatCode="0"/>
    <numFmt numFmtId="223" formatCode="#,##0"/>
    <numFmt numFmtId="224" formatCode="#,##0"/>
    <numFmt numFmtId="211" formatCode="#,##0"/>
    <numFmt numFmtId="225" formatCode="0"/>
    <numFmt numFmtId="226" formatCode="#,##0"/>
    <numFmt numFmtId="227" formatCode="#,##0"/>
    <numFmt numFmtId="228" formatCode="#,##0"/>
    <numFmt numFmtId="229" formatCode="#,##0"/>
    <numFmt numFmtId="230" formatCode="#,##0"/>
    <numFmt numFmtId="231" formatCode="#,##0"/>
    <numFmt numFmtId="232" formatCode="0"/>
    <numFmt numFmtId="233" formatCode="#,##0"/>
    <numFmt numFmtId="234" formatCode="#,##0"/>
    <numFmt numFmtId="235" formatCode="#,##0"/>
    <numFmt numFmtId="236" formatCode="#,##0"/>
    <numFmt numFmtId="237" formatCode="#,##0"/>
    <numFmt numFmtId="238" formatCode="0.0%"/>
    <numFmt numFmtId="240" formatCode="0.0%"/>
    <numFmt numFmtId="241" formatCode="0.00"/>
    <numFmt numFmtId="242" formatCode="#,##0.00"/>
    <numFmt numFmtId="243" formatCode="#,##0"/>
    <numFmt numFmtId="244" formatCode="#,##0"/>
    <numFmt numFmtId="245" formatCode="#,##0"/>
    <numFmt numFmtId="246" formatCode="#,##0"/>
    <numFmt numFmtId="247" formatCode="#,##0"/>
    <numFmt numFmtId="248" formatCode="0"/>
    <numFmt numFmtId="249" formatCode="0.000"/>
    <numFmt numFmtId="250" formatCode="#,##0"/>
    <numFmt numFmtId="251" formatCode="#,##0"/>
    <numFmt numFmtId="252" formatCode="#,##0"/>
    <numFmt numFmtId="253" formatCode="0.0%"/>
    <numFmt numFmtId="254" formatCode="0"/>
    <numFmt numFmtId="255" formatCode="0"/>
    <numFmt numFmtId="256" formatCode="0"/>
    <numFmt numFmtId="257" formatCode="0"/>
    <numFmt numFmtId="258" formatCode="#,##0.00"/>
    <numFmt numFmtId="259" formatCode="#,##0.00"/>
    <numFmt numFmtId="260" formatCode="#,##0"/>
    <numFmt numFmtId="261" formatCode="#,##0"/>
    <numFmt numFmtId="262" formatCode="#,##0.00"/>
    <numFmt numFmtId="263" formatCode="#,##0.00"/>
    <numFmt numFmtId="264" formatCode="#,##0.00"/>
    <numFmt numFmtId="265" formatCode="#,##0.00"/>
    <numFmt numFmtId="266" formatCode="0.0000%"/>
    <numFmt numFmtId="267" formatCode="0"/>
    <numFmt numFmtId="268" formatCode="#,##0"/>
    <numFmt numFmtId="269" formatCode="#,##0"/>
    <numFmt numFmtId="270" formatCode="#,##0"/>
    <numFmt numFmtId="271" formatCode="#,##0"/>
    <numFmt numFmtId="272" formatCode="#,##0"/>
    <numFmt numFmtId="273" formatCode="#,##0"/>
    <numFmt numFmtId="274" formatCode="#,##0"/>
    <numFmt numFmtId="275" formatCode="#,##0.00"/>
    <numFmt numFmtId="276" formatCode="#,##0.00"/>
    <numFmt numFmtId="277" formatCode="#,##0.00"/>
    <numFmt numFmtId="278" formatCode="#,##0.00"/>
    <numFmt numFmtId="279" formatCode="#,##0"/>
    <numFmt numFmtId="280" formatCode="#,##0"/>
    <numFmt numFmtId="281" formatCode="#,##0"/>
    <numFmt numFmtId="282" formatCode="#,##0"/>
    <numFmt numFmtId="283" formatCode="#,##0"/>
    <numFmt numFmtId="284" formatCode="#,##0.00"/>
    <numFmt numFmtId="285" formatCode="#,##0.00"/>
    <numFmt numFmtId="286" formatCode="#,##0"/>
    <numFmt numFmtId="287" formatCode="#,##0"/>
    <numFmt numFmtId="288" formatCode="#,##0"/>
    <numFmt numFmtId="289" formatCode="#,##0"/>
    <numFmt numFmtId="290" formatCode="#,##0"/>
    <numFmt numFmtId="291" formatCode="#,##0"/>
    <numFmt numFmtId="292" formatCode="#,##0"/>
    <numFmt numFmtId="293" formatCode="#,##0"/>
    <numFmt numFmtId="294" formatCode="#,##0"/>
    <numFmt numFmtId="295" formatCode="#,##0"/>
    <numFmt numFmtId="296" formatCode="#,##0"/>
    <numFmt numFmtId="297" formatCode="#,##0"/>
    <numFmt numFmtId="298" formatCode="#,##0"/>
    <numFmt numFmtId="299" formatCode="#,##0"/>
    <numFmt numFmtId="300" formatCode="#,##0"/>
    <numFmt numFmtId="301" formatCode="#,##0"/>
    <numFmt numFmtId="302" formatCode="#,##0"/>
    <numFmt numFmtId="303" formatCode="#,##0"/>
    <numFmt numFmtId="304" formatCode="#,##0"/>
    <numFmt numFmtId="305" formatCode="#,##0"/>
    <numFmt numFmtId="306" formatCode="#,##0"/>
    <numFmt numFmtId="307" formatCode="#,##0"/>
    <numFmt numFmtId="308" formatCode="#,##0"/>
    <numFmt numFmtId="309" formatCode="#,##0"/>
    <numFmt numFmtId="310" formatCode="#,##0"/>
    <numFmt numFmtId="311" formatCode="#,##0"/>
    <numFmt numFmtId="312" formatCode="#,##0"/>
    <numFmt numFmtId="313" formatCode="#,##0"/>
    <numFmt numFmtId="314" formatCode="#,##0"/>
    <numFmt numFmtId="315" formatCode="#,##0"/>
    <numFmt numFmtId="316" formatCode="#,##0"/>
    <numFmt numFmtId="317" formatCode="#,##0"/>
    <numFmt numFmtId="318" formatCode="#,##0"/>
    <numFmt numFmtId="319" formatCode="0.0000"/>
    <numFmt numFmtId="320" formatCode="#,##0"/>
    <numFmt numFmtId="321" formatCode="#,##0"/>
    <numFmt numFmtId="322" formatCode="#,##0"/>
    <numFmt numFmtId="323" formatCode="#,##0"/>
    <numFmt numFmtId="324" formatCode="#,##0"/>
    <numFmt numFmtId="325" formatCode="#,##0"/>
    <numFmt numFmtId="326" formatCode="0.0000%"/>
    <numFmt numFmtId="327" formatCode="#,##0"/>
    <numFmt numFmtId="328" formatCode="#,##0"/>
    <numFmt numFmtId="329" formatCode="#,##0"/>
    <numFmt numFmtId="330" formatCode="0.00"/>
    <numFmt numFmtId="331" formatCode="#,##0"/>
    <numFmt numFmtId="332" formatCode="0.0000%"/>
    <numFmt numFmtId="333" formatCode="0"/>
    <numFmt numFmtId="334" formatCode="0"/>
    <numFmt numFmtId="335" formatCode="#,##0.00"/>
    <numFmt numFmtId="336" formatCode="#,##0"/>
    <numFmt numFmtId="337" formatCode="0.000000"/>
    <numFmt numFmtId="338" formatCode="0.000000"/>
    <numFmt numFmtId="339" formatCode="0.000000"/>
    <numFmt numFmtId="340" formatCode="0.000000"/>
    <numFmt numFmtId="341" formatCode="0"/>
    <numFmt numFmtId="342" formatCode="0.000"/>
    <numFmt numFmtId="343" formatCode="0.000"/>
    <numFmt numFmtId="344" formatCode="0.000"/>
    <numFmt numFmtId="345" formatCode="0.00"/>
    <numFmt numFmtId="346" formatCode="0.000"/>
    <numFmt numFmtId="347" formatCode="#,##0"/>
    <numFmt numFmtId="348" formatCode="0.0000000000"/>
    <numFmt numFmtId="349" formatCode="0.0000000000"/>
    <numFmt numFmtId="350" formatCode="0.0000000000"/>
    <numFmt numFmtId="351" formatCode="0.0000000000"/>
    <numFmt numFmtId="352" formatCode="0"/>
    <numFmt numFmtId="354" formatCode="0.0%"/>
    <numFmt numFmtId="357" formatCode="0.000000"/>
    <numFmt numFmtId="358" formatCode="0.000000"/>
    <numFmt numFmtId="359" formatCode="0.000000"/>
    <numFmt numFmtId="360" formatCode="0.000000"/>
    <numFmt numFmtId="361" formatCode="0.000000"/>
    <numFmt numFmtId="362" formatCode="0.000000"/>
    <numFmt numFmtId="363" formatCode="0.000000"/>
    <numFmt numFmtId="364" formatCode="0.000000"/>
    <numFmt numFmtId="365" formatCode="#,##0"/>
    <numFmt numFmtId="366" formatCode="0.0000000000"/>
    <numFmt numFmtId="367" formatCode="0.0000000000"/>
    <numFmt numFmtId="368" formatCode="0.0000000000"/>
    <numFmt numFmtId="369" formatCode="0.0000000000"/>
  </numFmts>
  <fonts count="3">
    <font>
      <sz val="11"/>
      <color rgb="FF000000"/>
      <name val="Carlito"/>
    </font>
    <font>
      <sz val="11"/>
      <color rgb="FFFFFFFF"/>
      <name val="Carlito"/>
      <b/>
    </font>
    <font>
      <sz val="13"/>
      <color rgb="FFFFFFFF"/>
      <name val="Carlito"/>
      <b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</border>
  </borders>
  <cellStyleXfs count="1">
    <xf numFmtId="0" fontId="0" fillId="0" borderId="0"/>
  </cellStyleXfs>
  <cellXfs count="20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0" xfId="0" applyFont="1" applyFill="1"/>
    <xf numFmtId="0" fontId="0" fillId="4" borderId="0" xfId="0" applyFont="1" applyFill="1"/>
    <xf numFmtId="166" fontId="0" fillId="3" borderId="0" xfId="0" applyFont="1" applyNumberFormat="1" applyFill="1"/>
    <xf numFmtId="167" fontId="0" fillId="3" borderId="0" xfId="0" applyFont="1" applyNumberFormat="1" applyFill="1"/>
    <xf numFmtId="168" fontId="0" fillId="3" borderId="0" xfId="0" applyFont="1" applyNumberFormat="1" applyFill="1"/>
    <xf numFmtId="169" fontId="0" fillId="3" borderId="0" xfId="0" applyFont="1" applyNumberFormat="1" applyFill="1"/>
    <xf numFmtId="170" fontId="0" fillId="3" borderId="0" xfId="0" applyFont="1" applyNumberFormat="1" applyFill="1"/>
    <xf numFmtId="171" fontId="0" fillId="3" borderId="0" xfId="0" applyFont="1" applyNumberFormat="1" applyFill="1"/>
    <xf numFmtId="172" fontId="0" fillId="3" borderId="0" xfId="0" applyFont="1" applyNumberFormat="1" applyFill="1"/>
    <xf numFmtId="173" fontId="0" fillId="3" borderId="0" xfId="0" applyFont="1" applyNumberFormat="1" applyFill="1"/>
    <xf numFmtId="174" fontId="0" fillId="4" borderId="0" xfId="0" applyFont="1" applyNumberFormat="1" applyFill="1"/>
    <xf numFmtId="175" fontId="0" fillId="4" borderId="0" xfId="0" applyFont="1" applyNumberFormat="1" applyFill="1"/>
    <xf numFmtId="176" fontId="0" fillId="4" borderId="0" xfId="0" applyFont="1" applyNumberFormat="1" applyFill="1"/>
    <xf numFmtId="177" fontId="0" fillId="4" borderId="0" xfId="0" applyFont="1" applyNumberFormat="1" applyFill="1"/>
    <xf numFmtId="178" fontId="0" fillId="4" borderId="0" xfId="0" applyFont="1" applyNumberFormat="1" applyFill="1"/>
    <xf numFmtId="179" fontId="0" fillId="4" borderId="0" xfId="0" applyFont="1" applyNumberFormat="1" applyFill="1"/>
    <xf numFmtId="180" fontId="0" fillId="3" borderId="0" xfId="0" applyFont="1" applyNumberFormat="1" applyFill="1"/>
    <xf numFmtId="181" fontId="0" fillId="3" borderId="0" xfId="0" applyFont="1" applyNumberFormat="1" applyFill="1"/>
    <xf numFmtId="182" fontId="0" fillId="3" borderId="0" xfId="0" applyFont="1" applyNumberFormat="1" applyFill="1"/>
    <xf numFmtId="183" fontId="0" fillId="3" borderId="0" xfId="0" applyFont="1" applyNumberFormat="1" applyFill="1"/>
    <xf numFmtId="184" fontId="0" fillId="3" borderId="0" xfId="0" applyFont="1" applyNumberFormat="1" applyFill="1"/>
    <xf numFmtId="185" fontId="0" fillId="3" borderId="0" xfId="0" applyFont="1" applyNumberFormat="1" applyFill="1"/>
    <xf numFmtId="186" fontId="0" fillId="3" borderId="0" xfId="0" applyFont="1" applyNumberFormat="1" applyFill="1"/>
    <xf numFmtId="187" fontId="0" fillId="3" borderId="0" xfId="0" applyFont="1" applyNumberFormat="1" applyFill="1"/>
    <xf numFmtId="188" fontId="0" fillId="3" borderId="0" xfId="0" applyFont="1" applyNumberFormat="1" applyFill="1"/>
    <xf numFmtId="189" fontId="0" fillId="3" borderId="0" xfId="0" applyFont="1" applyNumberFormat="1" applyFill="1"/>
    <xf numFmtId="190" fontId="0" fillId="3" borderId="0" xfId="0" applyFont="1" applyNumberFormat="1" applyFill="1"/>
    <xf numFmtId="191" fontId="0" fillId="3" borderId="0" xfId="0" applyFont="1" applyNumberFormat="1" applyFill="1"/>
    <xf numFmtId="192" fontId="0" fillId="3" borderId="0" xfId="0" applyFont="1" applyNumberFormat="1" applyFill="1"/>
    <xf numFmtId="193" fontId="0" fillId="3" borderId="0" xfId="0" applyFont="1" applyNumberFormat="1" applyFill="1"/>
    <xf numFmtId="0" fontId="0" fillId="0" borderId="0" xfId="0" applyFont="1" applyAlignment="1">
      <alignment vertical="top" wrapText="1"/>
    </xf>
    <xf numFmtId="0" fontId="2" fillId="2" borderId="0" xfId="0" applyFont="1" applyFill="1" applyAlignment="1">
      <alignment vertical="center"/>
    </xf>
    <xf numFmtId="0" fontId="0" fillId="5" borderId="0" xfId="0" applyFont="1" applyFill="1"/>
    <xf numFmtId="194" fontId="0" fillId="5" borderId="0" xfId="0" applyFont="1" applyNumberFormat="1" applyFill="1"/>
    <xf numFmtId="195" fontId="0" fillId="0" borderId="0" xfId="0" applyFont="1" applyNumberFormat="1"/>
    <xf numFmtId="196" fontId="0" fillId="0" borderId="0" xfId="0" applyFont="1" applyNumberFormat="1"/>
    <xf numFmtId="197" fontId="0" fillId="0" borderId="0" xfId="0" applyFont="1" applyNumberFormat="1"/>
    <xf numFmtId="198" fontId="0" fillId="0" borderId="0" xfId="0" applyFont="1" applyNumberFormat="1"/>
    <xf numFmtId="199" fontId="0" fillId="0" borderId="0" xfId="0" applyFont="1" applyNumberFormat="1"/>
    <xf numFmtId="200" fontId="0" fillId="0" borderId="0" xfId="0" applyFont="1" applyNumberFormat="1"/>
    <xf numFmtId="201" fontId="0" fillId="5" borderId="0" xfId="0" applyFont="1" applyNumberFormat="1" applyFill="1"/>
    <xf numFmtId="202" fontId="0" fillId="0" borderId="0" xfId="0" applyFont="1" applyNumberFormat="1"/>
    <xf numFmtId="203" fontId="0" fillId="0" borderId="0" xfId="0" applyFont="1" applyNumberFormat="1"/>
    <xf numFmtId="204" fontId="0" fillId="0" borderId="0" xfId="0" applyFont="1" applyNumberFormat="1"/>
    <xf numFmtId="205" fontId="0" fillId="5" borderId="0" xfId="0" applyFont="1" applyNumberFormat="1" applyFill="1"/>
    <xf numFmtId="206" fontId="0" fillId="0" borderId="0" xfId="0" applyFont="1" applyNumberFormat="1"/>
    <xf numFmtId="207" fontId="0" fillId="0" borderId="0" xfId="0" applyFont="1" applyNumberFormat="1"/>
    <xf numFmtId="208" fontId="0" fillId="0" borderId="0" xfId="0" applyFont="1" applyNumberFormat="1"/>
    <xf numFmtId="209" fontId="0" fillId="0" borderId="0" xfId="0" applyFont="1" applyNumberFormat="1"/>
    <xf numFmtId="210" fontId="0" fillId="0" borderId="0" xfId="0" applyFont="1" applyNumberFormat="1"/>
    <xf numFmtId="212" fontId="0" fillId="0" borderId="0" xfId="0" applyFont="1" applyNumberFormat="1"/>
    <xf numFmtId="213" fontId="0" fillId="0" borderId="0" xfId="0" applyFont="1" applyNumberFormat="1"/>
    <xf numFmtId="214" fontId="0" fillId="0" borderId="0" xfId="0" applyFont="1" applyNumberFormat="1"/>
    <xf numFmtId="215" fontId="0" fillId="0" borderId="0" xfId="0" applyFont="1" applyNumberFormat="1"/>
    <xf numFmtId="216" fontId="0" fillId="0" borderId="0" xfId="0" applyFont="1" applyNumberFormat="1"/>
    <xf numFmtId="217" fontId="0" fillId="0" borderId="0" xfId="0" applyFont="1" applyNumberFormat="1"/>
    <xf numFmtId="218" fontId="0" fillId="0" borderId="0" xfId="0" applyFont="1" applyNumberFormat="1"/>
    <xf numFmtId="219" fontId="0" fillId="5" borderId="0" xfId="0" applyFont="1" applyNumberFormat="1" applyFill="1"/>
    <xf numFmtId="220" fontId="0" fillId="5" borderId="0" xfId="0" applyFont="1" applyNumberFormat="1" applyFill="1"/>
    <xf numFmtId="221" fontId="0" fillId="5" borderId="0" xfId="0" applyFont="1" applyNumberFormat="1" applyFill="1"/>
    <xf numFmtId="222" fontId="0" fillId="5" borderId="0" xfId="0" applyFont="1" applyNumberFormat="1" applyFill="1"/>
    <xf numFmtId="223" fontId="0" fillId="0" borderId="0" xfId="0" applyFont="1" applyNumberFormat="1"/>
    <xf numFmtId="224" fontId="0" fillId="5" borderId="0" xfId="0" applyFont="1" applyNumberFormat="1" applyFill="1"/>
    <xf numFmtId="211" fontId="0" fillId="0" borderId="0" xfId="0" applyFont="1" applyNumberFormat="1" applyAlignment="1">
      <alignment vertical="top" wrapText="1"/>
    </xf>
    <xf numFmtId="225" fontId="0" fillId="0" borderId="0" xfId="0" applyFont="1" applyNumberFormat="1"/>
    <xf numFmtId="226" fontId="0" fillId="0" borderId="0" xfId="0" applyFont="1" applyNumberFormat="1"/>
    <xf numFmtId="227" fontId="0" fillId="0" borderId="0" xfId="0" applyFont="1" applyNumberFormat="1"/>
    <xf numFmtId="228" fontId="0" fillId="4" borderId="0" xfId="0" applyFont="1" applyNumberFormat="1" applyFill="1"/>
    <xf numFmtId="229" fontId="0" fillId="5" borderId="0" xfId="0" applyFont="1" applyNumberFormat="1" applyFill="1"/>
    <xf numFmtId="230" fontId="0" fillId="4" borderId="0" xfId="0" applyFont="1" applyNumberFormat="1" applyFill="1"/>
    <xf numFmtId="231" fontId="0" fillId="5" borderId="0" xfId="0" applyFont="1" applyNumberFormat="1" applyFill="1"/>
    <xf numFmtId="232" fontId="0" fillId="0" borderId="0" xfId="0" applyFont="1" applyNumberFormat="1"/>
    <xf numFmtId="233" fontId="0" fillId="0" borderId="0" xfId="0" applyFont="1" applyNumberFormat="1"/>
    <xf numFmtId="234" fontId="0" fillId="0" borderId="0" xfId="0" applyFont="1" applyNumberFormat="1"/>
    <xf numFmtId="235" fontId="0" fillId="0" borderId="0" xfId="0" applyFont="1" applyNumberFormat="1"/>
    <xf numFmtId="236" fontId="0" fillId="0" borderId="0" xfId="0" applyFont="1" applyNumberFormat="1"/>
    <xf numFmtId="237" fontId="0" fillId="0" borderId="0" xfId="0" applyFont="1" applyNumberFormat="1"/>
    <xf numFmtId="238" fontId="0" fillId="5" borderId="0" xfId="0" applyFont="1" applyNumberFormat="1" applyFill="1"/>
    <xf numFmtId="240" fontId="0" fillId="5" borderId="0" xfId="0" applyFont="1" applyNumberFormat="1" applyFill="1"/>
    <xf numFmtId="241" fontId="0" fillId="5" borderId="0" xfId="0" applyFont="1" applyNumberFormat="1" applyFill="1"/>
    <xf numFmtId="242" fontId="0" fillId="5" borderId="0" xfId="0" applyFont="1" applyNumberFormat="1" applyFill="1"/>
    <xf numFmtId="243" fontId="0" fillId="5" borderId="0" xfId="0" applyFont="1" applyNumberFormat="1" applyFill="1"/>
    <xf numFmtId="244" fontId="0" fillId="5" borderId="0" xfId="0" applyFont="1" applyNumberFormat="1" applyFill="1"/>
    <xf numFmtId="245" fontId="0" fillId="5" borderId="0" xfId="0" applyFont="1" applyNumberFormat="1" applyFill="1"/>
    <xf numFmtId="246" fontId="0" fillId="5" borderId="0" xfId="0" applyFont="1" applyNumberFormat="1" applyFill="1"/>
    <xf numFmtId="247" fontId="0" fillId="5" borderId="0" xfId="0" applyFont="1" applyNumberFormat="1" applyFill="1"/>
    <xf numFmtId="248" fontId="0" fillId="5" borderId="0" xfId="0" applyFont="1" applyNumberFormat="1" applyFill="1"/>
    <xf numFmtId="249" fontId="0" fillId="5" borderId="0" xfId="0" applyFont="1" applyNumberFormat="1" applyFill="1"/>
    <xf numFmtId="250" fontId="0" fillId="5" borderId="0" xfId="0" applyFont="1" applyNumberFormat="1" applyFill="1"/>
    <xf numFmtId="251" fontId="0" fillId="5" borderId="0" xfId="0" applyFont="1" applyNumberFormat="1" applyFill="1"/>
    <xf numFmtId="252" fontId="0" fillId="5" borderId="0" xfId="0" applyFont="1" applyNumberFormat="1" applyFill="1"/>
    <xf numFmtId="253" fontId="0" fillId="5" borderId="0" xfId="0" applyFont="1" applyNumberFormat="1" applyFill="1"/>
    <xf numFmtId="254" fontId="0" fillId="5" borderId="0" xfId="0" applyFont="1" applyNumberFormat="1" applyFill="1"/>
    <xf numFmtId="255" fontId="0" fillId="5" borderId="0" xfId="0" applyFont="1" applyNumberFormat="1" applyFill="1"/>
    <xf numFmtId="256" fontId="0" fillId="5" borderId="0" xfId="0" applyFont="1" applyNumberFormat="1" applyFill="1"/>
    <xf numFmtId="257" fontId="0" fillId="5" borderId="0" xfId="0" applyFont="1" applyNumberFormat="1" applyFill="1"/>
    <xf numFmtId="258" fontId="0" fillId="4" borderId="0" xfId="0" applyFont="1" applyNumberFormat="1" applyFill="1"/>
    <xf numFmtId="259" fontId="0" fillId="4" borderId="0" xfId="0" applyFont="1" applyNumberFormat="1" applyFill="1"/>
    <xf numFmtId="260" fontId="0" fillId="5" borderId="0" xfId="0" applyFont="1" applyNumberFormat="1" applyFill="1"/>
    <xf numFmtId="261" fontId="0" fillId="4" borderId="0" xfId="0" applyFont="1" applyNumberFormat="1" applyFill="1"/>
    <xf numFmtId="262" fontId="0" fillId="5" borderId="0" xfId="0" applyFont="1" applyNumberFormat="1" applyFill="1"/>
    <xf numFmtId="263" fontId="0" fillId="5" borderId="0" xfId="0" applyFont="1" applyNumberFormat="1" applyFill="1"/>
    <xf numFmtId="264" fontId="0" fillId="5" borderId="0" xfId="0" applyFont="1" applyNumberFormat="1" applyFill="1"/>
    <xf numFmtId="265" fontId="0" fillId="5" borderId="0" xfId="0" applyFont="1" applyNumberFormat="1" applyFill="1"/>
    <xf numFmtId="266" fontId="0" fillId="4" borderId="0" xfId="0" applyFont="1" applyNumberFormat="1" applyFill="1"/>
    <xf numFmtId="267" fontId="0" fillId="0" borderId="0" xfId="0" applyFont="1" applyNumberFormat="1"/>
    <xf numFmtId="268" fontId="0" fillId="5" borderId="0" xfId="0" applyFont="1" applyNumberFormat="1" applyFill="1"/>
    <xf numFmtId="269" fontId="0" fillId="5" borderId="0" xfId="0" applyFont="1" applyNumberFormat="1" applyFill="1"/>
    <xf numFmtId="270" fontId="0" fillId="5" borderId="0" xfId="0" applyFont="1" applyNumberFormat="1" applyFill="1"/>
    <xf numFmtId="271" fontId="0" fillId="5" borderId="0" xfId="0" applyFont="1" applyNumberFormat="1" applyFill="1"/>
    <xf numFmtId="272" fontId="0" fillId="5" borderId="0" xfId="0" applyFont="1" applyNumberFormat="1" applyFill="1"/>
    <xf numFmtId="273" fontId="0" fillId="5" borderId="0" xfId="0" applyFont="1" applyNumberFormat="1" applyFill="1"/>
    <xf numFmtId="274" fontId="0" fillId="4" borderId="0" xfId="0" applyFont="1" applyNumberFormat="1" applyFill="1"/>
    <xf numFmtId="275" fontId="0" fillId="5" borderId="0" xfId="0" applyFont="1" applyNumberFormat="1" applyFill="1"/>
    <xf numFmtId="276" fontId="0" fillId="5" borderId="0" xfId="0" applyFont="1" applyNumberFormat="1" applyFill="1"/>
    <xf numFmtId="277" fontId="0" fillId="5" borderId="0" xfId="0" applyFont="1" applyNumberFormat="1" applyFill="1"/>
    <xf numFmtId="278" fontId="0" fillId="5" borderId="0" xfId="0" applyFont="1" applyNumberFormat="1" applyFill="1"/>
    <xf numFmtId="279" fontId="0" fillId="5" borderId="0" xfId="0" applyFont="1" applyNumberFormat="1" applyFill="1"/>
    <xf numFmtId="280" fontId="0" fillId="5" borderId="0" xfId="0" applyFont="1" applyNumberFormat="1" applyFill="1"/>
    <xf numFmtId="281" fontId="0" fillId="5" borderId="0" xfId="0" applyFont="1" applyNumberFormat="1" applyFill="1"/>
    <xf numFmtId="282" fontId="0" fillId="5" borderId="0" xfId="0" applyFont="1" applyNumberFormat="1" applyFill="1"/>
    <xf numFmtId="283" fontId="0" fillId="5" borderId="0" xfId="0" applyFont="1" applyNumberFormat="1" applyFill="1"/>
    <xf numFmtId="284" fontId="0" fillId="5" borderId="0" xfId="0" applyFont="1" applyNumberFormat="1" applyFill="1"/>
    <xf numFmtId="285" fontId="0" fillId="5" borderId="0" xfId="0" applyFont="1" applyNumberFormat="1" applyFill="1"/>
    <xf numFmtId="0" fontId="0" fillId="5" borderId="0" xfId="0" applyFont="1" applyFill="1" applyAlignment="1">
      <alignment vertical="top" wrapText="1"/>
    </xf>
    <xf numFmtId="286" fontId="0" fillId="4" borderId="0" xfId="0" applyFont="1" applyNumberFormat="1" applyFill="1"/>
    <xf numFmtId="287" fontId="0" fillId="4" borderId="0" xfId="0" applyFont="1" applyNumberFormat="1" applyFill="1"/>
    <xf numFmtId="288" fontId="0" fillId="5" borderId="0" xfId="0" applyFont="1" applyNumberFormat="1" applyFill="1"/>
    <xf numFmtId="289" fontId="0" fillId="4" borderId="0" xfId="0" applyFont="1" applyNumberFormat="1" applyFill="1"/>
    <xf numFmtId="290" fontId="0" fillId="4" borderId="0" xfId="0" applyFont="1" applyNumberFormat="1" applyFill="1"/>
    <xf numFmtId="291" fontId="0" fillId="5" borderId="0" xfId="0" applyFont="1" applyNumberFormat="1" applyFill="1"/>
    <xf numFmtId="292" fontId="0" fillId="4" borderId="0" xfId="0" applyFont="1" applyNumberFormat="1" applyFill="1"/>
    <xf numFmtId="293" fontId="0" fillId="4" borderId="0" xfId="0" applyFont="1" applyNumberFormat="1" applyFill="1"/>
    <xf numFmtId="294" fontId="0" fillId="5" borderId="0" xfId="0" applyFont="1" applyNumberFormat="1" applyFill="1"/>
    <xf numFmtId="295" fontId="0" fillId="4" borderId="0" xfId="0" applyFont="1" applyNumberFormat="1" applyFill="1"/>
    <xf numFmtId="296" fontId="0" fillId="4" borderId="0" xfId="0" applyFont="1" applyNumberFormat="1" applyFill="1"/>
    <xf numFmtId="297" fontId="0" fillId="5" borderId="0" xfId="0" applyFont="1" applyNumberFormat="1" applyFill="1"/>
    <xf numFmtId="298" fontId="0" fillId="4" borderId="0" xfId="0" applyFont="1" applyNumberFormat="1" applyFill="1"/>
    <xf numFmtId="299" fontId="0" fillId="4" borderId="0" xfId="0" applyFont="1" applyNumberFormat="1" applyFill="1"/>
    <xf numFmtId="300" fontId="0" fillId="5" borderId="0" xfId="0" applyFont="1" applyNumberFormat="1" applyFill="1"/>
    <xf numFmtId="301" fontId="0" fillId="5" borderId="0" xfId="0" applyFont="1" applyNumberFormat="1" applyFill="1"/>
    <xf numFmtId="302" fontId="0" fillId="4" borderId="0" xfId="0" applyFont="1" applyNumberFormat="1" applyFill="1"/>
    <xf numFmtId="303" fontId="0" fillId="4" borderId="0" xfId="0" applyFont="1" applyNumberFormat="1" applyFill="1"/>
    <xf numFmtId="304" fontId="0" fillId="4" borderId="0" xfId="0" applyFont="1" applyNumberFormat="1" applyFill="1"/>
    <xf numFmtId="305" fontId="0" fillId="4" borderId="0" xfId="0" applyFont="1" applyNumberFormat="1" applyFill="1"/>
    <xf numFmtId="306" fontId="0" fillId="4" borderId="0" xfId="0" applyFont="1" applyNumberFormat="1" applyFill="1"/>
    <xf numFmtId="307" fontId="0" fillId="4" borderId="0" xfId="0" applyFont="1" applyNumberFormat="1" applyFill="1"/>
    <xf numFmtId="308" fontId="0" fillId="5" borderId="0" xfId="0" applyFont="1" applyNumberFormat="1" applyFill="1"/>
    <xf numFmtId="309" fontId="0" fillId="5" borderId="0" xfId="0" applyFont="1" applyNumberFormat="1" applyFill="1"/>
    <xf numFmtId="310" fontId="0" fillId="5" borderId="0" xfId="0" applyFont="1" applyNumberFormat="1" applyFill="1"/>
    <xf numFmtId="311" fontId="0" fillId="5" borderId="0" xfId="0" applyFont="1" applyNumberFormat="1" applyFill="1"/>
    <xf numFmtId="312" fontId="0" fillId="5" borderId="0" xfId="0" applyFont="1" applyNumberFormat="1" applyFill="1"/>
    <xf numFmtId="313" fontId="0" fillId="5" borderId="0" xfId="0" applyFont="1" applyNumberFormat="1" applyFill="1"/>
    <xf numFmtId="314" fontId="0" fillId="5" borderId="0" xfId="0" applyFont="1" applyNumberFormat="1" applyFill="1"/>
    <xf numFmtId="315" fontId="0" fillId="5" borderId="0" xfId="0" applyFont="1" applyNumberFormat="1" applyFill="1"/>
    <xf numFmtId="316" fontId="0" fillId="5" borderId="0" xfId="0" applyFont="1" applyNumberFormat="1" applyFill="1"/>
    <xf numFmtId="317" fontId="0" fillId="5" borderId="0" xfId="0" applyFont="1" applyNumberFormat="1" applyFill="1"/>
    <xf numFmtId="318" fontId="0" fillId="5" borderId="0" xfId="0" applyFont="1" applyNumberFormat="1" applyFill="1"/>
    <xf numFmtId="319" fontId="0" fillId="5" borderId="0" xfId="0" applyFont="1" applyNumberFormat="1" applyFill="1"/>
    <xf numFmtId="320" fontId="0" fillId="5" borderId="0" xfId="0" applyFont="1" applyNumberFormat="1" applyFill="1"/>
    <xf numFmtId="321" fontId="0" fillId="5" borderId="0" xfId="0" applyFont="1" applyNumberFormat="1" applyFill="1"/>
    <xf numFmtId="322" fontId="0" fillId="5" borderId="0" xfId="0" applyFont="1" applyNumberFormat="1" applyFill="1"/>
    <xf numFmtId="323" fontId="0" fillId="5" borderId="0" xfId="0" applyFont="1" applyNumberFormat="1" applyFill="1"/>
    <xf numFmtId="324" fontId="0" fillId="5" borderId="0" xfId="0" applyFont="1" applyNumberFormat="1" applyFill="1"/>
    <xf numFmtId="325" fontId="0" fillId="5" borderId="0" xfId="0" applyFont="1" applyNumberFormat="1" applyFill="1"/>
    <xf numFmtId="326" fontId="0" fillId="5" borderId="0" xfId="0" applyFont="1" applyNumberFormat="1" applyFill="1"/>
    <xf numFmtId="327" fontId="0" fillId="5" borderId="0" xfId="0" applyFont="1" applyNumberFormat="1" applyFill="1"/>
    <xf numFmtId="328" fontId="0" fillId="5" borderId="0" xfId="0" applyFont="1" applyNumberFormat="1" applyFill="1"/>
    <xf numFmtId="329" fontId="0" fillId="5" borderId="0" xfId="0" applyFont="1" applyNumberFormat="1" applyFill="1"/>
    <xf numFmtId="330" fontId="0" fillId="5" borderId="0" xfId="0" applyFont="1" applyNumberFormat="1" applyFill="1"/>
    <xf numFmtId="331" fontId="0" fillId="5" borderId="0" xfId="0" applyFont="1" applyNumberFormat="1" applyFill="1"/>
    <xf numFmtId="332" fontId="0" fillId="5" borderId="0" xfId="0" applyFont="1" applyNumberFormat="1" applyFill="1"/>
    <xf numFmtId="333" fontId="0" fillId="0" borderId="0" xfId="0" applyFont="1" applyNumberFormat="1"/>
    <xf numFmtId="334" fontId="0" fillId="0" borderId="0" xfId="0" applyFont="1" applyNumberFormat="1"/>
    <xf numFmtId="335" fontId="0" fillId="4" borderId="0" xfId="0" applyFont="1" applyNumberFormat="1" applyFill="1"/>
    <xf numFmtId="336" fontId="0" fillId="4" borderId="0" xfId="0" applyFont="1" applyNumberFormat="1" applyFill="1"/>
    <xf numFmtId="337" fontId="0" fillId="5" borderId="0" xfId="0" applyFont="1" applyNumberFormat="1" applyFill="1"/>
    <xf numFmtId="338" fontId="0" fillId="5" borderId="0" xfId="0" applyFont="1" applyNumberFormat="1" applyFill="1"/>
    <xf numFmtId="339" fontId="0" fillId="5" borderId="0" xfId="0" applyFont="1" applyNumberFormat="1" applyFill="1"/>
    <xf numFmtId="340" fontId="0" fillId="5" borderId="0" xfId="0" applyFont="1" applyNumberFormat="1" applyFill="1"/>
    <xf numFmtId="341" fontId="0" fillId="0" borderId="0" xfId="0" applyFont="1" applyNumberFormat="1"/>
    <xf numFmtId="342" fontId="0" fillId="5" borderId="0" xfId="0" applyFont="1" applyNumberFormat="1" applyFill="1"/>
    <xf numFmtId="343" fontId="0" fillId="5" borderId="0" xfId="0" applyFont="1" applyNumberFormat="1" applyFill="1"/>
    <xf numFmtId="344" fontId="0" fillId="5" borderId="0" xfId="0" applyFont="1" applyNumberFormat="1" applyFill="1"/>
    <xf numFmtId="345" fontId="0" fillId="5" borderId="0" xfId="0" applyFont="1" applyNumberFormat="1" applyFill="1"/>
    <xf numFmtId="346" fontId="0" fillId="4" borderId="0" xfId="0" applyFont="1" applyNumberFormat="1" applyFill="1"/>
    <xf numFmtId="0" fontId="0" fillId="4" borderId="0" xfId="0" applyFont="1" applyFill="1" applyAlignment="1">
      <alignment vertical="top" wrapText="1"/>
    </xf>
    <xf numFmtId="347" fontId="0" fillId="3" borderId="0" xfId="0" applyFont="1" applyNumberFormat="1" applyFill="1"/>
    <xf numFmtId="348" fontId="0" fillId="3" borderId="0" xfId="0" applyFont="1" applyNumberFormat="1" applyFill="1"/>
    <xf numFmtId="349" fontId="0" fillId="3" borderId="0" xfId="0" applyFont="1" applyNumberFormat="1" applyFill="1"/>
    <xf numFmtId="350" fontId="0" fillId="3" borderId="0" xfId="0" applyFont="1" applyNumberFormat="1" applyFill="1"/>
    <xf numFmtId="351" fontId="0" fillId="3" borderId="0" xfId="0" applyFont="1" applyNumberFormat="1" applyFill="1"/>
    <xf numFmtId="352" fontId="0" fillId="4" borderId="0" xfId="0" applyFont="1" applyNumberFormat="1" applyFill="1"/>
    <xf numFmtId="354" fontId="0" fillId="4" borderId="0" xfId="0" applyFont="1" applyNumberFormat="1" applyFill="1"/>
    <xf numFmtId="357" fontId="0" fillId="4" borderId="0" xfId="0" applyFont="1" applyNumberFormat="1" applyFill="1"/>
    <xf numFmtId="358" fontId="0" fillId="4" borderId="0" xfId="0" applyFont="1" applyNumberFormat="1" applyFill="1"/>
    <xf numFmtId="359" fontId="0" fillId="4" borderId="0" xfId="0" applyFont="1" applyNumberFormat="1" applyFill="1"/>
    <xf numFmtId="360" fontId="0" fillId="4" borderId="0" xfId="0" applyFont="1" applyNumberFormat="1" applyFill="1"/>
    <xf numFmtId="361" fontId="0" fillId="4" borderId="0" xfId="0" applyFont="1" applyNumberFormat="1" applyFill="1"/>
    <xf numFmtId="362" fontId="0" fillId="4" borderId="0" xfId="0" applyFont="1" applyNumberFormat="1" applyFill="1"/>
    <xf numFmtId="363" fontId="0" fillId="5" borderId="0" xfId="0" applyFont="1" applyNumberFormat="1" applyFill="1"/>
    <xf numFmtId="364" fontId="0" fillId="5" borderId="0" xfId="0" applyFont="1" applyNumberFormat="1" applyFill="1"/>
    <xf numFmtId="365" fontId="0" fillId="4" borderId="0" xfId="0" applyFont="1" applyNumberFormat="1" applyFill="1"/>
    <xf numFmtId="366" fontId="0" fillId="4" borderId="0" xfId="0" applyFont="1" applyNumberFormat="1" applyFill="1"/>
    <xf numFmtId="367" fontId="0" fillId="4" borderId="0" xfId="0" applyFont="1" applyNumberFormat="1" applyFill="1"/>
    <xf numFmtId="368" fontId="0" fillId="5" borderId="0" xfId="0" applyFont="1" applyNumberFormat="1" applyFill="1"/>
    <xf numFmtId="369" fontId="0" fillId="4" borderId="0" xfId="0" applyFont="1" applyNumberFormat="1" applyFill="1"/>
  </cellXfs>
  <cellStyles count="1">
    <cellStyle name="Normal" xfId="0" builtinId="0"/>
  </cellStyles>
  <dxfs count="3">
    <dxf>
      <font>
        <sz val="11"/>
        <color rgb="FF006100"/>
        <name val="Carlito"/>
      </font>
      <fill>
        <patternFill patternType="solid">
          <bgColor rgb="FFC6EFCE"/>
        </patternFill>
      </fill>
    </dxf>
    <dxf>
      <font>
        <sz val="11"/>
        <color rgb="FF9C0006"/>
        <name val="Carlito"/>
      </font>
      <fill>
        <patternFill patternType="solid">
          <bgColor rgb="FFFFC7CE"/>
        </patternFill>
      </fill>
    </dxf>
    <dxf>
      <font>
        <sz val="11"/>
        <color rgb="FF9C6500"/>
        <name val="Carlito"/>
      </font>
      <fill>
        <patternFill patternType="solid">
          <bgColor rgb="FFFFEB9C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theme" Target="theme/theme1.xml"/><Relationship Id="rId24" Type="http://schemas.openxmlformats.org/officeDocument/2006/relationships/styles" Target="styles.xml"/><Relationship Id="rId2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.bin"/></Relationships>
</file>

<file path=xl/worksheets/_rels/sheet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</file>

<file path=xl/worksheets/_rels/sheet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.bin"/></Relationships>
</file>

<file path=xl/worksheets/_rels/sheet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4.bin"/></Relationships>
</file>

<file path=xl/worksheets/_rels/sheet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5.bin"/></Relationships>
</file>

<file path=xl/worksheets/_rels/sheet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6.bin"/></Relationships>
</file>

<file path=xl/worksheets/_rels/sheet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7.bin"/></Relationships>
</file>

<file path=xl/worksheets/_rels/sheet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8.bin"/></Relationships>
</file>

<file path=xl/worksheets/_rels/sheet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9.bin"/></Relationships>
</file>

<file path=xl/worksheets/_rels/sheet10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0.bin"/></Relationships>
</file>

<file path=xl/worksheets/_rels/sheet1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1.bin"/></Relationships>
</file>

<file path=xl/worksheets/_rels/sheet1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2.bin"/></Relationships>
</file>

<file path=xl/worksheets/_rels/sheet1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3.bin"/></Relationships>
</file>

<file path=xl/worksheets/_rels/sheet1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4.bin"/></Relationships>
</file>

<file path=xl/worksheets/_rels/sheet1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5.bin"/></Relationships>
</file>

<file path=xl/worksheets/_rels/sheet1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6.bin"/></Relationships>
</file>

<file path=xl/worksheets/_rels/sheet1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7.bin"/></Relationships>
</file>

<file path=xl/worksheets/_rels/sheet1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8.bin"/></Relationships>
</file>

<file path=xl/worksheets/_rels/sheet1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9.bin"/></Relationships>
</file>

<file path=xl/worksheets/_rels/sheet20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0.bin"/></Relationships>
</file>

<file path=xl/worksheets/_rels/sheet2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1.bin"/></Relationships>
</file>

<file path=xl/worksheets/_rels/sheet2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16.71" hidden="0" customWidth="1"/>
    <col min="3" max="3" width="16.71" hidden="0" customWidth="1"/>
    <col min="4" max="4" width="24.71" hidden="0" customWidth="1"/>
    <col min="5" max="5" width="62.71" hidden="0" customWidth="1"/>
    <col min="6" max="6" width="40.71" hidden="0" customWidth="1"/>
  </cols>
  <sheetData>
    <row r="1" ht="28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t="s">
        <v>6</v>
      </c>
      <c r="B2" s="4" t="n">
        <v>2025</v>
      </c>
      <c r="C2" t="s">
        <v>42</v>
      </c>
      <c r="D2" t="s">
        <v>43</v>
      </c>
      <c r="E2" s="32" t="s">
        <v>44</v>
      </c>
      <c r="F2" t="s">
        <v>45</v>
      </c>
    </row>
    <row r="3">
      <c r="A3" t="s">
        <v>7</v>
      </c>
      <c r="B3" s="5" t="n">
        <v>2050</v>
      </c>
      <c r="C3" t="s">
        <v>42</v>
      </c>
      <c r="D3" t="s">
        <v>43</v>
      </c>
      <c r="E3" s="32" t="s">
        <v>46</v>
      </c>
      <c r="F3" t="s">
        <v>45</v>
      </c>
    </row>
    <row r="4">
      <c r="A4" t="s">
        <v>8</v>
      </c>
      <c r="B4" s="2" t="s">
        <v>112</v>
      </c>
      <c r="C4" t="s">
        <v>47</v>
      </c>
      <c r="D4" t="s">
        <v>43</v>
      </c>
      <c r="E4" s="32" t="s">
        <v>48</v>
      </c>
      <c r="F4" t="s">
        <v>49</v>
      </c>
    </row>
    <row r="5">
      <c r="A5" t="s">
        <v>9</v>
      </c>
      <c r="B5" s="6" t="n">
        <v>0.03</v>
      </c>
      <c r="C5" t="s">
        <v>50</v>
      </c>
      <c r="D5" t="s">
        <v>43</v>
      </c>
      <c r="E5" s="32" t="s">
        <v>51</v>
      </c>
      <c r="F5" t="s">
        <v>45</v>
      </c>
    </row>
    <row r="6">
      <c r="A6" t="s">
        <v>10</v>
      </c>
      <c r="B6" s="7" t="n">
        <v>2023</v>
      </c>
      <c r="C6" t="s">
        <v>52</v>
      </c>
      <c r="D6" t="s">
        <v>53</v>
      </c>
      <c r="E6" s="32" t="s">
        <v>54</v>
      </c>
      <c r="F6" t="s">
        <v>55</v>
      </c>
    </row>
    <row r="7">
      <c r="A7" t="s">
        <v>11</v>
      </c>
      <c r="B7" s="2" t="s">
        <v>84</v>
      </c>
      <c r="C7" t="s">
        <v>11</v>
      </c>
      <c r="D7" t="s">
        <v>53</v>
      </c>
      <c r="E7" s="32" t="s">
        <v>56</v>
      </c>
      <c r="F7" t="s">
        <v>55</v>
      </c>
    </row>
    <row r="8">
      <c r="A8" t="s">
        <v>12</v>
      </c>
      <c r="B8" s="2" t="s">
        <v>113</v>
      </c>
      <c r="C8" t="s">
        <v>57</v>
      </c>
      <c r="D8" t="s">
        <v>53</v>
      </c>
      <c r="E8" s="32" t="s">
        <v>58</v>
      </c>
      <c r="F8" t="s">
        <v>55</v>
      </c>
    </row>
    <row r="9">
      <c r="A9" t="s">
        <v>13</v>
      </c>
      <c r="B9" s="2" t="s">
        <v>114</v>
      </c>
      <c r="C9" t="s">
        <v>57</v>
      </c>
      <c r="D9" t="s">
        <v>43</v>
      </c>
      <c r="E9" s="32" t="s">
        <v>59</v>
      </c>
      <c r="F9" t="s">
        <v>55</v>
      </c>
    </row>
    <row r="10">
      <c r="A10" t="s">
        <v>14</v>
      </c>
      <c r="B10" s="8" t="n">
        <v>0</v>
      </c>
      <c r="C10" t="s">
        <v>60</v>
      </c>
      <c r="D10" t="s">
        <v>61</v>
      </c>
      <c r="E10" s="32" t="s">
        <v>62</v>
      </c>
      <c r="F10" t="s">
        <v>55</v>
      </c>
    </row>
    <row r="11">
      <c r="A11" t="s">
        <v>15</v>
      </c>
      <c r="B11" s="9" t="n">
        <v>0.001</v>
      </c>
      <c r="C11" t="s">
        <v>63</v>
      </c>
      <c r="D11" t="s">
        <v>64</v>
      </c>
      <c r="E11" s="32" t="s">
        <v>65</v>
      </c>
      <c r="F11" t="s">
        <v>66</v>
      </c>
    </row>
    <row r="12">
      <c r="A12" t="s">
        <v>16</v>
      </c>
      <c r="B12" s="10" t="n">
        <v>1000</v>
      </c>
      <c r="C12" t="s">
        <v>67</v>
      </c>
      <c r="D12" t="s">
        <v>64</v>
      </c>
      <c r="E12" s="32" t="s">
        <v>68</v>
      </c>
      <c r="F12" t="s">
        <v>69</v>
      </c>
    </row>
    <row r="13">
      <c r="A13" t="s">
        <v>17</v>
      </c>
      <c r="B13" s="11" t="n">
        <v>2</v>
      </c>
      <c r="C13" t="s">
        <v>70</v>
      </c>
      <c r="D13" t="s">
        <v>71</v>
      </c>
      <c r="E13" s="32" t="s">
        <v>72</v>
      </c>
      <c r="F13" t="s">
        <v>73</v>
      </c>
    </row>
    <row r="14">
      <c r="A14" t="s">
        <v>18</v>
      </c>
      <c r="B14" s="12" t="n">
        <v>107.59</v>
      </c>
      <c r="C14" t="s">
        <v>67</v>
      </c>
      <c r="D14" t="s">
        <v>74</v>
      </c>
      <c r="E14" s="32" t="s">
        <v>75</v>
      </c>
      <c r="F14" t="s">
        <v>76</v>
      </c>
    </row>
    <row r="15">
      <c r="A15" t="s">
        <v>19</v>
      </c>
      <c r="B15" s="13" t="n">
        <v>1</v>
      </c>
      <c r="C15" t="s">
        <v>77</v>
      </c>
      <c r="D15" t="s">
        <v>74</v>
      </c>
      <c r="E15" s="32" t="s">
        <v>78</v>
      </c>
      <c r="F15" t="s">
        <v>76</v>
      </c>
    </row>
    <row r="16">
      <c r="A16" t="s">
        <v>20</v>
      </c>
      <c r="B16" s="14" t="n">
        <v>0</v>
      </c>
      <c r="C16" t="s">
        <v>77</v>
      </c>
      <c r="D16" t="s">
        <v>74</v>
      </c>
      <c r="E16" s="32" t="s">
        <v>79</v>
      </c>
      <c r="F16" t="s">
        <v>76</v>
      </c>
    </row>
    <row r="17">
      <c r="A17" t="s">
        <v>21</v>
      </c>
      <c r="B17" s="15" t="n">
        <v>1576845.09498966</v>
      </c>
      <c r="C17" t="s">
        <v>80</v>
      </c>
      <c r="D17" t="s">
        <v>81</v>
      </c>
      <c r="E17" s="32" t="s">
        <v>82</v>
      </c>
      <c r="F17" t="s">
        <v>83</v>
      </c>
    </row>
    <row r="18">
      <c r="A18" t="s">
        <v>22</v>
      </c>
      <c r="B18" s="16" t="n">
        <v>39611489282.9656</v>
      </c>
      <c r="C18" t="s">
        <v>84</v>
      </c>
      <c r="D18" t="s">
        <v>81</v>
      </c>
      <c r="E18" s="32" t="s">
        <v>85</v>
      </c>
      <c r="F18" t="s">
        <v>83</v>
      </c>
    </row>
    <row r="19">
      <c r="A19" t="s">
        <v>23</v>
      </c>
      <c r="B19" s="17" t="n">
        <v>25120.7232776567</v>
      </c>
      <c r="C19" t="s">
        <v>86</v>
      </c>
      <c r="D19" t="s">
        <v>81</v>
      </c>
      <c r="E19" s="32" t="s">
        <v>87</v>
      </c>
      <c r="F19" t="s">
        <v>83</v>
      </c>
    </row>
    <row r="20">
      <c r="A20" t="s">
        <v>24</v>
      </c>
      <c r="B20" s="3" t="s">
        <v>115</v>
      </c>
      <c r="C20" t="s">
        <v>47</v>
      </c>
      <c r="D20" t="s">
        <v>81</v>
      </c>
      <c r="E20" s="32" t="s">
        <v>88</v>
      </c>
      <c r="F20" t="s">
        <v>83</v>
      </c>
    </row>
    <row r="21">
      <c r="A21" t="s">
        <v>25</v>
      </c>
      <c r="B21" s="18" t="n">
        <v>2025</v>
      </c>
      <c r="C21" t="s">
        <v>42</v>
      </c>
      <c r="D21" t="s">
        <v>89</v>
      </c>
      <c r="E21" s="32" t="s">
        <v>90</v>
      </c>
      <c r="F21" t="s">
        <v>91</v>
      </c>
    </row>
    <row r="22">
      <c r="A22" t="s">
        <v>26</v>
      </c>
      <c r="B22" s="19" t="n">
        <v>0.03</v>
      </c>
      <c r="C22" t="s">
        <v>50</v>
      </c>
      <c r="D22" t="s">
        <v>89</v>
      </c>
      <c r="E22" s="32" t="s">
        <v>92</v>
      </c>
      <c r="F22" t="s">
        <v>91</v>
      </c>
    </row>
    <row r="23">
      <c r="A23" t="s">
        <v>27</v>
      </c>
      <c r="B23" s="20" t="n">
        <v>0.03</v>
      </c>
      <c r="C23" t="s">
        <v>50</v>
      </c>
      <c r="D23" t="s">
        <v>89</v>
      </c>
      <c r="E23" s="32" t="s">
        <v>93</v>
      </c>
      <c r="F23" t="s">
        <v>91</v>
      </c>
    </row>
    <row r="24">
      <c r="A24" t="s">
        <v>28</v>
      </c>
      <c r="B24" s="21" t="n">
        <v>0.08</v>
      </c>
      <c r="C24" t="s">
        <v>50</v>
      </c>
      <c r="D24" t="s">
        <v>89</v>
      </c>
      <c r="E24" s="32" t="s">
        <v>94</v>
      </c>
      <c r="F24" t="s">
        <v>91</v>
      </c>
    </row>
    <row r="25">
      <c r="A25" t="s">
        <v>29</v>
      </c>
      <c r="B25" s="22" t="n">
        <v>160</v>
      </c>
      <c r="C25" t="s">
        <v>95</v>
      </c>
      <c r="D25" t="s">
        <v>89</v>
      </c>
      <c r="E25" s="32" t="s">
        <v>96</v>
      </c>
      <c r="F25" t="s">
        <v>91</v>
      </c>
    </row>
    <row r="26">
      <c r="A26" t="s">
        <v>30</v>
      </c>
      <c r="B26" s="23" t="n">
        <v>1.5</v>
      </c>
      <c r="C26" t="s">
        <v>97</v>
      </c>
      <c r="D26" t="s">
        <v>89</v>
      </c>
      <c r="E26" s="32" t="s">
        <v>98</v>
      </c>
      <c r="F26" t="s">
        <v>91</v>
      </c>
    </row>
    <row r="27">
      <c r="A27" t="s">
        <v>31</v>
      </c>
      <c r="B27" s="24" t="n">
        <v>20</v>
      </c>
      <c r="C27" t="s">
        <v>95</v>
      </c>
      <c r="D27" t="s">
        <v>89</v>
      </c>
      <c r="E27" s="32" t="s">
        <v>99</v>
      </c>
      <c r="F27" t="s">
        <v>91</v>
      </c>
    </row>
    <row r="28">
      <c r="A28" t="s">
        <v>32</v>
      </c>
      <c r="B28" s="25" t="n">
        <v>100</v>
      </c>
      <c r="C28" t="s">
        <v>95</v>
      </c>
      <c r="D28" t="s">
        <v>89</v>
      </c>
      <c r="E28" s="32" t="s">
        <v>100</v>
      </c>
      <c r="F28" t="s">
        <v>91</v>
      </c>
    </row>
    <row r="29">
      <c r="A29" t="s">
        <v>33</v>
      </c>
      <c r="B29" s="26" t="n">
        <v>160</v>
      </c>
      <c r="C29" t="s">
        <v>95</v>
      </c>
      <c r="D29" t="s">
        <v>89</v>
      </c>
      <c r="E29" s="32" t="s">
        <v>101</v>
      </c>
      <c r="F29" t="s">
        <v>91</v>
      </c>
    </row>
    <row r="30">
      <c r="A30" t="s">
        <v>34</v>
      </c>
      <c r="B30" s="27" t="n">
        <v>15</v>
      </c>
      <c r="C30" t="s">
        <v>102</v>
      </c>
      <c r="D30" t="s">
        <v>89</v>
      </c>
      <c r="E30" s="32" t="s">
        <v>103</v>
      </c>
      <c r="F30" t="s">
        <v>91</v>
      </c>
    </row>
    <row r="31">
      <c r="A31" t="s">
        <v>35</v>
      </c>
      <c r="B31" s="28" t="n">
        <v>64</v>
      </c>
      <c r="C31" t="s">
        <v>102</v>
      </c>
      <c r="D31" t="s">
        <v>89</v>
      </c>
      <c r="E31" s="32" t="s">
        <v>104</v>
      </c>
      <c r="F31" t="s">
        <v>91</v>
      </c>
    </row>
    <row r="32">
      <c r="A32" t="s">
        <v>36</v>
      </c>
      <c r="B32" s="2" t="s">
        <v>116</v>
      </c>
      <c r="C32" t="s">
        <v>57</v>
      </c>
      <c r="D32" t="s">
        <v>89</v>
      </c>
      <c r="E32" s="32" t="s">
        <v>105</v>
      </c>
      <c r="F32" t="s">
        <v>91</v>
      </c>
    </row>
    <row r="33">
      <c r="A33" t="s">
        <v>37</v>
      </c>
      <c r="B33" s="29" t="n">
        <v>2023</v>
      </c>
      <c r="C33" t="s">
        <v>42</v>
      </c>
      <c r="D33" t="s">
        <v>89</v>
      </c>
      <c r="E33" s="32" t="s">
        <v>106</v>
      </c>
      <c r="F33" t="s">
        <v>91</v>
      </c>
    </row>
    <row r="34">
      <c r="A34" t="s">
        <v>38</v>
      </c>
      <c r="B34" s="30" t="n">
        <v>3</v>
      </c>
      <c r="C34" t="s">
        <v>107</v>
      </c>
      <c r="D34" t="s">
        <v>89</v>
      </c>
      <c r="E34" s="32" t="s">
        <v>108</v>
      </c>
      <c r="F34" t="s">
        <v>91</v>
      </c>
    </row>
    <row r="35">
      <c r="A35" t="s">
        <v>39</v>
      </c>
      <c r="B35" s="2" t="s">
        <v>117</v>
      </c>
      <c r="C35" t="s">
        <v>57</v>
      </c>
      <c r="D35" t="s">
        <v>89</v>
      </c>
      <c r="E35" s="32" t="s">
        <v>109</v>
      </c>
      <c r="F35" t="s">
        <v>91</v>
      </c>
    </row>
    <row r="36">
      <c r="A36" t="s">
        <v>40</v>
      </c>
      <c r="B36" s="2" t="s">
        <v>118</v>
      </c>
      <c r="C36" t="s">
        <v>57</v>
      </c>
      <c r="D36" t="s">
        <v>89</v>
      </c>
      <c r="E36" s="32" t="s">
        <v>110</v>
      </c>
      <c r="F36" t="s">
        <v>91</v>
      </c>
    </row>
    <row r="37">
      <c r="A37" t="s">
        <v>41</v>
      </c>
      <c r="B37" s="31" t="n">
        <v>0.0748813741634316</v>
      </c>
      <c r="C37" t="s">
        <v>50</v>
      </c>
      <c r="D37" t="s">
        <v>89</v>
      </c>
      <c r="E37" s="32" t="s">
        <v>111</v>
      </c>
      <c r="F37" t="s">
        <v>91</v>
      </c>
    </row>
  </sheetData>
  <autoFilter ref="A1:F1"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22.71" hidden="0" customWidth="1"/>
    <col min="2" max="2" width="118.71" hidden="0" customWidth="1"/>
  </cols>
  <sheetData>
    <row r="1" ht="22" customHeight="1">
      <c r="A1" s="33" t="s">
        <v>119</v>
      </c>
    </row>
    <row r="3">
      <c r="A3" s="1" t="s">
        <v>120</v>
      </c>
      <c r="B3" s="1" t="s">
        <v>121</v>
      </c>
    </row>
    <row r="4">
      <c r="A4" t="s">
        <v>122</v>
      </c>
      <c r="B4" s="32" t="s">
        <v>123</v>
      </c>
    </row>
    <row r="5">
      <c r="A5" t="s">
        <v>124</v>
      </c>
      <c r="B5" s="32" t="s">
        <v>125</v>
      </c>
    </row>
    <row r="6">
      <c r="A6" t="s">
        <v>126</v>
      </c>
      <c r="B6" s="32" t="s">
        <v>127</v>
      </c>
    </row>
    <row r="7">
      <c r="A7" t="s">
        <v>128</v>
      </c>
      <c r="B7" s="32" t="s">
        <v>129</v>
      </c>
    </row>
    <row r="8">
      <c r="A8" t="s">
        <v>130</v>
      </c>
      <c r="B8" s="32" t="s">
        <v>131</v>
      </c>
    </row>
    <row r="9">
      <c r="A9" t="s">
        <v>132</v>
      </c>
      <c r="B9" s="32" t="s">
        <v>133</v>
      </c>
    </row>
    <row r="10">
      <c r="A10" t="s">
        <v>134</v>
      </c>
      <c r="B10" s="32" t="s">
        <v>135</v>
      </c>
    </row>
    <row r="11">
      <c r="A11" t="s">
        <v>136</v>
      </c>
      <c r="B11" s="32" t="s">
        <v>137</v>
      </c>
    </row>
    <row r="12">
      <c r="A12" t="s">
        <v>138</v>
      </c>
      <c r="B12" s="32" t="s">
        <v>139</v>
      </c>
    </row>
    <row r="13">
      <c r="A13" t="s">
        <v>140</v>
      </c>
      <c r="B13" s="32" t="s">
        <v>141</v>
      </c>
    </row>
    <row r="14">
      <c r="A14" t="s">
        <v>142</v>
      </c>
      <c r="B14" s="32" t="s">
        <v>143</v>
      </c>
    </row>
    <row r="15">
      <c r="A15" t="s">
        <v>144</v>
      </c>
      <c r="B15" s="32" t="s">
        <v>145</v>
      </c>
    </row>
    <row r="16">
      <c r="A16" t="s">
        <v>146</v>
      </c>
      <c r="B16" s="32" t="s">
        <v>147</v>
      </c>
    </row>
    <row r="17">
      <c r="A17" t="s">
        <v>148</v>
      </c>
      <c r="B17" s="32" t="s">
        <v>149</v>
      </c>
    </row>
    <row r="18">
      <c r="A18" t="s">
        <v>150</v>
      </c>
      <c r="B18" s="32" t="s">
        <v>151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74.71" hidden="0" customWidth="1"/>
  </cols>
  <sheetData>
    <row r="1" ht="28" customHeight="1">
      <c r="A1" s="1" t="s">
        <v>152</v>
      </c>
      <c r="B1" s="1" t="s">
        <v>1</v>
      </c>
    </row>
    <row r="2">
      <c r="A2" t="s">
        <v>153</v>
      </c>
      <c r="B2" t="s">
        <v>154</v>
      </c>
    </row>
    <row r="3">
      <c r="A3" t="s">
        <v>155</v>
      </c>
      <c r="B3" t="s">
        <v>156</v>
      </c>
    </row>
    <row r="4">
      <c r="A4" t="s">
        <v>157</v>
      </c>
      <c r="B4" t="s">
        <v>158</v>
      </c>
    </row>
    <row r="5">
      <c r="A5" t="s">
        <v>159</v>
      </c>
      <c r="B5" t="s">
        <v>160</v>
      </c>
    </row>
    <row r="6">
      <c r="A6" t="s">
        <v>161</v>
      </c>
      <c r="B6" t="s">
        <v>162</v>
      </c>
    </row>
    <row r="7">
      <c r="A7" t="s">
        <v>163</v>
      </c>
      <c r="B7" t="s">
        <v>164</v>
      </c>
    </row>
    <row r="8">
      <c r="A8" t="s">
        <v>165</v>
      </c>
      <c r="B8" s="34" t="str">
        <f>'Calculation_Assumptions'!B2&amp;"-"&amp;'Calculation_Assumptions'!B3</f>
      </c>
    </row>
    <row r="9">
      <c r="A9" t="s">
        <v>167</v>
      </c>
      <c r="B9" s="34" t="str">
        <f>'Calculation_Assumptions'!B4</f>
      </c>
    </row>
    <row r="10">
      <c r="A10" t="s">
        <v>168</v>
      </c>
      <c r="B10" t="s">
        <v>115</v>
      </c>
    </row>
    <row r="11">
      <c r="A11" t="s">
        <v>169</v>
      </c>
      <c r="B11" s="35" t="str">
        <f>'Calculation_Assumptions'!B5</f>
      </c>
    </row>
    <row r="12">
      <c r="A12" t="s">
        <v>171</v>
      </c>
      <c r="B12" s="34" t="str">
        <f>'Calculation_Assumptions'!B6</f>
      </c>
    </row>
    <row r="13">
      <c r="A13" t="s">
        <v>173</v>
      </c>
      <c r="B13" s="34" t="str">
        <f>'Calculation_Assumptions'!B7</f>
      </c>
    </row>
    <row r="14">
      <c r="A14" t="s">
        <v>174</v>
      </c>
      <c r="B14" s="34" t="str">
        <f>'Calculation_Assumptions'!B8</f>
      </c>
    </row>
    <row r="15">
      <c r="A15" t="s">
        <v>175</v>
      </c>
      <c r="B15" s="34" t="str">
        <f>'Calculation_Assumptions'!B9</f>
      </c>
    </row>
    <row r="16">
      <c r="A16" t="s">
        <v>176</v>
      </c>
      <c r="B16" s="34" t="str">
        <f>'Calculation_Assumptions'!B10</f>
      </c>
    </row>
    <row r="17">
      <c r="A17" t="s">
        <v>178</v>
      </c>
      <c r="B17" t="s">
        <v>179</v>
      </c>
    </row>
    <row r="18">
      <c r="A18" t="s">
        <v>180</v>
      </c>
      <c r="B18" t="s">
        <v>181</v>
      </c>
    </row>
    <row r="19">
      <c r="A19" t="s">
        <v>182</v>
      </c>
      <c r="B19" t="s">
        <v>183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7.71" hidden="0" customWidth="1"/>
    <col min="2" max="2" width="24.71" hidden="0" customWidth="1"/>
    <col min="3" max="3" width="19.71" hidden="0" customWidth="1"/>
    <col min="4" max="4" width="11.71" hidden="0" customWidth="1"/>
    <col min="5" max="5" width="12.71" hidden="0" customWidth="1"/>
    <col min="6" max="6" width="12.71" hidden="0" customWidth="1"/>
    <col min="7" max="7" width="17.71" hidden="0" customWidth="1"/>
    <col min="8" max="8" width="15.71" hidden="0" customWidth="1"/>
    <col min="9" max="9" width="18.71" hidden="0" customWidth="1"/>
    <col min="10" max="10" width="14.71" hidden="0" customWidth="1"/>
    <col min="11" max="11" width="19.71" hidden="0" customWidth="1"/>
    <col min="12" max="12" width="19.71" hidden="0" customWidth="1"/>
    <col min="13" max="13" width="17.71" hidden="0" customWidth="1"/>
    <col min="14" max="14" width="12.71" hidden="0" customWidth="1"/>
    <col min="15" max="15" width="13.71" hidden="0" customWidth="1"/>
    <col min="16" max="16" width="27.71" hidden="0" customWidth="1"/>
    <col min="17" max="17" width="15.71" hidden="0" customWidth="1"/>
    <col min="18" max="18" width="12.71" hidden="0" customWidth="1"/>
    <col min="19" max="19" width="15.71" hidden="0" customWidth="1"/>
    <col min="20" max="20" width="17.71" hidden="0" customWidth="1"/>
    <col min="21" max="21" width="11.71" hidden="0" customWidth="1"/>
    <col min="22" max="22" width="16.71" hidden="0" customWidth="1"/>
  </cols>
  <sheetData>
    <row r="1" ht="28" customHeight="1">
      <c r="A1" s="1" t="s">
        <v>184</v>
      </c>
      <c r="B1" s="1" t="s">
        <v>185</v>
      </c>
      <c r="C1" s="1" t="s">
        <v>186</v>
      </c>
      <c r="D1" s="1" t="s">
        <v>187</v>
      </c>
      <c r="E1" s="1" t="s">
        <v>188</v>
      </c>
      <c r="F1" s="1" t="s">
        <v>189</v>
      </c>
      <c r="G1" s="1" t="s">
        <v>190</v>
      </c>
      <c r="H1" s="1" t="s">
        <v>191</v>
      </c>
      <c r="I1" s="1" t="s">
        <v>192</v>
      </c>
      <c r="J1" s="1" t="s">
        <v>193</v>
      </c>
      <c r="K1" s="1" t="s">
        <v>194</v>
      </c>
      <c r="L1" s="1" t="s">
        <v>195</v>
      </c>
      <c r="M1" s="1" t="s">
        <v>196</v>
      </c>
      <c r="N1" s="1" t="s">
        <v>197</v>
      </c>
      <c r="O1" s="1" t="s">
        <v>198</v>
      </c>
      <c r="P1" s="1" t="s">
        <v>199</v>
      </c>
      <c r="Q1" s="1" t="s">
        <v>200</v>
      </c>
      <c r="R1" s="1" t="s">
        <v>201</v>
      </c>
      <c r="S1" s="1" t="s">
        <v>202</v>
      </c>
      <c r="T1" s="1" t="s">
        <v>203</v>
      </c>
      <c r="U1" s="1" t="s">
        <v>204</v>
      </c>
      <c r="V1" s="1" t="s">
        <v>205</v>
      </c>
    </row>
    <row r="2">
      <c r="A2" t="s">
        <v>206</v>
      </c>
      <c r="B2" t="s">
        <v>207</v>
      </c>
      <c r="C2" t="s">
        <v>208</v>
      </c>
      <c r="D2" t="s">
        <v>209</v>
      </c>
      <c r="E2" t="s">
        <v>210</v>
      </c>
      <c r="F2" t="s">
        <v>211</v>
      </c>
      <c r="G2" t="s">
        <v>212</v>
      </c>
      <c r="H2" t="s">
        <v>213</v>
      </c>
      <c r="I2" t="s">
        <v>214</v>
      </c>
      <c r="J2" s="36" t="n">
        <v>0.47</v>
      </c>
      <c r="K2" s="37" t="n">
        <v>1</v>
      </c>
      <c r="L2" s="38" t="n">
        <v>0.113766857372906</v>
      </c>
      <c r="M2" s="39" t="n">
        <v>0.4165</v>
      </c>
      <c r="N2" s="40" t="n">
        <v>2025</v>
      </c>
      <c r="O2" s="41" t="n">
        <v>2040</v>
      </c>
      <c r="P2" s="42" t="str">
        <f>IF(OR(J2="",K2="",L2="",M2=""),"",ROUND(K2*(J2*(M2-L2)/(1-J2*L2)),4))</f>
      </c>
      <c r="Q2" s="43" t="s">
        <v>215</v>
      </c>
      <c r="R2" s="44" t="s">
        <v>216</v>
      </c>
      <c r="S2" t="s">
        <v>217</v>
      </c>
      <c r="T2" s="45" t="s">
        <v>218</v>
      </c>
      <c r="U2" s="46" t="str">
        <f>COUNTIF($B$2:$B$7,B2)</f>
      </c>
      <c r="V2" s="34" t="str">
        <f>IF(U2=1,"OK","DUPLICATE KEY")</f>
      </c>
    </row>
    <row r="3">
      <c r="A3" t="s">
        <v>206</v>
      </c>
      <c r="B3" t="s">
        <v>219</v>
      </c>
      <c r="C3" t="s">
        <v>208</v>
      </c>
      <c r="D3" t="s">
        <v>220</v>
      </c>
      <c r="E3" t="s">
        <v>221</v>
      </c>
      <c r="F3" t="s">
        <v>222</v>
      </c>
      <c r="G3" t="s">
        <v>212</v>
      </c>
      <c r="H3" t="s">
        <v>213</v>
      </c>
      <c r="I3" t="s">
        <v>214</v>
      </c>
      <c r="J3" s="36" t="n">
        <v>0.49</v>
      </c>
      <c r="K3" s="37" t="n">
        <v>0.8</v>
      </c>
      <c r="L3" s="38" t="n">
        <v>0.113766857372906</v>
      </c>
      <c r="M3" s="39" t="n">
        <v>0.4165</v>
      </c>
      <c r="N3" s="40" t="n">
        <v>2025</v>
      </c>
      <c r="O3" s="41" t="n">
        <v>2040</v>
      </c>
      <c r="P3" s="42" t="str">
        <f>IF(OR(J3="",K3="",L3="",M3=""),"",ROUND(K3*(J3*(M3-L3)/(1-J3*L3)),4))</f>
      </c>
      <c r="Q3" s="43" t="s">
        <v>215</v>
      </c>
      <c r="R3" s="44" t="s">
        <v>216</v>
      </c>
      <c r="S3" t="s">
        <v>217</v>
      </c>
      <c r="T3" s="45" t="s">
        <v>218</v>
      </c>
      <c r="U3" s="46" t="str">
        <f>COUNTIF($B$2:$B$7,B3)</f>
      </c>
      <c r="V3" s="34" t="str">
        <f>IF(U3=1,"OK","DUPLICATE KEY")</f>
      </c>
    </row>
    <row r="4">
      <c r="A4" t="s">
        <v>206</v>
      </c>
      <c r="B4" t="s">
        <v>223</v>
      </c>
      <c r="C4" t="s">
        <v>208</v>
      </c>
      <c r="D4" t="s">
        <v>224</v>
      </c>
      <c r="E4" t="s">
        <v>225</v>
      </c>
      <c r="F4" t="s">
        <v>226</v>
      </c>
      <c r="G4" t="s">
        <v>212</v>
      </c>
      <c r="H4" t="s">
        <v>213</v>
      </c>
      <c r="I4" t="s">
        <v>214</v>
      </c>
      <c r="J4" s="36" t="n">
        <v>0.58</v>
      </c>
      <c r="K4" s="37" t="n">
        <v>0.8</v>
      </c>
      <c r="L4" s="38" t="n">
        <v>0.113766857372906</v>
      </c>
      <c r="M4" s="39" t="n">
        <v>0.4165</v>
      </c>
      <c r="N4" s="40" t="n">
        <v>2025</v>
      </c>
      <c r="O4" s="41" t="n">
        <v>2040</v>
      </c>
      <c r="P4" s="42" t="str">
        <f>IF(OR(J4="",K4="",L4="",M4=""),"",ROUND(K4*(J4*(M4-L4)/(1-J4*L4)),4))</f>
      </c>
      <c r="Q4" s="43" t="s">
        <v>215</v>
      </c>
      <c r="R4" s="44" t="s">
        <v>216</v>
      </c>
      <c r="S4" t="s">
        <v>217</v>
      </c>
      <c r="T4" s="45" t="s">
        <v>218</v>
      </c>
      <c r="U4" s="46" t="str">
        <f>COUNTIF($B$2:$B$7,B4)</f>
      </c>
      <c r="V4" s="34" t="str">
        <f>IF(U4=1,"OK","DUPLICATE KEY")</f>
      </c>
    </row>
    <row r="5">
      <c r="A5" t="s">
        <v>206</v>
      </c>
      <c r="B5" t="s">
        <v>227</v>
      </c>
      <c r="C5" t="s">
        <v>208</v>
      </c>
      <c r="D5" t="s">
        <v>228</v>
      </c>
      <c r="E5" t="s">
        <v>229</v>
      </c>
      <c r="F5" t="s">
        <v>230</v>
      </c>
      <c r="G5" t="s">
        <v>212</v>
      </c>
      <c r="H5" t="s">
        <v>213</v>
      </c>
      <c r="I5" t="s">
        <v>214</v>
      </c>
      <c r="J5" s="36" t="n">
        <v>0.54</v>
      </c>
      <c r="K5" s="37" t="n">
        <v>0.8</v>
      </c>
      <c r="L5" s="38" t="n">
        <v>0.113766857372906</v>
      </c>
      <c r="M5" s="39" t="n">
        <v>0.4165</v>
      </c>
      <c r="N5" s="40" t="n">
        <v>2025</v>
      </c>
      <c r="O5" s="41" t="n">
        <v>2040</v>
      </c>
      <c r="P5" s="42" t="str">
        <f>IF(OR(J5="",K5="",L5="",M5=""),"",ROUND(K5*(J5*(M5-L5)/(1-J5*L5)),4))</f>
      </c>
      <c r="Q5" s="43" t="s">
        <v>215</v>
      </c>
      <c r="R5" s="44" t="s">
        <v>216</v>
      </c>
      <c r="S5" t="s">
        <v>217</v>
      </c>
      <c r="T5" s="45" t="s">
        <v>218</v>
      </c>
      <c r="U5" s="46" t="str">
        <f>COUNTIF($B$2:$B$7,B5)</f>
      </c>
      <c r="V5" s="34" t="str">
        <f>IF(U5=1,"OK","DUPLICATE KEY")</f>
      </c>
    </row>
    <row r="6">
      <c r="A6" t="s">
        <v>231</v>
      </c>
      <c r="B6" t="s">
        <v>232</v>
      </c>
      <c r="C6" t="s">
        <v>233</v>
      </c>
      <c r="D6" t="s">
        <v>234</v>
      </c>
      <c r="E6" t="s">
        <v>235</v>
      </c>
      <c r="F6" t="s">
        <v>236</v>
      </c>
      <c r="G6" t="s">
        <v>213</v>
      </c>
      <c r="H6" t="s">
        <v>237</v>
      </c>
      <c r="I6" t="s">
        <v>238</v>
      </c>
      <c r="J6" s="36" t="n">
        <v>0.28</v>
      </c>
      <c r="K6" s="37" t="n">
        <v>1</v>
      </c>
      <c r="L6" s="38" t="n">
        <v>0.147914612579645</v>
      </c>
      <c r="M6" s="39" t="n">
        <v>0.4165</v>
      </c>
      <c r="N6" s="40" t="n">
        <v>2025</v>
      </c>
      <c r="O6" s="41" t="n">
        <v>2040</v>
      </c>
      <c r="P6" s="42" t="str">
        <f>IF(OR(J6="",K6="",L6="",M6=""),"",ROUND(K6*(J6*(M6-L6)/(1-J6*L6)),4))</f>
      </c>
      <c r="Q6" s="43" t="s">
        <v>232</v>
      </c>
      <c r="R6" s="44" t="s">
        <v>239</v>
      </c>
      <c r="S6" t="s">
        <v>217</v>
      </c>
      <c r="T6" s="45" t="s">
        <v>218</v>
      </c>
      <c r="U6" s="46" t="str">
        <f>COUNTIF($B$2:$B$7,B6)</f>
      </c>
      <c r="V6" s="34" t="str">
        <f>IF(U6=1,"OK","DUPLICATE KEY")</f>
      </c>
    </row>
    <row r="7">
      <c r="A7" t="s">
        <v>231</v>
      </c>
      <c r="B7" t="s">
        <v>240</v>
      </c>
      <c r="C7" t="s">
        <v>233</v>
      </c>
      <c r="D7" t="s">
        <v>224</v>
      </c>
      <c r="E7" t="s">
        <v>225</v>
      </c>
      <c r="F7" t="s">
        <v>226</v>
      </c>
      <c r="G7" t="s">
        <v>213</v>
      </c>
      <c r="H7" t="s">
        <v>241</v>
      </c>
      <c r="I7" t="s">
        <v>238</v>
      </c>
      <c r="J7" s="36" t="n">
        <v>0.15</v>
      </c>
      <c r="K7" s="37" t="n">
        <v>0.15</v>
      </c>
      <c r="L7" s="38" t="n">
        <v>0.147914612579645</v>
      </c>
      <c r="M7" s="39" t="n">
        <v>0.4165</v>
      </c>
      <c r="N7" s="40" t="n">
        <v>2025</v>
      </c>
      <c r="O7" s="41" t="n">
        <v>2040</v>
      </c>
      <c r="P7" s="42" t="str">
        <f>IF(OR(J7="",K7="",L7="",M7=""),"",ROUND(K7*(J7*(M7-L7)/(1-J7*L7)),4))</f>
      </c>
      <c r="Q7" s="43" t="s">
        <v>232</v>
      </c>
      <c r="R7" s="44" t="s">
        <v>216</v>
      </c>
      <c r="S7" t="s">
        <v>242</v>
      </c>
      <c r="T7" s="45" t="s">
        <v>218</v>
      </c>
      <c r="U7" s="46" t="str">
        <f>COUNTIF($B$2:$B$7,B7)</f>
      </c>
      <c r="V7" s="34" t="str">
        <f>IF(U7=1,"OK","DUPLICATE KEY")</f>
      </c>
    </row>
  </sheetData>
  <autoFilter ref="A1:V1"/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6.71" hidden="0" customWidth="1"/>
    <col min="2" max="2" width="20.71" hidden="0" customWidth="1"/>
    <col min="3" max="3" width="13.71" hidden="0" customWidth="1"/>
    <col min="4" max="4" width="17.71" hidden="0" customWidth="1"/>
    <col min="5" max="5" width="11.71" hidden="0" customWidth="1"/>
    <col min="6" max="6" width="12.71" hidden="0" customWidth="1"/>
    <col min="7" max="7" width="15.71" hidden="0" customWidth="1"/>
    <col min="8" max="8" width="12.71" hidden="0" customWidth="1"/>
    <col min="9" max="9" width="16.71" hidden="0" customWidth="1"/>
    <col min="10" max="10" width="28.71" hidden="0" customWidth="1"/>
    <col min="11" max="11" width="29.71" hidden="0" customWidth="1"/>
    <col min="12" max="12" width="20.71" hidden="0" customWidth="1"/>
    <col min="13" max="13" width="13.71" hidden="0" customWidth="1"/>
    <col min="14" max="14" width="12.71" hidden="0" customWidth="1"/>
    <col min="15" max="15" width="11.71" hidden="0" customWidth="1"/>
    <col min="16" max="16" width="15.71" hidden="0" customWidth="1"/>
    <col min="17" max="17" width="12.71" hidden="0" customWidth="1"/>
    <col min="18" max="18" width="25.71" hidden="0" customWidth="1"/>
    <col min="19" max="19" width="14.71" hidden="0" customWidth="1"/>
    <col min="20" max="20" width="12.71" hidden="0" customWidth="1"/>
    <col min="21" max="21" width="16.71" hidden="0" customWidth="1"/>
    <col min="22" max="22" width="17.71" hidden="0" customWidth="1"/>
    <col min="23" max="23" width="13.71" hidden="0" customWidth="1"/>
    <col min="24" max="24" width="12.71" hidden="0" customWidth="1"/>
  </cols>
  <sheetData>
    <row r="1" ht="28" customHeight="1">
      <c r="A1" s="1" t="s">
        <v>243</v>
      </c>
      <c r="B1" s="1" t="s">
        <v>244</v>
      </c>
      <c r="C1" s="1" t="s">
        <v>245</v>
      </c>
      <c r="D1" s="1" t="s">
        <v>184</v>
      </c>
      <c r="E1" s="1" t="s">
        <v>187</v>
      </c>
      <c r="F1" s="1" t="s">
        <v>188</v>
      </c>
      <c r="G1" s="1" t="s">
        <v>200</v>
      </c>
      <c r="H1" s="1" t="s">
        <v>201</v>
      </c>
      <c r="I1" s="1" t="s">
        <v>246</v>
      </c>
      <c r="J1" s="1" t="s">
        <v>247</v>
      </c>
      <c r="K1" s="1" t="s">
        <v>248</v>
      </c>
      <c r="L1" s="1" t="s">
        <v>249</v>
      </c>
      <c r="M1" s="1" t="s">
        <v>250</v>
      </c>
      <c r="N1" s="1" t="s">
        <v>251</v>
      </c>
      <c r="O1" s="1" t="s">
        <v>252</v>
      </c>
      <c r="P1" s="1" t="s">
        <v>253</v>
      </c>
      <c r="Q1" s="1" t="s">
        <v>254</v>
      </c>
      <c r="R1" s="1" t="s">
        <v>255</v>
      </c>
      <c r="S1" s="1" t="s">
        <v>256</v>
      </c>
      <c r="T1" s="1" t="s">
        <v>257</v>
      </c>
      <c r="U1" s="1" t="s">
        <v>258</v>
      </c>
      <c r="V1" s="1" t="s">
        <v>259</v>
      </c>
      <c r="W1" s="1" t="s">
        <v>260</v>
      </c>
      <c r="X1" s="1" t="s">
        <v>261</v>
      </c>
    </row>
    <row r="2">
      <c r="A2" s="47" t="s">
        <v>262</v>
      </c>
      <c r="B2" s="48" t="s">
        <v>263</v>
      </c>
      <c r="C2" s="49" t="s">
        <v>264</v>
      </c>
      <c r="D2" t="s">
        <v>206</v>
      </c>
      <c r="E2" t="s">
        <v>265</v>
      </c>
      <c r="F2"/>
      <c r="G2" s="50" t="s">
        <v>215</v>
      </c>
      <c r="H2" s="51" t="s">
        <v>216</v>
      </c>
      <c r="I2" s="65" t="s">
        <v>266</v>
      </c>
      <c r="J2" s="52" t="s">
        <v>267</v>
      </c>
      <c r="K2" s="53" t="n">
        <v>0.06</v>
      </c>
      <c r="L2" s="54" t="n">
        <v>1</v>
      </c>
      <c r="M2" s="55" t="n">
        <v>30</v>
      </c>
      <c r="N2" s="56" t="n">
        <v>95</v>
      </c>
      <c r="O2" t="s">
        <v>268</v>
      </c>
      <c r="P2" s="57" t="n">
        <v>40.487719</v>
      </c>
      <c r="Q2" s="58" t="n">
        <v>2023</v>
      </c>
      <c r="R2" t="n">
        <v>1</v>
      </c>
      <c r="S2" s="59" t="str">
        <f>IFERROR(INDEX('Selected_Interventions'!$L$2:$L$7,MATCH(G2,'Selected_Interventions'!$Q$2:$Q$7,0)),"")</f>
      </c>
      <c r="T2" s="60" t="str">
        <f>IFERROR(INDEX('Selected_Interventions'!$M$2:$M$7,MATCH(G2,'Selected_Interventions'!$Q$2:$Q$7,0)),"")</f>
      </c>
      <c r="U2" s="61" t="str">
        <f>IFERROR(INDEX('Selected_Interventions'!$N$2:$N$7,MATCH(G2,'Selected_Interventions'!$Q$2:$Q$7,0)),"")</f>
      </c>
      <c r="V2" s="62" t="str">
        <f>IFERROR(INDEX('Selected_Interventions'!$O$2:$O$7,MATCH(G2,'Selected_Interventions'!$Q$2:$Q$7,0)),"")</f>
      </c>
      <c r="W2" s="63" t="s">
        <v>269</v>
      </c>
      <c r="X2" s="64" t="str">
        <f>IF(AND(P2&lt;&gt;"",P2&gt;=0,S2&lt;&gt;"",K2&lt;&gt;"",K2&gt;=0,K2&lt;=1,OR(J2="all",J2="prevalence",J2="incidence")),1,0)</f>
      </c>
    </row>
    <row r="3">
      <c r="A3" s="47" t="s">
        <v>270</v>
      </c>
      <c r="B3" s="48" t="s">
        <v>271</v>
      </c>
      <c r="C3" s="49" t="s">
        <v>264</v>
      </c>
      <c r="D3" t="s">
        <v>206</v>
      </c>
      <c r="E3" t="s">
        <v>265</v>
      </c>
      <c r="F3"/>
      <c r="G3" s="50" t="s">
        <v>215</v>
      </c>
      <c r="H3" s="51" t="s">
        <v>216</v>
      </c>
      <c r="I3" s="65" t="s">
        <v>272</v>
      </c>
      <c r="J3" s="52" t="s">
        <v>267</v>
      </c>
      <c r="K3" s="53" t="n">
        <v>0.2</v>
      </c>
      <c r="L3" s="54" t="n">
        <v>1</v>
      </c>
      <c r="M3" s="55" t="n">
        <v>30</v>
      </c>
      <c r="N3" s="56" t="n">
        <v>95</v>
      </c>
      <c r="O3" t="s">
        <v>268</v>
      </c>
      <c r="P3" s="57" t="n">
        <v>2.766522</v>
      </c>
      <c r="Q3" s="58" t="n">
        <v>2023</v>
      </c>
      <c r="R3" t="n">
        <v>1</v>
      </c>
      <c r="S3" s="59" t="str">
        <f>IFERROR(INDEX('Selected_Interventions'!$L$2:$L$7,MATCH(G3,'Selected_Interventions'!$Q$2:$Q$7,0)),"")</f>
      </c>
      <c r="T3" s="60" t="str">
        <f>IFERROR(INDEX('Selected_Interventions'!$M$2:$M$7,MATCH(G3,'Selected_Interventions'!$Q$2:$Q$7,0)),"")</f>
      </c>
      <c r="U3" s="61" t="str">
        <f>IFERROR(INDEX('Selected_Interventions'!$N$2:$N$7,MATCH(G3,'Selected_Interventions'!$Q$2:$Q$7,0)),"")</f>
      </c>
      <c r="V3" s="62" t="str">
        <f>IFERROR(INDEX('Selected_Interventions'!$O$2:$O$7,MATCH(G3,'Selected_Interventions'!$Q$2:$Q$7,0)),"")</f>
      </c>
      <c r="W3" s="63" t="s">
        <v>269</v>
      </c>
      <c r="X3" s="64" t="str">
        <f>IF(AND(P3&lt;&gt;"",P3&gt;=0,S3&lt;&gt;"",K3&lt;&gt;"",K3&gt;=0,K3&lt;=1,OR(J3="all",J3="prevalence",J3="incidence")),1,0)</f>
      </c>
    </row>
    <row r="4">
      <c r="A4" s="47" t="s">
        <v>273</v>
      </c>
      <c r="B4" s="48" t="s">
        <v>274</v>
      </c>
      <c r="C4" s="49" t="s">
        <v>275</v>
      </c>
      <c r="D4" t="s">
        <v>231</v>
      </c>
      <c r="E4" t="s">
        <v>234</v>
      </c>
      <c r="F4" t="s">
        <v>235</v>
      </c>
      <c r="G4" s="50" t="s">
        <v>232</v>
      </c>
      <c r="H4" s="51" t="s">
        <v>239</v>
      </c>
      <c r="I4" s="65" t="s">
        <v>276</v>
      </c>
      <c r="J4" s="52" t="s">
        <v>277</v>
      </c>
      <c r="K4" s="53" t="n">
        <v>0.2</v>
      </c>
      <c r="L4" s="54" t="n">
        <v>1</v>
      </c>
      <c r="M4" s="55" t="n">
        <v>30</v>
      </c>
      <c r="N4" s="56" t="n">
        <v>95</v>
      </c>
      <c r="O4" t="s">
        <v>268</v>
      </c>
      <c r="P4" s="57" t="n">
        <v>1154.03552166169</v>
      </c>
      <c r="Q4" s="58" t="n">
        <v>2023</v>
      </c>
      <c r="R4" t="n">
        <v>1</v>
      </c>
      <c r="S4" s="59" t="str">
        <f>IFERROR(INDEX('Selected_Interventions'!$L$2:$L$7,MATCH(G4,'Selected_Interventions'!$Q$2:$Q$7,0)),"")</f>
      </c>
      <c r="T4" s="60" t="str">
        <f>IFERROR(INDEX('Selected_Interventions'!$M$2:$M$7,MATCH(G4,'Selected_Interventions'!$Q$2:$Q$7,0)),"")</f>
      </c>
      <c r="U4" s="61" t="str">
        <f>IFERROR(INDEX('Selected_Interventions'!$N$2:$N$7,MATCH(G4,'Selected_Interventions'!$Q$2:$Q$7,0)),"")</f>
      </c>
      <c r="V4" s="62" t="str">
        <f>IFERROR(INDEX('Selected_Interventions'!$O$2:$O$7,MATCH(G4,'Selected_Interventions'!$Q$2:$Q$7,0)),"")</f>
      </c>
      <c r="W4" s="63" t="s">
        <v>278</v>
      </c>
      <c r="X4" s="64" t="str">
        <f>IF(AND(P4&lt;&gt;"",P4&gt;=0,S4&lt;&gt;"",K4&lt;&gt;"",K4&gt;=0,K4&lt;=1,OR(J4="all",J4="prevalence",J4="incidence")),1,0)</f>
      </c>
    </row>
    <row r="5">
      <c r="A5" s="47" t="s">
        <v>279</v>
      </c>
      <c r="B5" s="48" t="s">
        <v>280</v>
      </c>
      <c r="C5" s="49" t="s">
        <v>275</v>
      </c>
      <c r="D5" t="s">
        <v>231</v>
      </c>
      <c r="E5" t="s">
        <v>234</v>
      </c>
      <c r="F5" t="s">
        <v>235</v>
      </c>
      <c r="G5" s="50" t="s">
        <v>232</v>
      </c>
      <c r="H5" s="51" t="s">
        <v>239</v>
      </c>
      <c r="I5" s="65" t="s">
        <v>281</v>
      </c>
      <c r="J5" s="52" t="s">
        <v>277</v>
      </c>
      <c r="K5" s="53" t="n">
        <v>0.6</v>
      </c>
      <c r="L5" s="54" t="n">
        <v>1</v>
      </c>
      <c r="M5" s="55" t="n">
        <v>30</v>
      </c>
      <c r="N5" s="56" t="n">
        <v>95</v>
      </c>
      <c r="O5" t="s">
        <v>268</v>
      </c>
      <c r="P5" s="57" t="n">
        <v>752.576232260719</v>
      </c>
      <c r="Q5" s="58" t="n">
        <v>2023</v>
      </c>
      <c r="R5" t="n">
        <v>1</v>
      </c>
      <c r="S5" s="59" t="str">
        <f>IFERROR(INDEX('Selected_Interventions'!$L$2:$L$7,MATCH(G5,'Selected_Interventions'!$Q$2:$Q$7,0)),"")</f>
      </c>
      <c r="T5" s="60" t="str">
        <f>IFERROR(INDEX('Selected_Interventions'!$M$2:$M$7,MATCH(G5,'Selected_Interventions'!$Q$2:$Q$7,0)),"")</f>
      </c>
      <c r="U5" s="61" t="str">
        <f>IFERROR(INDEX('Selected_Interventions'!$N$2:$N$7,MATCH(G5,'Selected_Interventions'!$Q$2:$Q$7,0)),"")</f>
      </c>
      <c r="V5" s="62" t="str">
        <f>IFERROR(INDEX('Selected_Interventions'!$O$2:$O$7,MATCH(G5,'Selected_Interventions'!$Q$2:$Q$7,0)),"")</f>
      </c>
      <c r="W5" s="63" t="s">
        <v>278</v>
      </c>
      <c r="X5" s="64" t="str">
        <f>IF(AND(P5&lt;&gt;"",P5&gt;=0,S5&lt;&gt;"",K5&lt;&gt;"",K5&gt;=0,K5&lt;=1,OR(J5="all",J5="prevalence",J5="incidence")),1,0)</f>
      </c>
    </row>
    <row r="6">
      <c r="A6" s="47" t="s">
        <v>282</v>
      </c>
      <c r="B6" s="48" t="s">
        <v>283</v>
      </c>
      <c r="C6" s="49" t="s">
        <v>275</v>
      </c>
      <c r="D6" t="s">
        <v>231</v>
      </c>
      <c r="E6" t="s">
        <v>234</v>
      </c>
      <c r="F6" t="s">
        <v>235</v>
      </c>
      <c r="G6" s="50" t="s">
        <v>232</v>
      </c>
      <c r="H6" s="51" t="s">
        <v>239</v>
      </c>
      <c r="I6" s="65" t="s">
        <v>284</v>
      </c>
      <c r="J6" s="52" t="s">
        <v>267</v>
      </c>
      <c r="K6" s="53" t="n">
        <v>0.00001</v>
      </c>
      <c r="L6" s="54" t="n">
        <v>1</v>
      </c>
      <c r="M6" s="55" t="n">
        <v>30</v>
      </c>
      <c r="N6" s="56" t="n">
        <v>95</v>
      </c>
      <c r="O6" t="s">
        <v>268</v>
      </c>
      <c r="P6" s="57" t="n">
        <v>0.704958478219738</v>
      </c>
      <c r="Q6" s="58" t="n">
        <v>2023</v>
      </c>
      <c r="R6" t="n">
        <v>1</v>
      </c>
      <c r="S6" s="59" t="str">
        <f>IFERROR(INDEX('Selected_Interventions'!$L$2:$L$7,MATCH(G6,'Selected_Interventions'!$Q$2:$Q$7,0)),"")</f>
      </c>
      <c r="T6" s="60" t="str">
        <f>IFERROR(INDEX('Selected_Interventions'!$M$2:$M$7,MATCH(G6,'Selected_Interventions'!$Q$2:$Q$7,0)),"")</f>
      </c>
      <c r="U6" s="61" t="str">
        <f>IFERROR(INDEX('Selected_Interventions'!$N$2:$N$7,MATCH(G6,'Selected_Interventions'!$Q$2:$Q$7,0)),"")</f>
      </c>
      <c r="V6" s="62" t="str">
        <f>IFERROR(INDEX('Selected_Interventions'!$O$2:$O$7,MATCH(G6,'Selected_Interventions'!$Q$2:$Q$7,0)),"")</f>
      </c>
      <c r="W6" s="63" t="s">
        <v>278</v>
      </c>
      <c r="X6" s="64" t="str">
        <f>IF(AND(P6&lt;&gt;"",P6&gt;=0,S6&lt;&gt;"",K6&lt;&gt;"",K6&gt;=0,K6&lt;=1,OR(J6="all",J6="prevalence",J6="incidence")),1,0)</f>
      </c>
    </row>
  </sheetData>
  <autoFilter ref="A1:X1"/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11.71" hidden="0" customWidth="1"/>
    <col min="4" max="4" width="11.71" hidden="0" customWidth="1"/>
    <col min="5" max="5" width="11.71" hidden="0" customWidth="1"/>
    <col min="6" max="6" width="14.71" hidden="0" customWidth="1"/>
    <col min="7" max="7" width="13.71" hidden="0" customWidth="1"/>
    <col min="8" max="8" width="16.71" hidden="0" customWidth="1"/>
    <col min="9" max="9" width="12.71" hidden="0" customWidth="1"/>
    <col min="10" max="10" width="15.71" hidden="0" customWidth="1"/>
  </cols>
  <sheetData>
    <row r="1" ht="28" customHeight="1">
      <c r="A1" s="1" t="s">
        <v>285</v>
      </c>
      <c r="B1" s="1" t="s">
        <v>286</v>
      </c>
      <c r="C1" s="1" t="s">
        <v>42</v>
      </c>
      <c r="D1" s="1" t="s">
        <v>287</v>
      </c>
      <c r="E1" s="1" t="s">
        <v>288</v>
      </c>
      <c r="F1" s="1" t="s">
        <v>289</v>
      </c>
      <c r="G1" s="1" t="s">
        <v>290</v>
      </c>
      <c r="H1" s="1" t="s">
        <v>291</v>
      </c>
      <c r="I1" s="1" t="s">
        <v>292</v>
      </c>
      <c r="J1" s="1" t="s">
        <v>293</v>
      </c>
    </row>
    <row r="2">
      <c r="A2" t="s">
        <v>115</v>
      </c>
      <c r="B2" t="s">
        <v>294</v>
      </c>
      <c r="C2" s="66" t="n">
        <v>2025</v>
      </c>
      <c r="D2" t="s">
        <v>295</v>
      </c>
      <c r="E2" s="67" t="n">
        <v>11293.858953409</v>
      </c>
      <c r="F2" s="68" t="n">
        <v>8456.09110298007</v>
      </c>
      <c r="G2" s="69" t="n">
        <v>8456.09110298007</v>
      </c>
      <c r="H2" s="70" t="str">
        <f>G2-F2</f>
      </c>
      <c r="I2" s="71" t="n">
        <v>11293.858953409</v>
      </c>
      <c r="J2" s="72" t="str">
        <f>I2-E2</f>
      </c>
    </row>
    <row r="3">
      <c r="A3" t="s">
        <v>115</v>
      </c>
      <c r="B3" t="s">
        <v>294</v>
      </c>
      <c r="C3" s="66" t="n">
        <v>2025</v>
      </c>
      <c r="D3" t="s">
        <v>235</v>
      </c>
      <c r="E3" s="67" t="n">
        <v>796801.792482661</v>
      </c>
      <c r="F3" s="68" t="n">
        <v>124437.099676651</v>
      </c>
      <c r="G3" s="69" t="n">
        <v>124437.099676651</v>
      </c>
      <c r="H3" s="70" t="str">
        <f>G3-F3</f>
      </c>
      <c r="I3" s="71" t="n">
        <v>796801.792482661</v>
      </c>
      <c r="J3" s="72" t="str">
        <f>I3-E3</f>
      </c>
    </row>
    <row r="4">
      <c r="A4" t="s">
        <v>115</v>
      </c>
      <c r="B4" t="s">
        <v>294</v>
      </c>
      <c r="C4" s="66" t="n">
        <v>2025</v>
      </c>
      <c r="D4" t="s">
        <v>210</v>
      </c>
      <c r="E4" s="67" t="n">
        <v>110599.338170727</v>
      </c>
      <c r="F4" s="68" t="n">
        <v>70978.7980144995</v>
      </c>
      <c r="G4" s="69" t="n">
        <v>70978.7980144995</v>
      </c>
      <c r="H4" s="70" t="str">
        <f>G4-F4</f>
      </c>
      <c r="I4" s="71" t="n">
        <v>110599.338170727</v>
      </c>
      <c r="J4" s="72" t="str">
        <f>I4-E4</f>
      </c>
    </row>
    <row r="5">
      <c r="A5" t="s">
        <v>115</v>
      </c>
      <c r="B5" t="s">
        <v>294</v>
      </c>
      <c r="C5" s="66" t="n">
        <v>2025</v>
      </c>
      <c r="D5" t="s">
        <v>221</v>
      </c>
      <c r="E5" s="67" t="n">
        <v>269908.90899035</v>
      </c>
      <c r="F5" s="68" t="n">
        <v>250549.928104577</v>
      </c>
      <c r="G5" s="69" t="n">
        <v>250549.928104577</v>
      </c>
      <c r="H5" s="70" t="str">
        <f>G5-F5</f>
      </c>
      <c r="I5" s="71" t="n">
        <v>269908.90899035</v>
      </c>
      <c r="J5" s="72" t="str">
        <f>I5-E5</f>
      </c>
    </row>
    <row r="6">
      <c r="A6" t="s">
        <v>115</v>
      </c>
      <c r="B6" t="s">
        <v>294</v>
      </c>
      <c r="C6" s="66" t="n">
        <v>2025</v>
      </c>
      <c r="D6" t="s">
        <v>225</v>
      </c>
      <c r="E6" s="67" t="n">
        <v>605290.562665356</v>
      </c>
      <c r="F6" s="68" t="n">
        <v>336235.043603752</v>
      </c>
      <c r="G6" s="69" t="n">
        <v>336235.043603752</v>
      </c>
      <c r="H6" s="70" t="str">
        <f>G6-F6</f>
      </c>
      <c r="I6" s="71" t="n">
        <v>605290.562665356</v>
      </c>
      <c r="J6" s="72" t="str">
        <f>I6-E6</f>
      </c>
    </row>
    <row r="7">
      <c r="A7" t="s">
        <v>115</v>
      </c>
      <c r="B7" t="s">
        <v>294</v>
      </c>
      <c r="C7" s="66" t="n">
        <v>2025</v>
      </c>
      <c r="D7" t="s">
        <v>229</v>
      </c>
      <c r="E7" s="67" t="n">
        <v>328703.695708345</v>
      </c>
      <c r="F7" s="68" t="n">
        <v>165181.229862536</v>
      </c>
      <c r="G7" s="69" t="n">
        <v>165181.229862536</v>
      </c>
      <c r="H7" s="70" t="str">
        <f>G7-F7</f>
      </c>
      <c r="I7" s="71" t="n">
        <v>328703.695708345</v>
      </c>
      <c r="J7" s="72" t="str">
        <f>I7-E7</f>
      </c>
    </row>
    <row r="8">
      <c r="A8" t="s">
        <v>115</v>
      </c>
      <c r="B8" t="s">
        <v>294</v>
      </c>
      <c r="C8" s="66" t="n">
        <v>2025</v>
      </c>
      <c r="D8" t="s">
        <v>296</v>
      </c>
      <c r="E8" s="67" t="n">
        <v>12601.5188318307</v>
      </c>
      <c r="F8" s="68" t="n">
        <v>3955.30711895499</v>
      </c>
      <c r="G8" s="69" t="n">
        <v>3955.30711895499</v>
      </c>
      <c r="H8" s="70" t="str">
        <f>G8-F8</f>
      </c>
      <c r="I8" s="71" t="n">
        <v>12601.5188318307</v>
      </c>
      <c r="J8" s="72" t="str">
        <f>I8-E8</f>
      </c>
    </row>
    <row r="9">
      <c r="A9" t="s">
        <v>115</v>
      </c>
      <c r="B9" t="s">
        <v>294</v>
      </c>
      <c r="C9" s="66" t="n">
        <v>2026</v>
      </c>
      <c r="D9" t="s">
        <v>295</v>
      </c>
      <c r="E9" s="67" t="n">
        <v>11413.9401907849</v>
      </c>
      <c r="F9" s="68" t="n">
        <v>8503.048830729</v>
      </c>
      <c r="G9" s="69" t="n">
        <v>8503.048830729</v>
      </c>
      <c r="H9" s="70" t="str">
        <f>G9-F9</f>
      </c>
      <c r="I9" s="71" t="n">
        <v>11413.9401907849</v>
      </c>
      <c r="J9" s="72" t="str">
        <f>I9-E9</f>
      </c>
    </row>
    <row r="10">
      <c r="A10" t="s">
        <v>115</v>
      </c>
      <c r="B10" t="s">
        <v>294</v>
      </c>
      <c r="C10" s="66" t="n">
        <v>2026</v>
      </c>
      <c r="D10" t="s">
        <v>235</v>
      </c>
      <c r="E10" s="67" t="n">
        <v>813844.569716145</v>
      </c>
      <c r="F10" s="68" t="n">
        <v>128308.493308791</v>
      </c>
      <c r="G10" s="69" t="n">
        <v>128333.952745922</v>
      </c>
      <c r="H10" s="70" t="str">
        <f>G10-F10</f>
      </c>
      <c r="I10" s="71" t="n">
        <v>813844.569716145</v>
      </c>
      <c r="J10" s="72" t="str">
        <f>I10-E10</f>
      </c>
    </row>
    <row r="11">
      <c r="A11" t="s">
        <v>115</v>
      </c>
      <c r="B11" t="s">
        <v>294</v>
      </c>
      <c r="C11" s="66" t="n">
        <v>2026</v>
      </c>
      <c r="D11" t="s">
        <v>210</v>
      </c>
      <c r="E11" s="67" t="n">
        <v>113041.246361985</v>
      </c>
      <c r="F11" s="68" t="n">
        <v>72339.6884190733</v>
      </c>
      <c r="G11" s="69" t="n">
        <v>72339.6884190733</v>
      </c>
      <c r="H11" s="70" t="str">
        <f>G11-F11</f>
      </c>
      <c r="I11" s="71" t="n">
        <v>113261.467181129</v>
      </c>
      <c r="J11" s="72" t="str">
        <f>I11-E11</f>
      </c>
    </row>
    <row r="12">
      <c r="A12" t="s">
        <v>115</v>
      </c>
      <c r="B12" t="s">
        <v>294</v>
      </c>
      <c r="C12" s="66" t="n">
        <v>2026</v>
      </c>
      <c r="D12" t="s">
        <v>221</v>
      </c>
      <c r="E12" s="67" t="n">
        <v>273715.667008196</v>
      </c>
      <c r="F12" s="68" t="n">
        <v>254910.752627481</v>
      </c>
      <c r="G12" s="69" t="n">
        <v>254910.752627481</v>
      </c>
      <c r="H12" s="70" t="str">
        <f>G12-F12</f>
      </c>
      <c r="I12" s="71" t="n">
        <v>274200.577929512</v>
      </c>
      <c r="J12" s="72" t="str">
        <f>I12-E12</f>
      </c>
    </row>
    <row r="13">
      <c r="A13" t="s">
        <v>115</v>
      </c>
      <c r="B13" t="s">
        <v>294</v>
      </c>
      <c r="C13" s="66" t="n">
        <v>2026</v>
      </c>
      <c r="D13" t="s">
        <v>225</v>
      </c>
      <c r="E13" s="67" t="n">
        <v>618676.497636852</v>
      </c>
      <c r="F13" s="68" t="n">
        <v>344911.266224174</v>
      </c>
      <c r="G13" s="69" t="n">
        <v>344917.064339335</v>
      </c>
      <c r="H13" s="70" t="str">
        <f>G13-F13</f>
      </c>
      <c r="I13" s="71" t="n">
        <v>620097.594779103</v>
      </c>
      <c r="J13" s="72" t="str">
        <f>I13-E13</f>
      </c>
    </row>
    <row r="14">
      <c r="A14" t="s">
        <v>115</v>
      </c>
      <c r="B14" t="s">
        <v>294</v>
      </c>
      <c r="C14" s="66" t="n">
        <v>2026</v>
      </c>
      <c r="D14" t="s">
        <v>229</v>
      </c>
      <c r="E14" s="67" t="n">
        <v>334904.588849914</v>
      </c>
      <c r="F14" s="68" t="n">
        <v>167951.384337069</v>
      </c>
      <c r="G14" s="69" t="n">
        <v>167951.384337069</v>
      </c>
      <c r="H14" s="70" t="str">
        <f>G14-F14</f>
      </c>
      <c r="I14" s="71" t="n">
        <v>335570.10792798</v>
      </c>
      <c r="J14" s="72" t="str">
        <f>I14-E14</f>
      </c>
    </row>
    <row r="15">
      <c r="A15" t="s">
        <v>115</v>
      </c>
      <c r="B15" t="s">
        <v>294</v>
      </c>
      <c r="C15" s="66" t="n">
        <v>2026</v>
      </c>
      <c r="D15" t="s">
        <v>296</v>
      </c>
      <c r="E15" s="67" t="n">
        <v>12631.2009976529</v>
      </c>
      <c r="F15" s="68" t="n">
        <v>3824.41375844239</v>
      </c>
      <c r="G15" s="69" t="n">
        <v>3824.41375844239</v>
      </c>
      <c r="H15" s="70" t="str">
        <f>G15-F15</f>
      </c>
      <c r="I15" s="71" t="n">
        <v>12631.2009976529</v>
      </c>
      <c r="J15" s="72" t="str">
        <f>I15-E15</f>
      </c>
    </row>
    <row r="16">
      <c r="A16" t="s">
        <v>115</v>
      </c>
      <c r="B16" t="s">
        <v>294</v>
      </c>
      <c r="C16" s="66" t="n">
        <v>2027</v>
      </c>
      <c r="D16" t="s">
        <v>295</v>
      </c>
      <c r="E16" s="67" t="n">
        <v>11515.6019036079</v>
      </c>
      <c r="F16" s="68" t="n">
        <v>8579.03905337462</v>
      </c>
      <c r="G16" s="69" t="n">
        <v>8579.03905337462</v>
      </c>
      <c r="H16" s="70" t="str">
        <f>G16-F16</f>
      </c>
      <c r="I16" s="71" t="n">
        <v>11515.58910781</v>
      </c>
      <c r="J16" s="72" t="str">
        <f>I16-E16</f>
      </c>
    </row>
    <row r="17">
      <c r="A17" t="s">
        <v>115</v>
      </c>
      <c r="B17" t="s">
        <v>294</v>
      </c>
      <c r="C17" s="66" t="n">
        <v>2027</v>
      </c>
      <c r="D17" t="s">
        <v>235</v>
      </c>
      <c r="E17" s="67" t="n">
        <v>832166.951524599</v>
      </c>
      <c r="F17" s="68" t="n">
        <v>132410.148545518</v>
      </c>
      <c r="G17" s="69" t="n">
        <v>132462.188251167</v>
      </c>
      <c r="H17" s="70" t="str">
        <f>G17-F17</f>
      </c>
      <c r="I17" s="71" t="n">
        <v>832166.906185925</v>
      </c>
      <c r="J17" s="72" t="str">
        <f>I17-E17</f>
      </c>
    </row>
    <row r="18">
      <c r="A18" t="s">
        <v>115</v>
      </c>
      <c r="B18" t="s">
        <v>294</v>
      </c>
      <c r="C18" s="66" t="n">
        <v>2027</v>
      </c>
      <c r="D18" t="s">
        <v>210</v>
      </c>
      <c r="E18" s="67" t="n">
        <v>115481.686547736</v>
      </c>
      <c r="F18" s="68" t="n">
        <v>73825.1971003721</v>
      </c>
      <c r="G18" s="69" t="n">
        <v>73859.9102925664</v>
      </c>
      <c r="H18" s="70" t="str">
        <f>G18-F18</f>
      </c>
      <c r="I18" s="71" t="n">
        <v>115932.769375635</v>
      </c>
      <c r="J18" s="72" t="str">
        <f>I18-E18</f>
      </c>
    </row>
    <row r="19">
      <c r="A19" t="s">
        <v>115</v>
      </c>
      <c r="B19" t="s">
        <v>294</v>
      </c>
      <c r="C19" s="66" t="n">
        <v>2027</v>
      </c>
      <c r="D19" t="s">
        <v>221</v>
      </c>
      <c r="E19" s="67" t="n">
        <v>277522.63989424</v>
      </c>
      <c r="F19" s="68" t="n">
        <v>259110.979342482</v>
      </c>
      <c r="G19" s="69" t="n">
        <v>259318.038089282</v>
      </c>
      <c r="H19" s="70" t="str">
        <f>G19-F19</f>
      </c>
      <c r="I19" s="71" t="n">
        <v>278508.667642155</v>
      </c>
      <c r="J19" s="72" t="str">
        <f>I19-E19</f>
      </c>
    </row>
    <row r="20">
      <c r="A20" t="s">
        <v>115</v>
      </c>
      <c r="B20" t="s">
        <v>294</v>
      </c>
      <c r="C20" s="66" t="n">
        <v>2027</v>
      </c>
      <c r="D20" t="s">
        <v>225</v>
      </c>
      <c r="E20" s="67" t="n">
        <v>632188.442674638</v>
      </c>
      <c r="F20" s="68" t="n">
        <v>354074.012849952</v>
      </c>
      <c r="G20" s="69" t="n">
        <v>354171.544362645</v>
      </c>
      <c r="H20" s="70" t="str">
        <f>G20-F20</f>
      </c>
      <c r="I20" s="71" t="n">
        <v>635095.671557741</v>
      </c>
      <c r="J20" s="72" t="str">
        <f>I20-E20</f>
      </c>
    </row>
    <row r="21">
      <c r="A21" t="s">
        <v>115</v>
      </c>
      <c r="B21" t="s">
        <v>294</v>
      </c>
      <c r="C21" s="66" t="n">
        <v>2027</v>
      </c>
      <c r="D21" t="s">
        <v>229</v>
      </c>
      <c r="E21" s="67" t="n">
        <v>341131.206237518</v>
      </c>
      <c r="F21" s="68" t="n">
        <v>171208.706907193</v>
      </c>
      <c r="G21" s="69" t="n">
        <v>171237.362695819</v>
      </c>
      <c r="H21" s="70" t="str">
        <f>G21-F21</f>
      </c>
      <c r="I21" s="71" t="n">
        <v>342492.405098957</v>
      </c>
      <c r="J21" s="72" t="str">
        <f>I21-E21</f>
      </c>
    </row>
    <row r="22">
      <c r="A22" t="s">
        <v>115</v>
      </c>
      <c r="B22" t="s">
        <v>294</v>
      </c>
      <c r="C22" s="66" t="n">
        <v>2027</v>
      </c>
      <c r="D22" t="s">
        <v>296</v>
      </c>
      <c r="E22" s="67" t="n">
        <v>12629.8030034608</v>
      </c>
      <c r="F22" s="68" t="n">
        <v>3692.70803496508</v>
      </c>
      <c r="G22" s="69" t="n">
        <v>3692.70803496508</v>
      </c>
      <c r="H22" s="70" t="str">
        <f>G22-F22</f>
      </c>
      <c r="I22" s="71" t="n">
        <v>12629.8028477439</v>
      </c>
      <c r="J22" s="72" t="str">
        <f>I22-E22</f>
      </c>
    </row>
    <row r="23">
      <c r="A23" t="s">
        <v>115</v>
      </c>
      <c r="B23" t="s">
        <v>294</v>
      </c>
      <c r="C23" s="66" t="n">
        <v>2028</v>
      </c>
      <c r="D23" t="s">
        <v>295</v>
      </c>
      <c r="E23" s="67" t="n">
        <v>11829.5317312991</v>
      </c>
      <c r="F23" s="68" t="n">
        <v>8690.97358353634</v>
      </c>
      <c r="G23" s="69" t="n">
        <v>8690.97079151088</v>
      </c>
      <c r="H23" s="70" t="str">
        <f>G23-F23</f>
      </c>
      <c r="I23" s="71" t="n">
        <v>11829.3995552585</v>
      </c>
      <c r="J23" s="72" t="str">
        <f>I23-E23</f>
      </c>
    </row>
    <row r="24">
      <c r="A24" t="s">
        <v>115</v>
      </c>
      <c r="B24" t="s">
        <v>294</v>
      </c>
      <c r="C24" s="66" t="n">
        <v>2028</v>
      </c>
      <c r="D24" t="s">
        <v>235</v>
      </c>
      <c r="E24" s="67" t="n">
        <v>854961.172057219</v>
      </c>
      <c r="F24" s="68" t="n">
        <v>136690.68292499</v>
      </c>
      <c r="G24" s="69" t="n">
        <v>136770.52662348</v>
      </c>
      <c r="H24" s="70" t="str">
        <f>G24-F24</f>
      </c>
      <c r="I24" s="71" t="n">
        <v>854958.476961541</v>
      </c>
      <c r="J24" s="72" t="str">
        <f>I24-E24</f>
      </c>
    </row>
    <row r="25">
      <c r="A25" t="s">
        <v>115</v>
      </c>
      <c r="B25" t="s">
        <v>294</v>
      </c>
      <c r="C25" s="66" t="n">
        <v>2028</v>
      </c>
      <c r="D25" t="s">
        <v>210</v>
      </c>
      <c r="E25" s="67" t="n">
        <v>118991.772690379</v>
      </c>
      <c r="F25" s="68" t="n">
        <v>75447.1697815906</v>
      </c>
      <c r="G25" s="69" t="n">
        <v>75545.0868001112</v>
      </c>
      <c r="H25" s="70" t="str">
        <f>G25-F25</f>
      </c>
      <c r="I25" s="71" t="n">
        <v>119684.609316206</v>
      </c>
      <c r="J25" s="72" t="str">
        <f>I25-E25</f>
      </c>
    </row>
    <row r="26">
      <c r="A26" t="s">
        <v>115</v>
      </c>
      <c r="B26" t="s">
        <v>294</v>
      </c>
      <c r="C26" s="66" t="n">
        <v>2028</v>
      </c>
      <c r="D26" t="s">
        <v>221</v>
      </c>
      <c r="E26" s="67" t="n">
        <v>281703.770362149</v>
      </c>
      <c r="F26" s="68" t="n">
        <v>263252.685509372</v>
      </c>
      <c r="G26" s="69" t="n">
        <v>263753.748205613</v>
      </c>
      <c r="H26" s="70" t="str">
        <f>G26-F26</f>
      </c>
      <c r="I26" s="71" t="n">
        <v>283208.63975277</v>
      </c>
      <c r="J26" s="72" t="str">
        <f>I26-E26</f>
      </c>
    </row>
    <row r="27">
      <c r="A27" t="s">
        <v>115</v>
      </c>
      <c r="B27" t="s">
        <v>294</v>
      </c>
      <c r="C27" s="66" t="n">
        <v>2028</v>
      </c>
      <c r="D27" t="s">
        <v>225</v>
      </c>
      <c r="E27" s="67" t="n">
        <v>649727.394963723</v>
      </c>
      <c r="F27" s="68" t="n">
        <v>363670.470858932</v>
      </c>
      <c r="G27" s="69" t="n">
        <v>363945.253777133</v>
      </c>
      <c r="H27" s="70" t="str">
        <f>G27-F27</f>
      </c>
      <c r="I27" s="71" t="n">
        <v>654200.049400957</v>
      </c>
      <c r="J27" s="72" t="str">
        <f>I27-E27</f>
      </c>
    </row>
    <row r="28">
      <c r="A28" t="s">
        <v>115</v>
      </c>
      <c r="B28" t="s">
        <v>294</v>
      </c>
      <c r="C28" s="66" t="n">
        <v>2028</v>
      </c>
      <c r="D28" t="s">
        <v>229</v>
      </c>
      <c r="E28" s="67" t="n">
        <v>349651.228621214</v>
      </c>
      <c r="F28" s="68" t="n">
        <v>175149.692718127</v>
      </c>
      <c r="G28" s="69" t="n">
        <v>175235.344826664</v>
      </c>
      <c r="H28" s="70" t="str">
        <f>G28-F28</f>
      </c>
      <c r="I28" s="71" t="n">
        <v>351745.983284134</v>
      </c>
      <c r="J28" s="72" t="str">
        <f>I28-E28</f>
      </c>
    </row>
    <row r="29">
      <c r="A29" t="s">
        <v>115</v>
      </c>
      <c r="B29" t="s">
        <v>294</v>
      </c>
      <c r="C29" s="66" t="n">
        <v>2028</v>
      </c>
      <c r="D29" t="s">
        <v>296</v>
      </c>
      <c r="E29" s="67" t="n">
        <v>12493.5414815772</v>
      </c>
      <c r="F29" s="68" t="n">
        <v>3559.53800335829</v>
      </c>
      <c r="G29" s="69" t="n">
        <v>3559.53799626408</v>
      </c>
      <c r="H29" s="70" t="str">
        <f>G29-F29</f>
      </c>
      <c r="I29" s="71" t="n">
        <v>12493.5410814872</v>
      </c>
      <c r="J29" s="72" t="str">
        <f>I29-E29</f>
      </c>
    </row>
    <row r="30">
      <c r="A30" t="s">
        <v>115</v>
      </c>
      <c r="B30" t="s">
        <v>294</v>
      </c>
      <c r="C30" s="66" t="n">
        <v>2029</v>
      </c>
      <c r="D30" t="s">
        <v>295</v>
      </c>
      <c r="E30" s="67" t="n">
        <v>12020.6465972177</v>
      </c>
      <c r="F30" s="68" t="n">
        <v>8820.42074404173</v>
      </c>
      <c r="G30" s="69" t="n">
        <v>8820.39462668691</v>
      </c>
      <c r="H30" s="70" t="str">
        <f>G30-F30</f>
      </c>
      <c r="I30" s="71" t="n">
        <v>12020.2428783132</v>
      </c>
      <c r="J30" s="72" t="str">
        <f>I30-E30</f>
      </c>
    </row>
    <row r="31">
      <c r="A31" t="s">
        <v>115</v>
      </c>
      <c r="B31" t="s">
        <v>294</v>
      </c>
      <c r="C31" s="66" t="n">
        <v>2029</v>
      </c>
      <c r="D31" t="s">
        <v>235</v>
      </c>
      <c r="E31" s="67" t="n">
        <v>872132.142115009</v>
      </c>
      <c r="F31" s="68" t="n">
        <v>141310.106188372</v>
      </c>
      <c r="G31" s="69" t="n">
        <v>141419.192572278</v>
      </c>
      <c r="H31" s="70" t="str">
        <f>G31-F31</f>
      </c>
      <c r="I31" s="71" t="n">
        <v>872122.58793486</v>
      </c>
      <c r="J31" s="72" t="str">
        <f>I31-E31</f>
      </c>
    </row>
    <row r="32">
      <c r="A32" t="s">
        <v>115</v>
      </c>
      <c r="B32" t="s">
        <v>294</v>
      </c>
      <c r="C32" s="66" t="n">
        <v>2029</v>
      </c>
      <c r="D32" t="s">
        <v>210</v>
      </c>
      <c r="E32" s="67" t="n">
        <v>121756.904280889</v>
      </c>
      <c r="F32" s="68" t="n">
        <v>77198.0847667682</v>
      </c>
      <c r="G32" s="69" t="n">
        <v>77383.2509010991</v>
      </c>
      <c r="H32" s="70" t="str">
        <f>G32-F32</f>
      </c>
      <c r="I32" s="71" t="n">
        <v>122702.091699448</v>
      </c>
      <c r="J32" s="72" t="str">
        <f>I32-E32</f>
      </c>
    </row>
    <row r="33">
      <c r="A33" t="s">
        <v>115</v>
      </c>
      <c r="B33" t="s">
        <v>294</v>
      </c>
      <c r="C33" s="66" t="n">
        <v>2029</v>
      </c>
      <c r="D33" t="s">
        <v>221</v>
      </c>
      <c r="E33" s="67" t="n">
        <v>285770.057656592</v>
      </c>
      <c r="F33" s="68" t="n">
        <v>267615.927354757</v>
      </c>
      <c r="G33" s="69" t="n">
        <v>268469.018676722</v>
      </c>
      <c r="H33" s="70" t="str">
        <f>G33-F33</f>
      </c>
      <c r="I33" s="71" t="n">
        <v>287809.159991119</v>
      </c>
      <c r="J33" s="72" t="str">
        <f>I33-E33</f>
      </c>
    </row>
    <row r="34">
      <c r="A34" t="s">
        <v>115</v>
      </c>
      <c r="B34" t="s">
        <v>294</v>
      </c>
      <c r="C34" s="66" t="n">
        <v>2029</v>
      </c>
      <c r="D34" t="s">
        <v>225</v>
      </c>
      <c r="E34" s="67" t="n">
        <v>663951.538440567</v>
      </c>
      <c r="F34" s="68" t="n">
        <v>373981.104769184</v>
      </c>
      <c r="G34" s="69" t="n">
        <v>374519.264871248</v>
      </c>
      <c r="H34" s="70" t="str">
        <f>G34-F34</f>
      </c>
      <c r="I34" s="71" t="n">
        <v>670042.029002105</v>
      </c>
      <c r="J34" s="72" t="str">
        <f>I34-E34</f>
      </c>
    </row>
    <row r="35">
      <c r="A35" t="s">
        <v>115</v>
      </c>
      <c r="B35" t="s">
        <v>294</v>
      </c>
      <c r="C35" s="66" t="n">
        <v>2029</v>
      </c>
      <c r="D35" t="s">
        <v>229</v>
      </c>
      <c r="E35" s="67" t="n">
        <v>356634.363231613</v>
      </c>
      <c r="F35" s="68" t="n">
        <v>179397.407257499</v>
      </c>
      <c r="G35" s="69" t="n">
        <v>179568.517960818</v>
      </c>
      <c r="H35" s="70" t="str">
        <f>G35-F35</f>
      </c>
      <c r="I35" s="71" t="n">
        <v>359486.672358836</v>
      </c>
      <c r="J35" s="72" t="str">
        <f>I35-E35</f>
      </c>
    </row>
    <row r="36">
      <c r="A36" t="s">
        <v>115</v>
      </c>
      <c r="B36" t="s">
        <v>294</v>
      </c>
      <c r="C36" s="66" t="n">
        <v>2029</v>
      </c>
      <c r="D36" t="s">
        <v>296</v>
      </c>
      <c r="E36" s="67" t="n">
        <v>12505.290469258</v>
      </c>
      <c r="F36" s="68" t="n">
        <v>3430.77107656654</v>
      </c>
      <c r="G36" s="69" t="n">
        <v>3430.77105367489</v>
      </c>
      <c r="H36" s="70" t="str">
        <f>G36-F36</f>
      </c>
      <c r="I36" s="71" t="n">
        <v>12505.2897091232</v>
      </c>
      <c r="J36" s="72" t="str">
        <f>I36-E36</f>
      </c>
    </row>
    <row r="37">
      <c r="A37" t="s">
        <v>115</v>
      </c>
      <c r="B37" t="s">
        <v>294</v>
      </c>
      <c r="C37" s="66" t="n">
        <v>2030</v>
      </c>
      <c r="D37" t="s">
        <v>295</v>
      </c>
      <c r="E37" s="67" t="n">
        <v>12275.1695267632</v>
      </c>
      <c r="F37" s="68" t="n">
        <v>8965.68941399229</v>
      </c>
      <c r="G37" s="69" t="n">
        <v>8965.59723882955</v>
      </c>
      <c r="H37" s="70" t="str">
        <f>G37-F37</f>
      </c>
      <c r="I37" s="71" t="n">
        <v>12274.2647344434</v>
      </c>
      <c r="J37" s="72" t="str">
        <f>I37-E37</f>
      </c>
    </row>
    <row r="38">
      <c r="A38" t="s">
        <v>115</v>
      </c>
      <c r="B38" t="s">
        <v>294</v>
      </c>
      <c r="C38" s="66" t="n">
        <v>2030</v>
      </c>
      <c r="D38" t="s">
        <v>235</v>
      </c>
      <c r="E38" s="67" t="n">
        <v>888670.600322162</v>
      </c>
      <c r="F38" s="68" t="n">
        <v>146116.53004099</v>
      </c>
      <c r="G38" s="69" t="n">
        <v>146256.073838529</v>
      </c>
      <c r="H38" s="70" t="str">
        <f>G38-F38</f>
      </c>
      <c r="I38" s="71" t="n">
        <v>888648.849091124</v>
      </c>
      <c r="J38" s="72" t="str">
        <f>I38-E38</f>
      </c>
    </row>
    <row r="39">
      <c r="A39" t="s">
        <v>115</v>
      </c>
      <c r="B39" t="s">
        <v>294</v>
      </c>
      <c r="C39" s="66" t="n">
        <v>2030</v>
      </c>
      <c r="D39" t="s">
        <v>210</v>
      </c>
      <c r="E39" s="67" t="n">
        <v>124894.789868124</v>
      </c>
      <c r="F39" s="68" t="n">
        <v>79042.3462389651</v>
      </c>
      <c r="G39" s="69" t="n">
        <v>79334.7983616028</v>
      </c>
      <c r="H39" s="70" t="str">
        <f>G39-F39</f>
      </c>
      <c r="I39" s="71" t="n">
        <v>126100.520404265</v>
      </c>
      <c r="J39" s="72" t="str">
        <f>I39-E39</f>
      </c>
    </row>
    <row r="40">
      <c r="A40" t="s">
        <v>115</v>
      </c>
      <c r="B40" t="s">
        <v>294</v>
      </c>
      <c r="C40" s="66" t="n">
        <v>2030</v>
      </c>
      <c r="D40" t="s">
        <v>221</v>
      </c>
      <c r="E40" s="67" t="n">
        <v>289706.338626105</v>
      </c>
      <c r="F40" s="68" t="n">
        <v>271909.96269865</v>
      </c>
      <c r="G40" s="69" t="n">
        <v>273157.810650434</v>
      </c>
      <c r="H40" s="70" t="str">
        <f>G40-F40</f>
      </c>
      <c r="I40" s="71" t="n">
        <v>292286.017029858</v>
      </c>
      <c r="J40" s="72" t="str">
        <f>I40-E40</f>
      </c>
    </row>
    <row r="41">
      <c r="A41" t="s">
        <v>115</v>
      </c>
      <c r="B41" t="s">
        <v>294</v>
      </c>
      <c r="C41" s="66" t="n">
        <v>2030</v>
      </c>
      <c r="D41" t="s">
        <v>225</v>
      </c>
      <c r="E41" s="67" t="n">
        <v>678780.052192751</v>
      </c>
      <c r="F41" s="68" t="n">
        <v>384531.442303768</v>
      </c>
      <c r="G41" s="69" t="n">
        <v>385417.279419066</v>
      </c>
      <c r="H41" s="70" t="str">
        <f>G41-F41</f>
      </c>
      <c r="I41" s="71" t="n">
        <v>686528.816871955</v>
      </c>
      <c r="J41" s="72" t="str">
        <f>I41-E41</f>
      </c>
    </row>
    <row r="42">
      <c r="A42" t="s">
        <v>115</v>
      </c>
      <c r="B42" t="s">
        <v>294</v>
      </c>
      <c r="C42" s="66" t="n">
        <v>2030</v>
      </c>
      <c r="D42" t="s">
        <v>229</v>
      </c>
      <c r="E42" s="67" t="n">
        <v>364324.093443482</v>
      </c>
      <c r="F42" s="68" t="n">
        <v>184093.192923348</v>
      </c>
      <c r="G42" s="69" t="n">
        <v>184377.512558869</v>
      </c>
      <c r="H42" s="70" t="str">
        <f>G42-F42</f>
      </c>
      <c r="I42" s="71" t="n">
        <v>367955.05484547</v>
      </c>
      <c r="J42" s="72" t="str">
        <f>I42-E42</f>
      </c>
    </row>
    <row r="43">
      <c r="A43" t="s">
        <v>115</v>
      </c>
      <c r="B43" t="s">
        <v>294</v>
      </c>
      <c r="C43" s="66" t="n">
        <v>2030</v>
      </c>
      <c r="D43" t="s">
        <v>296</v>
      </c>
      <c r="E43" s="67" t="n">
        <v>12655.2786326914</v>
      </c>
      <c r="F43" s="68" t="n">
        <v>3301.14670856632</v>
      </c>
      <c r="G43" s="69" t="n">
        <v>3301.14666213427</v>
      </c>
      <c r="H43" s="70" t="str">
        <f>G43-F43</f>
      </c>
      <c r="I43" s="71" t="n">
        <v>12655.2774901684</v>
      </c>
      <c r="J43" s="72" t="str">
        <f>I43-E43</f>
      </c>
    </row>
    <row r="44">
      <c r="A44" t="s">
        <v>115</v>
      </c>
      <c r="B44" t="s">
        <v>294</v>
      </c>
      <c r="C44" s="66" t="n">
        <v>2031</v>
      </c>
      <c r="D44" t="s">
        <v>295</v>
      </c>
      <c r="E44" s="67" t="n">
        <v>12508.3498616469</v>
      </c>
      <c r="F44" s="68" t="n">
        <v>9114.71370748183</v>
      </c>
      <c r="G44" s="69" t="n">
        <v>9114.48302310478</v>
      </c>
      <c r="H44" s="70" t="str">
        <f>G44-F44</f>
      </c>
      <c r="I44" s="71" t="n">
        <v>12506.5880665311</v>
      </c>
      <c r="J44" s="72" t="str">
        <f>I44-E44</f>
      </c>
    </row>
    <row r="45">
      <c r="A45" t="s">
        <v>115</v>
      </c>
      <c r="B45" t="s">
        <v>294</v>
      </c>
      <c r="C45" s="66" t="n">
        <v>2031</v>
      </c>
      <c r="D45" t="s">
        <v>235</v>
      </c>
      <c r="E45" s="67" t="n">
        <v>905741.545689338</v>
      </c>
      <c r="F45" s="68" t="n">
        <v>149699.037471763</v>
      </c>
      <c r="G45" s="69" t="n">
        <v>151017.314585235</v>
      </c>
      <c r="H45" s="70" t="str">
        <f>G45-F45</f>
      </c>
      <c r="I45" s="71" t="n">
        <v>905698.50533388</v>
      </c>
      <c r="J45" s="72" t="str">
        <f>I45-E45</f>
      </c>
    </row>
    <row r="46">
      <c r="A46" t="s">
        <v>115</v>
      </c>
      <c r="B46" t="s">
        <v>294</v>
      </c>
      <c r="C46" s="66" t="n">
        <v>2031</v>
      </c>
      <c r="D46" t="s">
        <v>210</v>
      </c>
      <c r="E46" s="67" t="n">
        <v>126591.139267099</v>
      </c>
      <c r="F46" s="68" t="n">
        <v>80804.9866863555</v>
      </c>
      <c r="G46" s="69" t="n">
        <v>81221.2142709578</v>
      </c>
      <c r="H46" s="70" t="str">
        <f>G46-F46</f>
      </c>
      <c r="I46" s="71" t="n">
        <v>129337.020613882</v>
      </c>
      <c r="J46" s="72" t="str">
        <f>I46-E46</f>
      </c>
    </row>
    <row r="47">
      <c r="A47" t="s">
        <v>115</v>
      </c>
      <c r="B47" t="s">
        <v>294</v>
      </c>
      <c r="C47" s="66" t="n">
        <v>2031</v>
      </c>
      <c r="D47" t="s">
        <v>221</v>
      </c>
      <c r="E47" s="67" t="n">
        <v>290759.617009852</v>
      </c>
      <c r="F47" s="68" t="n">
        <v>275733.17446962</v>
      </c>
      <c r="G47" s="69" t="n">
        <v>277404.152195349</v>
      </c>
      <c r="H47" s="70" t="str">
        <f>G47-F47</f>
      </c>
      <c r="I47" s="71" t="n">
        <v>296437.738378722</v>
      </c>
      <c r="J47" s="72" t="str">
        <f>I47-E47</f>
      </c>
    </row>
    <row r="48">
      <c r="A48" t="s">
        <v>115</v>
      </c>
      <c r="B48" t="s">
        <v>294</v>
      </c>
      <c r="C48" s="66" t="n">
        <v>2031</v>
      </c>
      <c r="D48" t="s">
        <v>225</v>
      </c>
      <c r="E48" s="67" t="n">
        <v>686153.080487889</v>
      </c>
      <c r="F48" s="68" t="n">
        <v>394528.358563789</v>
      </c>
      <c r="G48" s="69" t="n">
        <v>396078.261698986</v>
      </c>
      <c r="H48" s="70" t="str">
        <f>G48-F48</f>
      </c>
      <c r="I48" s="71" t="n">
        <v>702548.134334822</v>
      </c>
      <c r="J48" s="72" t="str">
        <f>I48-E48</f>
      </c>
    </row>
    <row r="49">
      <c r="A49" t="s">
        <v>115</v>
      </c>
      <c r="B49" t="s">
        <v>294</v>
      </c>
      <c r="C49" s="66" t="n">
        <v>2031</v>
      </c>
      <c r="D49" t="s">
        <v>229</v>
      </c>
      <c r="E49" s="67" t="n">
        <v>368213.286196975</v>
      </c>
      <c r="F49" s="68" t="n">
        <v>188720.742389849</v>
      </c>
      <c r="G49" s="69" t="n">
        <v>189147.352294789</v>
      </c>
      <c r="H49" s="70" t="str">
        <f>G49-F49</f>
      </c>
      <c r="I49" s="71" t="n">
        <v>376026.788964657</v>
      </c>
      <c r="J49" s="72" t="str">
        <f>I49-E49</f>
      </c>
    </row>
    <row r="50">
      <c r="A50" t="s">
        <v>115</v>
      </c>
      <c r="B50" t="s">
        <v>294</v>
      </c>
      <c r="C50" s="66" t="n">
        <v>2031</v>
      </c>
      <c r="D50" t="s">
        <v>296</v>
      </c>
      <c r="E50" s="67" t="n">
        <v>12740.6294740332</v>
      </c>
      <c r="F50" s="68" t="n">
        <v>3174.86324593687</v>
      </c>
      <c r="G50" s="69" t="n">
        <v>3174.86317276916</v>
      </c>
      <c r="H50" s="70" t="str">
        <f>G50-F50</f>
      </c>
      <c r="I50" s="71" t="n">
        <v>12740.6278729228</v>
      </c>
      <c r="J50" s="72" t="str">
        <f>I50-E50</f>
      </c>
    </row>
    <row r="51">
      <c r="A51" t="s">
        <v>115</v>
      </c>
      <c r="B51" t="s">
        <v>294</v>
      </c>
      <c r="C51" s="66" t="n">
        <v>2032</v>
      </c>
      <c r="D51" t="s">
        <v>295</v>
      </c>
      <c r="E51" s="67" t="n">
        <v>12747.444300304</v>
      </c>
      <c r="F51" s="68" t="n">
        <v>9268.38956969232</v>
      </c>
      <c r="G51" s="69" t="n">
        <v>9267.91175287106</v>
      </c>
      <c r="H51" s="70" t="str">
        <f>G51-F51</f>
      </c>
      <c r="I51" s="71" t="n">
        <v>12743.8944071303</v>
      </c>
      <c r="J51" s="72" t="str">
        <f>I51-E51</f>
      </c>
    </row>
    <row r="52">
      <c r="A52" t="s">
        <v>115</v>
      </c>
      <c r="B52" t="s">
        <v>294</v>
      </c>
      <c r="C52" s="66" t="n">
        <v>2032</v>
      </c>
      <c r="D52" t="s">
        <v>235</v>
      </c>
      <c r="E52" s="67" t="n">
        <v>923851.953841009</v>
      </c>
      <c r="F52" s="68" t="n">
        <v>153370.005957781</v>
      </c>
      <c r="G52" s="69" t="n">
        <v>155914.890344467</v>
      </c>
      <c r="H52" s="70" t="str">
        <f>G52-F52</f>
      </c>
      <c r="I52" s="71" t="n">
        <v>923778.433647484</v>
      </c>
      <c r="J52" s="72" t="str">
        <f>I52-E52</f>
      </c>
    </row>
    <row r="53">
      <c r="A53" t="s">
        <v>115</v>
      </c>
      <c r="B53" t="s">
        <v>294</v>
      </c>
      <c r="C53" s="66" t="n">
        <v>2032</v>
      </c>
      <c r="D53" t="s">
        <v>210</v>
      </c>
      <c r="E53" s="67" t="n">
        <v>128216.38020595</v>
      </c>
      <c r="F53" s="68" t="n">
        <v>82442.3405421953</v>
      </c>
      <c r="G53" s="69" t="n">
        <v>83164.0959360433</v>
      </c>
      <c r="H53" s="70" t="str">
        <f>G53-F53</f>
      </c>
      <c r="I53" s="71" t="n">
        <v>132566.317868369</v>
      </c>
      <c r="J53" s="72" t="str">
        <f>I53-E53</f>
      </c>
    </row>
    <row r="54">
      <c r="A54" t="s">
        <v>115</v>
      </c>
      <c r="B54" t="s">
        <v>294</v>
      </c>
      <c r="C54" s="66" t="n">
        <v>2032</v>
      </c>
      <c r="D54" t="s">
        <v>221</v>
      </c>
      <c r="E54" s="67" t="n">
        <v>291673.189861913</v>
      </c>
      <c r="F54" s="68" t="n">
        <v>278293.303076412</v>
      </c>
      <c r="G54" s="69" t="n">
        <v>281488.739628123</v>
      </c>
      <c r="H54" s="70" t="str">
        <f>G54-F54</f>
      </c>
      <c r="I54" s="71" t="n">
        <v>300504.550336341</v>
      </c>
      <c r="J54" s="72" t="str">
        <f>I54-E54</f>
      </c>
    </row>
    <row r="55">
      <c r="A55" t="s">
        <v>115</v>
      </c>
      <c r="B55" t="s">
        <v>294</v>
      </c>
      <c r="C55" s="66" t="n">
        <v>2032</v>
      </c>
      <c r="D55" t="s">
        <v>225</v>
      </c>
      <c r="E55" s="67" t="n">
        <v>693811.040743506</v>
      </c>
      <c r="F55" s="68" t="n">
        <v>404208.915219108</v>
      </c>
      <c r="G55" s="69" t="n">
        <v>406904.282877455</v>
      </c>
      <c r="H55" s="70" t="str">
        <f>G55-F55</f>
      </c>
      <c r="I55" s="71" t="n">
        <v>719168.67859234</v>
      </c>
      <c r="J55" s="72" t="str">
        <f>I55-E55</f>
      </c>
    </row>
    <row r="56">
      <c r="A56" t="s">
        <v>115</v>
      </c>
      <c r="B56" t="s">
        <v>294</v>
      </c>
      <c r="C56" s="66" t="n">
        <v>2032</v>
      </c>
      <c r="D56" t="s">
        <v>229</v>
      </c>
      <c r="E56" s="67" t="n">
        <v>372466.167967726</v>
      </c>
      <c r="F56" s="68" t="n">
        <v>193413.602505234</v>
      </c>
      <c r="G56" s="69" t="n">
        <v>194193.38475982</v>
      </c>
      <c r="H56" s="70" t="str">
        <f>G56-F56</f>
      </c>
      <c r="I56" s="71" t="n">
        <v>384609.051353766</v>
      </c>
      <c r="J56" s="72" t="str">
        <f>I56-E56</f>
      </c>
    </row>
    <row r="57">
      <c r="A57" t="s">
        <v>115</v>
      </c>
      <c r="B57" t="s">
        <v>294</v>
      </c>
      <c r="C57" s="66" t="n">
        <v>2032</v>
      </c>
      <c r="D57" t="s">
        <v>296</v>
      </c>
      <c r="E57" s="67" t="n">
        <v>12855.9479288631</v>
      </c>
      <c r="F57" s="68" t="n">
        <v>3046.52033058045</v>
      </c>
      <c r="G57" s="69" t="n">
        <v>3046.52022706146</v>
      </c>
      <c r="H57" s="70" t="str">
        <f>G57-F57</f>
      </c>
      <c r="I57" s="71" t="n">
        <v>12855.9427389859</v>
      </c>
      <c r="J57" s="72" t="str">
        <f>I57-E57</f>
      </c>
    </row>
    <row r="58">
      <c r="A58" t="s">
        <v>115</v>
      </c>
      <c r="B58" t="s">
        <v>294</v>
      </c>
      <c r="C58" s="66" t="n">
        <v>2033</v>
      </c>
      <c r="D58" t="s">
        <v>295</v>
      </c>
      <c r="E58" s="67" t="n">
        <v>13153.190749807</v>
      </c>
      <c r="F58" s="68" t="n">
        <v>9438.4863119083</v>
      </c>
      <c r="G58" s="69" t="n">
        <v>9437.49521839436</v>
      </c>
      <c r="H58" s="70" t="str">
        <f>G58-F58</f>
      </c>
      <c r="I58" s="71" t="n">
        <v>13146.3513901505</v>
      </c>
      <c r="J58" s="72" t="str">
        <f>I58-E58</f>
      </c>
    </row>
    <row r="59">
      <c r="A59" t="s">
        <v>115</v>
      </c>
      <c r="B59" t="s">
        <v>294</v>
      </c>
      <c r="C59" s="66" t="n">
        <v>2033</v>
      </c>
      <c r="D59" t="s">
        <v>235</v>
      </c>
      <c r="E59" s="67" t="n">
        <v>944648.068342496</v>
      </c>
      <c r="F59" s="68" t="n">
        <v>157000.757939041</v>
      </c>
      <c r="G59" s="69" t="n">
        <v>160821.219639763</v>
      </c>
      <c r="H59" s="70" t="str">
        <f>G59-F59</f>
      </c>
      <c r="I59" s="71" t="n">
        <v>944521.71811111</v>
      </c>
      <c r="J59" s="72" t="str">
        <f>I59-E59</f>
      </c>
    </row>
    <row r="60">
      <c r="A60" t="s">
        <v>115</v>
      </c>
      <c r="B60" t="s">
        <v>294</v>
      </c>
      <c r="C60" s="66" t="n">
        <v>2033</v>
      </c>
      <c r="D60" t="s">
        <v>210</v>
      </c>
      <c r="E60" s="67" t="n">
        <v>130678.835493239</v>
      </c>
      <c r="F60" s="68" t="n">
        <v>83956.1451724049</v>
      </c>
      <c r="G60" s="69" t="n">
        <v>85140.0559210379</v>
      </c>
      <c r="H60" s="70" t="str">
        <f>G60-F60</f>
      </c>
      <c r="I60" s="71" t="n">
        <v>136707.716312745</v>
      </c>
      <c r="J60" s="72" t="str">
        <f>I60-E60</f>
      </c>
    </row>
    <row r="61">
      <c r="A61" t="s">
        <v>115</v>
      </c>
      <c r="B61" t="s">
        <v>294</v>
      </c>
      <c r="C61" s="66" t="n">
        <v>2033</v>
      </c>
      <c r="D61" t="s">
        <v>221</v>
      </c>
      <c r="E61" s="67" t="n">
        <v>292442.442937837</v>
      </c>
      <c r="F61" s="68" t="n">
        <v>280110.016018413</v>
      </c>
      <c r="G61" s="69" t="n">
        <v>285297.748513227</v>
      </c>
      <c r="H61" s="70" t="str">
        <f>G61-F61</f>
      </c>
      <c r="I61" s="71" t="n">
        <v>304468.286850227</v>
      </c>
      <c r="J61" s="72" t="str">
        <f>I61-E61</f>
      </c>
    </row>
    <row r="62">
      <c r="A62" t="s">
        <v>115</v>
      </c>
      <c r="B62" t="s">
        <v>294</v>
      </c>
      <c r="C62" s="66" t="n">
        <v>2033</v>
      </c>
      <c r="D62" t="s">
        <v>225</v>
      </c>
      <c r="E62" s="67" t="n">
        <v>703674.032070157</v>
      </c>
      <c r="F62" s="68" t="n">
        <v>413278.311433261</v>
      </c>
      <c r="G62" s="69" t="n">
        <v>417591.194273361</v>
      </c>
      <c r="H62" s="70" t="str">
        <f>G62-F62</f>
      </c>
      <c r="I62" s="71" t="n">
        <v>738395.913710054</v>
      </c>
      <c r="J62" s="72" t="str">
        <f>I62-E62</f>
      </c>
    </row>
    <row r="63">
      <c r="A63" t="s">
        <v>115</v>
      </c>
      <c r="B63" t="s">
        <v>294</v>
      </c>
      <c r="C63" s="66" t="n">
        <v>2033</v>
      </c>
      <c r="D63" t="s">
        <v>229</v>
      </c>
      <c r="E63" s="67" t="n">
        <v>377488.586624647</v>
      </c>
      <c r="F63" s="68" t="n">
        <v>197977.971897748</v>
      </c>
      <c r="G63" s="69" t="n">
        <v>199311.530364044</v>
      </c>
      <c r="H63" s="70" t="str">
        <f>G63-F63</f>
      </c>
      <c r="I63" s="71" t="n">
        <v>394159.184915109</v>
      </c>
      <c r="J63" s="72" t="str">
        <f>I63-E63</f>
      </c>
    </row>
    <row r="64">
      <c r="A64" t="s">
        <v>115</v>
      </c>
      <c r="B64" t="s">
        <v>294</v>
      </c>
      <c r="C64" s="66" t="n">
        <v>2033</v>
      </c>
      <c r="D64" t="s">
        <v>296</v>
      </c>
      <c r="E64" s="67" t="n">
        <v>12780.7520891796</v>
      </c>
      <c r="F64" s="68" t="n">
        <v>2919.79481598234</v>
      </c>
      <c r="G64" s="69" t="n">
        <v>2919.79454897481</v>
      </c>
      <c r="H64" s="70" t="str">
        <f>G64-F64</f>
      </c>
      <c r="I64" s="71" t="n">
        <v>12780.7417922516</v>
      </c>
      <c r="J64" s="72" t="str">
        <f>I64-E64</f>
      </c>
    </row>
    <row r="65">
      <c r="A65" t="s">
        <v>115</v>
      </c>
      <c r="B65" t="s">
        <v>294</v>
      </c>
      <c r="C65" s="66" t="n">
        <v>2034</v>
      </c>
      <c r="D65" t="s">
        <v>295</v>
      </c>
      <c r="E65" s="67" t="n">
        <v>13408.1616993301</v>
      </c>
      <c r="F65" s="68" t="n">
        <v>9612.7454807306</v>
      </c>
      <c r="G65" s="69" t="n">
        <v>9610.78717894584</v>
      </c>
      <c r="H65" s="70" t="str">
        <f>G65-F65</f>
      </c>
      <c r="I65" s="71" t="n">
        <v>13396.3770662857</v>
      </c>
      <c r="J65" s="72" t="str">
        <f>I65-E65</f>
      </c>
    </row>
    <row r="66">
      <c r="A66" t="s">
        <v>115</v>
      </c>
      <c r="B66" t="s">
        <v>294</v>
      </c>
      <c r="C66" s="66" t="n">
        <v>2034</v>
      </c>
      <c r="D66" t="s">
        <v>235</v>
      </c>
      <c r="E66" s="67" t="n">
        <v>960431.499792205</v>
      </c>
      <c r="F66" s="68" t="n">
        <v>160683.65112833</v>
      </c>
      <c r="G66" s="69" t="n">
        <v>165832.802590949</v>
      </c>
      <c r="H66" s="70" t="str">
        <f>G66-F66</f>
      </c>
      <c r="I66" s="71" t="n">
        <v>960221.655861689</v>
      </c>
      <c r="J66" s="72" t="str">
        <f>I66-E66</f>
      </c>
    </row>
    <row r="67">
      <c r="A67" t="s">
        <v>115</v>
      </c>
      <c r="B67" t="s">
        <v>294</v>
      </c>
      <c r="C67" s="66" t="n">
        <v>2034</v>
      </c>
      <c r="D67" t="s">
        <v>210</v>
      </c>
      <c r="E67" s="67" t="n">
        <v>132174.429954429</v>
      </c>
      <c r="F67" s="68" t="n">
        <v>85342.7780308221</v>
      </c>
      <c r="G67" s="69" t="n">
        <v>87126.2119501461</v>
      </c>
      <c r="H67" s="70" t="str">
        <f>G67-F67</f>
      </c>
      <c r="I67" s="71" t="n">
        <v>139922.665552402</v>
      </c>
      <c r="J67" s="72" t="str">
        <f>I67-E67</f>
      </c>
    </row>
    <row r="68">
      <c r="A68" t="s">
        <v>115</v>
      </c>
      <c r="B68" t="s">
        <v>294</v>
      </c>
      <c r="C68" s="66" t="n">
        <v>2034</v>
      </c>
      <c r="D68" t="s">
        <v>221</v>
      </c>
      <c r="E68" s="67" t="n">
        <v>292897.874037457</v>
      </c>
      <c r="F68" s="68" t="n">
        <v>281561.293688166</v>
      </c>
      <c r="G68" s="69" t="n">
        <v>289022.375898514</v>
      </c>
      <c r="H68" s="70" t="str">
        <f>G68-F68</f>
      </c>
      <c r="I68" s="71" t="n">
        <v>308142.620646514</v>
      </c>
      <c r="J68" s="72" t="str">
        <f>I68-E68</f>
      </c>
    </row>
    <row r="69">
      <c r="A69" t="s">
        <v>115</v>
      </c>
      <c r="B69" t="s">
        <v>294</v>
      </c>
      <c r="C69" s="66" t="n">
        <v>2034</v>
      </c>
      <c r="D69" t="s">
        <v>225</v>
      </c>
      <c r="E69" s="67" t="n">
        <v>710052.10632016</v>
      </c>
      <c r="F69" s="68" t="n">
        <v>422097.026101841</v>
      </c>
      <c r="G69" s="69" t="n">
        <v>428496.093357131</v>
      </c>
      <c r="H69" s="70" t="str">
        <f>G69-F69</f>
      </c>
      <c r="I69" s="71" t="n">
        <v>754264.519314827</v>
      </c>
      <c r="J69" s="72" t="str">
        <f>I69-E69</f>
      </c>
    </row>
    <row r="70">
      <c r="A70" t="s">
        <v>115</v>
      </c>
      <c r="B70" t="s">
        <v>294</v>
      </c>
      <c r="C70" s="66" t="n">
        <v>2034</v>
      </c>
      <c r="D70" t="s">
        <v>229</v>
      </c>
      <c r="E70" s="67" t="n">
        <v>381186.601788692</v>
      </c>
      <c r="F70" s="68" t="n">
        <v>202432.551339441</v>
      </c>
      <c r="G70" s="69" t="n">
        <v>204510.58021707</v>
      </c>
      <c r="H70" s="70" t="str">
        <f>G70-F70</f>
      </c>
      <c r="I70" s="71" t="n">
        <v>402421.553872422</v>
      </c>
      <c r="J70" s="72" t="str">
        <f>I70-E70</f>
      </c>
    </row>
    <row r="71">
      <c r="A71" t="s">
        <v>115</v>
      </c>
      <c r="B71" t="s">
        <v>294</v>
      </c>
      <c r="C71" s="66" t="n">
        <v>2034</v>
      </c>
      <c r="D71" t="s">
        <v>296</v>
      </c>
      <c r="E71" s="67" t="n">
        <v>12872.4525715115</v>
      </c>
      <c r="F71" s="68" t="n">
        <v>2795.77017717672</v>
      </c>
      <c r="G71" s="69" t="n">
        <v>2795.76959562027</v>
      </c>
      <c r="H71" s="70" t="str">
        <f>G71-F71</f>
      </c>
      <c r="I71" s="71" t="n">
        <v>12872.434861331</v>
      </c>
      <c r="J71" s="72" t="str">
        <f>I71-E71</f>
      </c>
    </row>
    <row r="72">
      <c r="A72" t="s">
        <v>115</v>
      </c>
      <c r="B72" t="s">
        <v>294</v>
      </c>
      <c r="C72" s="66" t="n">
        <v>2035</v>
      </c>
      <c r="D72" t="s">
        <v>295</v>
      </c>
      <c r="E72" s="67" t="n">
        <v>13745.780221611</v>
      </c>
      <c r="F72" s="68" t="n">
        <v>9791.06541493103</v>
      </c>
      <c r="G72" s="69" t="n">
        <v>9787.51275865094</v>
      </c>
      <c r="H72" s="70" t="str">
        <f>G72-F72</f>
      </c>
      <c r="I72" s="71" t="n">
        <v>13726.7399692658</v>
      </c>
      <c r="J72" s="72" t="str">
        <f>I72-E72</f>
      </c>
    </row>
    <row r="73">
      <c r="A73" t="s">
        <v>115</v>
      </c>
      <c r="B73" t="s">
        <v>294</v>
      </c>
      <c r="C73" s="66" t="n">
        <v>2035</v>
      </c>
      <c r="D73" t="s">
        <v>235</v>
      </c>
      <c r="E73" s="67" t="n">
        <v>975376.596396171</v>
      </c>
      <c r="F73" s="68" t="n">
        <v>164379.369157443</v>
      </c>
      <c r="G73" s="69" t="n">
        <v>170911.003808462</v>
      </c>
      <c r="H73" s="70" t="str">
        <f>G73-F73</f>
      </c>
      <c r="I73" s="71" t="n">
        <v>975047.326959866</v>
      </c>
      <c r="J73" s="72" t="str">
        <f>I73-E73</f>
      </c>
    </row>
    <row r="74">
      <c r="A74" t="s">
        <v>115</v>
      </c>
      <c r="B74" t="s">
        <v>294</v>
      </c>
      <c r="C74" s="66" t="n">
        <v>2035</v>
      </c>
      <c r="D74" t="s">
        <v>210</v>
      </c>
      <c r="E74" s="67" t="n">
        <v>133909.911868783</v>
      </c>
      <c r="F74" s="68" t="n">
        <v>86637.3732186924</v>
      </c>
      <c r="G74" s="69" t="n">
        <v>89138.141517925</v>
      </c>
      <c r="H74" s="70" t="str">
        <f>G74-F74</f>
      </c>
      <c r="I74" s="71" t="n">
        <v>143430.147346953</v>
      </c>
      <c r="J74" s="72" t="str">
        <f>I74-E74</f>
      </c>
    </row>
    <row r="75">
      <c r="A75" t="s">
        <v>115</v>
      </c>
      <c r="B75" t="s">
        <v>294</v>
      </c>
      <c r="C75" s="66" t="n">
        <v>2035</v>
      </c>
      <c r="D75" t="s">
        <v>221</v>
      </c>
      <c r="E75" s="67" t="n">
        <v>293123.152661723</v>
      </c>
      <c r="F75" s="68" t="n">
        <v>282621.714681956</v>
      </c>
      <c r="G75" s="69" t="n">
        <v>292543.4341723</v>
      </c>
      <c r="H75" s="70" t="str">
        <f>G75-F75</f>
      </c>
      <c r="I75" s="71" t="n">
        <v>311598.659349735</v>
      </c>
      <c r="J75" s="72" t="str">
        <f>I75-E75</f>
      </c>
    </row>
    <row r="76">
      <c r="A76" t="s">
        <v>115</v>
      </c>
      <c r="B76" t="s">
        <v>294</v>
      </c>
      <c r="C76" s="66" t="n">
        <v>2035</v>
      </c>
      <c r="D76" t="s">
        <v>225</v>
      </c>
      <c r="E76" s="67" t="n">
        <v>716146.335589715</v>
      </c>
      <c r="F76" s="68" t="n">
        <v>430486.32786639</v>
      </c>
      <c r="G76" s="69" t="n">
        <v>439419.393176264</v>
      </c>
      <c r="H76" s="70" t="str">
        <f>G76-F76</f>
      </c>
      <c r="I76" s="71" t="n">
        <v>770043.407398033</v>
      </c>
      <c r="J76" s="72" t="str">
        <f>I76-E76</f>
      </c>
    </row>
    <row r="77">
      <c r="A77" t="s">
        <v>115</v>
      </c>
      <c r="B77" t="s">
        <v>294</v>
      </c>
      <c r="C77" s="66" t="n">
        <v>2035</v>
      </c>
      <c r="D77" t="s">
        <v>229</v>
      </c>
      <c r="E77" s="67" t="n">
        <v>384535.89534091</v>
      </c>
      <c r="F77" s="68" t="n">
        <v>206855.038204012</v>
      </c>
      <c r="G77" s="69" t="n">
        <v>209854.988515264</v>
      </c>
      <c r="H77" s="70" t="str">
        <f>G77-F77</f>
      </c>
      <c r="I77" s="71" t="n">
        <v>410430.68648466</v>
      </c>
      <c r="J77" s="72" t="str">
        <f>I77-E77</f>
      </c>
    </row>
    <row r="78">
      <c r="A78" t="s">
        <v>115</v>
      </c>
      <c r="B78" t="s">
        <v>294</v>
      </c>
      <c r="C78" s="66" t="n">
        <v>2035</v>
      </c>
      <c r="D78" t="s">
        <v>296</v>
      </c>
      <c r="E78" s="67" t="n">
        <v>13061.6141269591</v>
      </c>
      <c r="F78" s="68" t="n">
        <v>2671.49887826004</v>
      </c>
      <c r="G78" s="69" t="n">
        <v>2671.49784394295</v>
      </c>
      <c r="H78" s="70" t="str">
        <f>G78-F78</f>
      </c>
      <c r="I78" s="71" t="n">
        <v>13061.5900844962</v>
      </c>
      <c r="J78" s="72" t="str">
        <f>I78-E78</f>
      </c>
    </row>
    <row r="79">
      <c r="A79" t="s">
        <v>115</v>
      </c>
      <c r="B79" t="s">
        <v>294</v>
      </c>
      <c r="C79" s="66" t="n">
        <v>2036</v>
      </c>
      <c r="D79" t="s">
        <v>295</v>
      </c>
      <c r="E79" s="67" t="n">
        <v>14088.4259666191</v>
      </c>
      <c r="F79" s="68" t="n">
        <v>9978.74351574889</v>
      </c>
      <c r="G79" s="69" t="n">
        <v>9972.733436972</v>
      </c>
      <c r="H79" s="70" t="str">
        <f>G79-F79</f>
      </c>
      <c r="I79" s="71" t="n">
        <v>14058.8402730705</v>
      </c>
      <c r="J79" s="72" t="str">
        <f>I79-E79</f>
      </c>
    </row>
    <row r="80">
      <c r="A80" t="s">
        <v>115</v>
      </c>
      <c r="B80" t="s">
        <v>294</v>
      </c>
      <c r="C80" s="66" t="n">
        <v>2036</v>
      </c>
      <c r="D80" t="s">
        <v>235</v>
      </c>
      <c r="E80" s="67" t="n">
        <v>993098.443294506</v>
      </c>
      <c r="F80" s="68" t="n">
        <v>168166.934207231</v>
      </c>
      <c r="G80" s="69" t="n">
        <v>176139.997785528</v>
      </c>
      <c r="H80" s="70" t="str">
        <f>G80-F80</f>
      </c>
      <c r="I80" s="71" t="n">
        <v>992593.127567906</v>
      </c>
      <c r="J80" s="72" t="str">
        <f>I80-E80</f>
      </c>
    </row>
    <row r="81">
      <c r="A81" t="s">
        <v>115</v>
      </c>
      <c r="B81" t="s">
        <v>294</v>
      </c>
      <c r="C81" s="66" t="n">
        <v>2036</v>
      </c>
      <c r="D81" t="s">
        <v>210</v>
      </c>
      <c r="E81" s="67" t="n">
        <v>135647.343573655</v>
      </c>
      <c r="F81" s="68" t="n">
        <v>87900.7283437559</v>
      </c>
      <c r="G81" s="69" t="n">
        <v>91225.4078140792</v>
      </c>
      <c r="H81" s="70" t="str">
        <f>G81-F81</f>
      </c>
      <c r="I81" s="71" t="n">
        <v>146978.916070349</v>
      </c>
      <c r="J81" s="72" t="str">
        <f>I81-E81</f>
      </c>
    </row>
    <row r="82">
      <c r="A82" t="s">
        <v>115</v>
      </c>
      <c r="B82" t="s">
        <v>294</v>
      </c>
      <c r="C82" s="66" t="n">
        <v>2036</v>
      </c>
      <c r="D82" t="s">
        <v>221</v>
      </c>
      <c r="E82" s="67" t="n">
        <v>293550.709505768</v>
      </c>
      <c r="F82" s="68" t="n">
        <v>283551.772468934</v>
      </c>
      <c r="G82" s="69" t="n">
        <v>296084.402747987</v>
      </c>
      <c r="H82" s="70" t="str">
        <f>G82-F82</f>
      </c>
      <c r="I82" s="71" t="n">
        <v>315288.949461379</v>
      </c>
      <c r="J82" s="72" t="str">
        <f>I82-E82</f>
      </c>
    </row>
    <row r="83">
      <c r="A83" t="s">
        <v>115</v>
      </c>
      <c r="B83" t="s">
        <v>294</v>
      </c>
      <c r="C83" s="66" t="n">
        <v>2036</v>
      </c>
      <c r="D83" t="s">
        <v>225</v>
      </c>
      <c r="E83" s="67" t="n">
        <v>722900.054679647</v>
      </c>
      <c r="F83" s="68" t="n">
        <v>438700.747356489</v>
      </c>
      <c r="G83" s="69" t="n">
        <v>450600.66503166</v>
      </c>
      <c r="H83" s="70" t="str">
        <f>G83-F83</f>
      </c>
      <c r="I83" s="71" t="n">
        <v>786706.265291046</v>
      </c>
      <c r="J83" s="72" t="str">
        <f>I83-E83</f>
      </c>
    </row>
    <row r="84">
      <c r="A84" t="s">
        <v>115</v>
      </c>
      <c r="B84" t="s">
        <v>294</v>
      </c>
      <c r="C84" s="66" t="n">
        <v>2036</v>
      </c>
      <c r="D84" t="s">
        <v>229</v>
      </c>
      <c r="E84" s="67" t="n">
        <v>388247.54581955</v>
      </c>
      <c r="F84" s="68" t="n">
        <v>211324.064815645</v>
      </c>
      <c r="G84" s="69" t="n">
        <v>215434.246910517</v>
      </c>
      <c r="H84" s="70" t="str">
        <f>G84-F84</f>
      </c>
      <c r="I84" s="71" t="n">
        <v>418880.52544402</v>
      </c>
      <c r="J84" s="72" t="str">
        <f>I84-E84</f>
      </c>
    </row>
    <row r="85">
      <c r="A85" t="s">
        <v>115</v>
      </c>
      <c r="B85" t="s">
        <v>294</v>
      </c>
      <c r="C85" s="66" t="n">
        <v>2036</v>
      </c>
      <c r="D85" t="s">
        <v>296</v>
      </c>
      <c r="E85" s="67" t="n">
        <v>13308.8259771733</v>
      </c>
      <c r="F85" s="68" t="n">
        <v>2547.74406490572</v>
      </c>
      <c r="G85" s="69" t="n">
        <v>2547.74258396749</v>
      </c>
      <c r="H85" s="70" t="str">
        <f>G85-F85</f>
      </c>
      <c r="I85" s="71" t="n">
        <v>13308.7944546361</v>
      </c>
      <c r="J85" s="72" t="str">
        <f>I85-E85</f>
      </c>
    </row>
    <row r="86">
      <c r="A86" t="s">
        <v>115</v>
      </c>
      <c r="B86" t="s">
        <v>294</v>
      </c>
      <c r="C86" s="66" t="n">
        <v>2037</v>
      </c>
      <c r="D86" t="s">
        <v>295</v>
      </c>
      <c r="E86" s="67" t="n">
        <v>14429.7381214754</v>
      </c>
      <c r="F86" s="68" t="n">
        <v>10168.7906499671</v>
      </c>
      <c r="G86" s="69" t="n">
        <v>10159.1873336905</v>
      </c>
      <c r="H86" s="70" t="str">
        <f>G86-F86</f>
      </c>
      <c r="I86" s="71" t="n">
        <v>14386.6366039025</v>
      </c>
      <c r="J86" s="72" t="str">
        <f>I86-E86</f>
      </c>
    </row>
    <row r="87">
      <c r="A87" t="s">
        <v>115</v>
      </c>
      <c r="B87" t="s">
        <v>294</v>
      </c>
      <c r="C87" s="66" t="n">
        <v>2037</v>
      </c>
      <c r="D87" t="s">
        <v>235</v>
      </c>
      <c r="E87" s="67" t="n">
        <v>1010026.50387208</v>
      </c>
      <c r="F87" s="68" t="n">
        <v>171985.148470766</v>
      </c>
      <c r="G87" s="69" t="n">
        <v>181458.235839908</v>
      </c>
      <c r="H87" s="70" t="str">
        <f>G87-F87</f>
      </c>
      <c r="I87" s="71" t="n">
        <v>1009301.65749756</v>
      </c>
      <c r="J87" s="72" t="str">
        <f>I87-E87</f>
      </c>
    </row>
    <row r="88">
      <c r="A88" t="s">
        <v>115</v>
      </c>
      <c r="B88" t="s">
        <v>294</v>
      </c>
      <c r="C88" s="66" t="n">
        <v>2037</v>
      </c>
      <c r="D88" t="s">
        <v>210</v>
      </c>
      <c r="E88" s="67" t="n">
        <v>137311.605140528</v>
      </c>
      <c r="F88" s="68" t="n">
        <v>89115.1658234177</v>
      </c>
      <c r="G88" s="69" t="n">
        <v>93341.2784245107</v>
      </c>
      <c r="H88" s="70" t="str">
        <f>G88-F88</f>
      </c>
      <c r="I88" s="71" t="n">
        <v>150487.441619108</v>
      </c>
      <c r="J88" s="72" t="str">
        <f>I88-E88</f>
      </c>
    </row>
    <row r="89">
      <c r="A89" t="s">
        <v>115</v>
      </c>
      <c r="B89" t="s">
        <v>294</v>
      </c>
      <c r="C89" s="66" t="n">
        <v>2037</v>
      </c>
      <c r="D89" t="s">
        <v>221</v>
      </c>
      <c r="E89" s="67" t="n">
        <v>293753.678000258</v>
      </c>
      <c r="F89" s="68" t="n">
        <v>284187.559619589</v>
      </c>
      <c r="G89" s="69" t="n">
        <v>299434.655195925</v>
      </c>
      <c r="H89" s="70" t="str">
        <f>G89-F89</f>
      </c>
      <c r="I89" s="71" t="n">
        <v>318754.964813024</v>
      </c>
      <c r="J89" s="72" t="str">
        <f>I89-E89</f>
      </c>
    </row>
    <row r="90">
      <c r="A90" t="s">
        <v>115</v>
      </c>
      <c r="B90" t="s">
        <v>294</v>
      </c>
      <c r="C90" s="66" t="n">
        <v>2037</v>
      </c>
      <c r="D90" t="s">
        <v>225</v>
      </c>
      <c r="E90" s="67" t="n">
        <v>729509.769790853</v>
      </c>
      <c r="F90" s="68" t="n">
        <v>446610.893137884</v>
      </c>
      <c r="G90" s="69" t="n">
        <v>461851.049511551</v>
      </c>
      <c r="H90" s="70" t="str">
        <f>G90-F90</f>
      </c>
      <c r="I90" s="71" t="n">
        <v>803452.229036644</v>
      </c>
      <c r="J90" s="72" t="str">
        <f>I90-E90</f>
      </c>
    </row>
    <row r="91">
      <c r="A91" t="s">
        <v>115</v>
      </c>
      <c r="B91" t="s">
        <v>294</v>
      </c>
      <c r="C91" s="66" t="n">
        <v>2037</v>
      </c>
      <c r="D91" t="s">
        <v>229</v>
      </c>
      <c r="E91" s="67" t="n">
        <v>392040.428071988</v>
      </c>
      <c r="F91" s="68" t="n">
        <v>215767.268648628</v>
      </c>
      <c r="G91" s="69" t="n">
        <v>221141.826108993</v>
      </c>
      <c r="H91" s="70" t="str">
        <f>G91-F91</f>
      </c>
      <c r="I91" s="71" t="n">
        <v>427506.733072448</v>
      </c>
      <c r="J91" s="72" t="str">
        <f>I91-E91</f>
      </c>
    </row>
    <row r="92">
      <c r="A92" t="s">
        <v>115</v>
      </c>
      <c r="B92" t="s">
        <v>294</v>
      </c>
      <c r="C92" s="66" t="n">
        <v>2037</v>
      </c>
      <c r="D92" t="s">
        <v>296</v>
      </c>
      <c r="E92" s="67" t="n">
        <v>13385.1640727902</v>
      </c>
      <c r="F92" s="68" t="n">
        <v>2421.57860466756</v>
      </c>
      <c r="G92" s="69" t="n">
        <v>2421.57667984156</v>
      </c>
      <c r="H92" s="70" t="str">
        <f>G92-F92</f>
      </c>
      <c r="I92" s="71" t="n">
        <v>13385.128134315</v>
      </c>
      <c r="J92" s="72" t="str">
        <f>I92-E92</f>
      </c>
    </row>
    <row r="93">
      <c r="A93" t="s">
        <v>115</v>
      </c>
      <c r="B93" t="s">
        <v>294</v>
      </c>
      <c r="C93" s="66" t="n">
        <v>2038</v>
      </c>
      <c r="D93" t="s">
        <v>295</v>
      </c>
      <c r="E93" s="67" t="n">
        <v>14850.1218828384</v>
      </c>
      <c r="F93" s="68" t="n">
        <v>10364.4297003149</v>
      </c>
      <c r="G93" s="69" t="n">
        <v>10349.9036883417</v>
      </c>
      <c r="H93" s="70" t="str">
        <f>G93-F93</f>
      </c>
      <c r="I93" s="71" t="n">
        <v>14790.2897218897</v>
      </c>
      <c r="J93" s="72" t="str">
        <f>I93-E93</f>
      </c>
    </row>
    <row r="94">
      <c r="A94" t="s">
        <v>115</v>
      </c>
      <c r="B94" t="s">
        <v>294</v>
      </c>
      <c r="C94" s="66" t="n">
        <v>2038</v>
      </c>
      <c r="D94" t="s">
        <v>235</v>
      </c>
      <c r="E94" s="67" t="n">
        <v>1026728.49763187</v>
      </c>
      <c r="F94" s="68" t="n">
        <v>175758.785988442</v>
      </c>
      <c r="G94" s="69" t="n">
        <v>186787.491870524</v>
      </c>
      <c r="H94" s="70" t="str">
        <f>G94-F94</f>
      </c>
      <c r="I94" s="71" t="n">
        <v>1025731.21343356</v>
      </c>
      <c r="J94" s="72" t="str">
        <f>I94-E94</f>
      </c>
    </row>
    <row r="95">
      <c r="A95" t="s">
        <v>115</v>
      </c>
      <c r="B95" t="s">
        <v>294</v>
      </c>
      <c r="C95" s="66" t="n">
        <v>2038</v>
      </c>
      <c r="D95" t="s">
        <v>210</v>
      </c>
      <c r="E95" s="67" t="n">
        <v>139680.611296399</v>
      </c>
      <c r="F95" s="68" t="n">
        <v>90274.5730565147</v>
      </c>
      <c r="G95" s="69" t="n">
        <v>95469.0447801143</v>
      </c>
      <c r="H95" s="70" t="str">
        <f>G95-F95</f>
      </c>
      <c r="I95" s="71" t="n">
        <v>154833.021861689</v>
      </c>
      <c r="J95" s="72" t="str">
        <f>I95-E95</f>
      </c>
    </row>
    <row r="96">
      <c r="A96" t="s">
        <v>115</v>
      </c>
      <c r="B96" t="s">
        <v>294</v>
      </c>
      <c r="C96" s="66" t="n">
        <v>2038</v>
      </c>
      <c r="D96" t="s">
        <v>221</v>
      </c>
      <c r="E96" s="67" t="n">
        <v>293564.73777509</v>
      </c>
      <c r="F96" s="68" t="n">
        <v>284432.897423545</v>
      </c>
      <c r="G96" s="69" t="n">
        <v>302464.555231106</v>
      </c>
      <c r="H96" s="70" t="str">
        <f>G96-F96</f>
      </c>
      <c r="I96" s="71" t="n">
        <v>321808.304576111</v>
      </c>
      <c r="J96" s="72" t="str">
        <f>I96-E96</f>
      </c>
    </row>
    <row r="97">
      <c r="A97" t="s">
        <v>115</v>
      </c>
      <c r="B97" t="s">
        <v>294</v>
      </c>
      <c r="C97" s="66" t="n">
        <v>2038</v>
      </c>
      <c r="D97" t="s">
        <v>225</v>
      </c>
      <c r="E97" s="67" t="n">
        <v>737876.331674833</v>
      </c>
      <c r="F97" s="68" t="n">
        <v>454032.700403806</v>
      </c>
      <c r="G97" s="69" t="n">
        <v>472964.182972518</v>
      </c>
      <c r="H97" s="70" t="str">
        <f>G97-F97</f>
      </c>
      <c r="I97" s="71" t="n">
        <v>822517.79120794</v>
      </c>
      <c r="J97" s="72" t="str">
        <f>I97-E97</f>
      </c>
    </row>
    <row r="98">
      <c r="A98" t="s">
        <v>115</v>
      </c>
      <c r="B98" t="s">
        <v>294</v>
      </c>
      <c r="C98" s="66" t="n">
        <v>2038</v>
      </c>
      <c r="D98" t="s">
        <v>229</v>
      </c>
      <c r="E98" s="67" t="n">
        <v>397253.054803499</v>
      </c>
      <c r="F98" s="68" t="n">
        <v>220057.774594082</v>
      </c>
      <c r="G98" s="69" t="n">
        <v>226837.611544716</v>
      </c>
      <c r="H98" s="70" t="str">
        <f>G98-F98</f>
      </c>
      <c r="I98" s="71" t="n">
        <v>437875.904421767</v>
      </c>
      <c r="J98" s="72" t="str">
        <f>I98-E98</f>
      </c>
    </row>
    <row r="99">
      <c r="A99" t="s">
        <v>115</v>
      </c>
      <c r="B99" t="s">
        <v>294</v>
      </c>
      <c r="C99" s="66" t="n">
        <v>2038</v>
      </c>
      <c r="D99" t="s">
        <v>296</v>
      </c>
      <c r="E99" s="67" t="n">
        <v>13130.5337059606</v>
      </c>
      <c r="F99" s="68" t="n">
        <v>2303.46759874294</v>
      </c>
      <c r="G99" s="69" t="n">
        <v>2303.4653337572</v>
      </c>
      <c r="H99" s="70" t="str">
        <f>G99-F99</f>
      </c>
      <c r="I99" s="71" t="n">
        <v>13130.4959942569</v>
      </c>
      <c r="J99" s="72" t="str">
        <f>I99-E99</f>
      </c>
    </row>
    <row r="100">
      <c r="A100" t="s">
        <v>115</v>
      </c>
      <c r="B100" t="s">
        <v>294</v>
      </c>
      <c r="C100" s="66" t="n">
        <v>2039</v>
      </c>
      <c r="D100" t="s">
        <v>295</v>
      </c>
      <c r="E100" s="67" t="n">
        <v>15215.8025135986</v>
      </c>
      <c r="F100" s="68" t="n">
        <v>10566.0051607687</v>
      </c>
      <c r="G100" s="69" t="n">
        <v>10545.0523038997</v>
      </c>
      <c r="H100" s="70" t="str">
        <f>G100-F100</f>
      </c>
      <c r="I100" s="71" t="n">
        <v>15135.74798412</v>
      </c>
      <c r="J100" s="72" t="str">
        <f>I100-E100</f>
      </c>
    </row>
    <row r="101">
      <c r="A101" t="s">
        <v>115</v>
      </c>
      <c r="B101" t="s">
        <v>294</v>
      </c>
      <c r="C101" s="66" t="n">
        <v>2039</v>
      </c>
      <c r="D101" t="s">
        <v>235</v>
      </c>
      <c r="E101" s="67" t="n">
        <v>1040654.96169105</v>
      </c>
      <c r="F101" s="68" t="n">
        <v>179646.578310547</v>
      </c>
      <c r="G101" s="69" t="n">
        <v>192296.552192256</v>
      </c>
      <c r="H101" s="70" t="str">
        <f>G101-F101</f>
      </c>
      <c r="I101" s="71" t="n">
        <v>1039334.21211717</v>
      </c>
      <c r="J101" s="72" t="str">
        <f>I101-E101</f>
      </c>
    </row>
    <row r="102">
      <c r="A102" t="s">
        <v>115</v>
      </c>
      <c r="B102" t="s">
        <v>294</v>
      </c>
      <c r="C102" s="66" t="n">
        <v>2039</v>
      </c>
      <c r="D102" t="s">
        <v>210</v>
      </c>
      <c r="E102" s="67" t="n">
        <v>141258.712312405</v>
      </c>
      <c r="F102" s="68" t="n">
        <v>91437.6529873479</v>
      </c>
      <c r="G102" s="69" t="n">
        <v>97666.5125218666</v>
      </c>
      <c r="H102" s="70" t="str">
        <f>G102-F102</f>
      </c>
      <c r="I102" s="71" t="n">
        <v>158325.904186221</v>
      </c>
      <c r="J102" s="72" t="str">
        <f>I102-E102</f>
      </c>
    </row>
    <row r="103">
      <c r="A103" t="s">
        <v>115</v>
      </c>
      <c r="B103" t="s">
        <v>294</v>
      </c>
      <c r="C103" s="66" t="n">
        <v>2039</v>
      </c>
      <c r="D103" t="s">
        <v>221</v>
      </c>
      <c r="E103" s="67" t="n">
        <v>293459.139415009</v>
      </c>
      <c r="F103" s="68" t="n">
        <v>284655.719897958</v>
      </c>
      <c r="G103" s="69" t="n">
        <v>305533.683824107</v>
      </c>
      <c r="H103" s="70" t="str">
        <f>G103-F103</f>
      </c>
      <c r="I103" s="71" t="n">
        <v>324947.685920243</v>
      </c>
      <c r="J103" s="72" t="str">
        <f>I103-E103</f>
      </c>
    </row>
    <row r="104">
      <c r="A104" t="s">
        <v>115</v>
      </c>
      <c r="B104" t="s">
        <v>294</v>
      </c>
      <c r="C104" s="66" t="n">
        <v>2039</v>
      </c>
      <c r="D104" t="s">
        <v>225</v>
      </c>
      <c r="E104" s="67" t="n">
        <v>743255.471898941</v>
      </c>
      <c r="F104" s="68" t="n">
        <v>461376.688526046</v>
      </c>
      <c r="G104" s="69" t="n">
        <v>484364.275142346</v>
      </c>
      <c r="H104" s="70" t="str">
        <f>G104-F104</f>
      </c>
      <c r="I104" s="71" t="n">
        <v>838380.897928912</v>
      </c>
      <c r="J104" s="72" t="str">
        <f>I104-E104</f>
      </c>
    </row>
    <row r="105">
      <c r="A105" t="s">
        <v>115</v>
      </c>
      <c r="B105" t="s">
        <v>294</v>
      </c>
      <c r="C105" s="66" t="n">
        <v>2039</v>
      </c>
      <c r="D105" t="s">
        <v>229</v>
      </c>
      <c r="E105" s="67" t="n">
        <v>400506.579754438</v>
      </c>
      <c r="F105" s="68" t="n">
        <v>224426.557118213</v>
      </c>
      <c r="G105" s="69" t="n">
        <v>232753.81626835</v>
      </c>
      <c r="H105" s="70" t="str">
        <f>G105-F105</f>
      </c>
      <c r="I105" s="71" t="n">
        <v>446097.450852593</v>
      </c>
      <c r="J105" s="72" t="str">
        <f>I105-E105</f>
      </c>
    </row>
    <row r="106">
      <c r="A106" t="s">
        <v>115</v>
      </c>
      <c r="B106" t="s">
        <v>294</v>
      </c>
      <c r="C106" s="66" t="n">
        <v>2039</v>
      </c>
      <c r="D106" t="s">
        <v>296</v>
      </c>
      <c r="E106" s="67" t="n">
        <v>13010.9584825791</v>
      </c>
      <c r="F106" s="68" t="n">
        <v>2187.90647165165</v>
      </c>
      <c r="G106" s="69" t="n">
        <v>2187.90404676672</v>
      </c>
      <c r="H106" s="70" t="str">
        <f>G106-F106</f>
      </c>
      <c r="I106" s="71" t="n">
        <v>13010.9148835445</v>
      </c>
      <c r="J106" s="72" t="str">
        <f>I106-E106</f>
      </c>
    </row>
    <row r="107">
      <c r="A107" t="s">
        <v>115</v>
      </c>
      <c r="B107" t="s">
        <v>294</v>
      </c>
      <c r="C107" s="66" t="n">
        <v>2040</v>
      </c>
      <c r="D107" t="s">
        <v>295</v>
      </c>
      <c r="E107" s="67" t="n">
        <v>15635.9336054716</v>
      </c>
      <c r="F107" s="68" t="n">
        <v>10769.8124775228</v>
      </c>
      <c r="G107" s="69" t="n">
        <v>10740.752829966</v>
      </c>
      <c r="H107" s="70" t="str">
        <f>G107-F107</f>
      </c>
      <c r="I107" s="71" t="n">
        <v>15531.5458454137</v>
      </c>
      <c r="J107" s="72" t="str">
        <f>I107-E107</f>
      </c>
    </row>
    <row r="108">
      <c r="A108" t="s">
        <v>115</v>
      </c>
      <c r="B108" t="s">
        <v>294</v>
      </c>
      <c r="C108" s="66" t="n">
        <v>2040</v>
      </c>
      <c r="D108" t="s">
        <v>235</v>
      </c>
      <c r="E108" s="67" t="n">
        <v>1052960.54012009</v>
      </c>
      <c r="F108" s="68" t="n">
        <v>183417.955634545</v>
      </c>
      <c r="G108" s="69" t="n">
        <v>197739.851826417</v>
      </c>
      <c r="H108" s="70" t="str">
        <f>G108-F108</f>
      </c>
      <c r="I108" s="71" t="n">
        <v>1051265.69371329</v>
      </c>
      <c r="J108" s="72" t="str">
        <f>I108-E108</f>
      </c>
    </row>
    <row r="109">
      <c r="A109" t="s">
        <v>115</v>
      </c>
      <c r="B109" t="s">
        <v>294</v>
      </c>
      <c r="C109" s="66" t="n">
        <v>2040</v>
      </c>
      <c r="D109" t="s">
        <v>210</v>
      </c>
      <c r="E109" s="67" t="n">
        <v>142980.631760441</v>
      </c>
      <c r="F109" s="68" t="n">
        <v>92518.5219762378</v>
      </c>
      <c r="G109" s="69" t="n">
        <v>99830.4797881527</v>
      </c>
      <c r="H109" s="70" t="str">
        <f>G109-F109</f>
      </c>
      <c r="I109" s="71" t="n">
        <v>162016.43342865</v>
      </c>
      <c r="J109" s="72" t="str">
        <f>I109-E109</f>
      </c>
    </row>
    <row r="110">
      <c r="A110" t="s">
        <v>115</v>
      </c>
      <c r="B110" t="s">
        <v>294</v>
      </c>
      <c r="C110" s="66" t="n">
        <v>2040</v>
      </c>
      <c r="D110" t="s">
        <v>221</v>
      </c>
      <c r="E110" s="67" t="n">
        <v>293129.474491798</v>
      </c>
      <c r="F110" s="68" t="n">
        <v>284572.708855759</v>
      </c>
      <c r="G110" s="69" t="n">
        <v>308326.231940747</v>
      </c>
      <c r="H110" s="70" t="str">
        <f>G110-F110</f>
      </c>
      <c r="I110" s="71" t="n">
        <v>327830.115399056</v>
      </c>
      <c r="J110" s="72" t="str">
        <f>I110-E110</f>
      </c>
    </row>
    <row r="111">
      <c r="A111" t="s">
        <v>115</v>
      </c>
      <c r="B111" t="s">
        <v>294</v>
      </c>
      <c r="C111" s="66" t="n">
        <v>2040</v>
      </c>
      <c r="D111" t="s">
        <v>225</v>
      </c>
      <c r="E111" s="67" t="n">
        <v>747594.122105348</v>
      </c>
      <c r="F111" s="68" t="n">
        <v>468136.944898311</v>
      </c>
      <c r="G111" s="69" t="n">
        <v>495491.389021897</v>
      </c>
      <c r="H111" s="70" t="str">
        <f>G111-F111</f>
      </c>
      <c r="I111" s="71" t="n">
        <v>853229.023620414</v>
      </c>
      <c r="J111" s="72" t="str">
        <f>I111-E111</f>
      </c>
    </row>
    <row r="112">
      <c r="A112" t="s">
        <v>115</v>
      </c>
      <c r="B112" t="s">
        <v>294</v>
      </c>
      <c r="C112" s="66" t="n">
        <v>2040</v>
      </c>
      <c r="D112" t="s">
        <v>229</v>
      </c>
      <c r="E112" s="67" t="n">
        <v>403042.884795589</v>
      </c>
      <c r="F112" s="68" t="n">
        <v>228593.338390217</v>
      </c>
      <c r="G112" s="69" t="n">
        <v>238587.525717873</v>
      </c>
      <c r="H112" s="70" t="str">
        <f>G112-F112</f>
      </c>
      <c r="I112" s="71" t="n">
        <v>453595.602682997</v>
      </c>
      <c r="J112" s="72" t="str">
        <f>I112-E112</f>
      </c>
    </row>
    <row r="113">
      <c r="A113" t="s">
        <v>115</v>
      </c>
      <c r="B113" t="s">
        <v>294</v>
      </c>
      <c r="C113" s="66" t="n">
        <v>2040</v>
      </c>
      <c r="D113" t="s">
        <v>296</v>
      </c>
      <c r="E113" s="67" t="n">
        <v>12921.6539126882</v>
      </c>
      <c r="F113" s="68" t="n">
        <v>2071.44691132375</v>
      </c>
      <c r="G113" s="69" t="n">
        <v>2071.44438113687</v>
      </c>
      <c r="H113" s="70" t="str">
        <f>G113-F113</f>
      </c>
      <c r="I113" s="71" t="n">
        <v>12921.6065425891</v>
      </c>
      <c r="J113" s="72" t="str">
        <f>I113-E113</f>
      </c>
    </row>
    <row r="114">
      <c r="A114" t="s">
        <v>115</v>
      </c>
      <c r="B114" t="s">
        <v>294</v>
      </c>
      <c r="C114" s="66" t="n">
        <v>2041</v>
      </c>
      <c r="D114" t="s">
        <v>295</v>
      </c>
      <c r="E114" s="67" t="n">
        <v>16055.3407790016</v>
      </c>
      <c r="F114" s="68" t="n">
        <v>10978.6443393992</v>
      </c>
      <c r="G114" s="69" t="n">
        <v>10939.5011556982</v>
      </c>
      <c r="H114" s="70" t="str">
        <f>G114-F114</f>
      </c>
      <c r="I114" s="71" t="n">
        <v>15920.8775016153</v>
      </c>
      <c r="J114" s="72" t="str">
        <f>I114-E114</f>
      </c>
    </row>
    <row r="115">
      <c r="A115" t="s">
        <v>115</v>
      </c>
      <c r="B115" t="s">
        <v>294</v>
      </c>
      <c r="C115" s="66" t="n">
        <v>2041</v>
      </c>
      <c r="D115" t="s">
        <v>235</v>
      </c>
      <c r="E115" s="67" t="n">
        <v>1068708.31156528</v>
      </c>
      <c r="F115" s="68" t="n">
        <v>188749.570678733</v>
      </c>
      <c r="G115" s="69" t="n">
        <v>203201.128796519</v>
      </c>
      <c r="H115" s="70" t="str">
        <f>G115-F115</f>
      </c>
      <c r="I115" s="71" t="n">
        <v>1066563.6735298</v>
      </c>
      <c r="J115" s="72" t="str">
        <f>I115-E115</f>
      </c>
    </row>
    <row r="116">
      <c r="A116" t="s">
        <v>115</v>
      </c>
      <c r="B116" t="s">
        <v>294</v>
      </c>
      <c r="C116" s="66" t="n">
        <v>2041</v>
      </c>
      <c r="D116" t="s">
        <v>210</v>
      </c>
      <c r="E116" s="67" t="n">
        <v>146490.61303451</v>
      </c>
      <c r="F116" s="68" t="n">
        <v>93557.788741986</v>
      </c>
      <c r="G116" s="69" t="n">
        <v>101998.78936442</v>
      </c>
      <c r="H116" s="70" t="str">
        <f>G116-F116</f>
      </c>
      <c r="I116" s="71" t="n">
        <v>165603.256683252</v>
      </c>
      <c r="J116" s="72" t="str">
        <f>I116-E116</f>
      </c>
    </row>
    <row r="117">
      <c r="A117" t="s">
        <v>115</v>
      </c>
      <c r="B117" t="s">
        <v>294</v>
      </c>
      <c r="C117" s="66" t="n">
        <v>2041</v>
      </c>
      <c r="D117" t="s">
        <v>221</v>
      </c>
      <c r="E117" s="67" t="n">
        <v>296255.749504127</v>
      </c>
      <c r="F117" s="68" t="n">
        <v>284340.68845786</v>
      </c>
      <c r="G117" s="69" t="n">
        <v>311000.568285778</v>
      </c>
      <c r="H117" s="70" t="str">
        <f>G117-F117</f>
      </c>
      <c r="I117" s="71" t="n">
        <v>330799.892538861</v>
      </c>
      <c r="J117" s="72" t="str">
        <f>I117-E117</f>
      </c>
    </row>
    <row r="118">
      <c r="A118" t="s">
        <v>115</v>
      </c>
      <c r="B118" t="s">
        <v>294</v>
      </c>
      <c r="C118" s="66" t="n">
        <v>2041</v>
      </c>
      <c r="D118" t="s">
        <v>225</v>
      </c>
      <c r="E118" s="67" t="n">
        <v>763208.783952834</v>
      </c>
      <c r="F118" s="68" t="n">
        <v>474848.090426302</v>
      </c>
      <c r="G118" s="69" t="n">
        <v>506572.614435606</v>
      </c>
      <c r="H118" s="70" t="str">
        <f>G118-F118</f>
      </c>
      <c r="I118" s="71" t="n">
        <v>869077.592101044</v>
      </c>
      <c r="J118" s="72" t="str">
        <f>I118-E118</f>
      </c>
    </row>
    <row r="119">
      <c r="A119" t="s">
        <v>115</v>
      </c>
      <c r="B119" t="s">
        <v>294</v>
      </c>
      <c r="C119" s="66" t="n">
        <v>2041</v>
      </c>
      <c r="D119" t="s">
        <v>229</v>
      </c>
      <c r="E119" s="67" t="n">
        <v>411018.320303474</v>
      </c>
      <c r="F119" s="68" t="n">
        <v>232617.825090318</v>
      </c>
      <c r="G119" s="69" t="n">
        <v>244403.938380915</v>
      </c>
      <c r="H119" s="70" t="str">
        <f>G119-F119</f>
      </c>
      <c r="I119" s="71" t="n">
        <v>461572.525619781</v>
      </c>
      <c r="J119" s="72" t="str">
        <f>I119-E119</f>
      </c>
    </row>
    <row r="120">
      <c r="A120" t="s">
        <v>115</v>
      </c>
      <c r="B120" t="s">
        <v>294</v>
      </c>
      <c r="C120" s="66" t="n">
        <v>2041</v>
      </c>
      <c r="D120" t="s">
        <v>296</v>
      </c>
      <c r="E120" s="67" t="n">
        <v>12914.0164683977</v>
      </c>
      <c r="F120" s="68" t="n">
        <v>1954.42609437492</v>
      </c>
      <c r="G120" s="69" t="n">
        <v>1954.42370545678</v>
      </c>
      <c r="H120" s="70" t="str">
        <f>G120-F120</f>
      </c>
      <c r="I120" s="71" t="n">
        <v>12913.9661072478</v>
      </c>
      <c r="J120" s="72" t="str">
        <f>I120-E120</f>
      </c>
    </row>
    <row r="121">
      <c r="A121" t="s">
        <v>115</v>
      </c>
      <c r="B121" t="s">
        <v>294</v>
      </c>
      <c r="C121" s="66" t="n">
        <v>2042</v>
      </c>
      <c r="D121" t="s">
        <v>295</v>
      </c>
      <c r="E121" s="67" t="n">
        <v>16478.1766076165</v>
      </c>
      <c r="F121" s="68" t="n">
        <v>11186.9527641633</v>
      </c>
      <c r="G121" s="69" t="n">
        <v>11135.4965430843</v>
      </c>
      <c r="H121" s="70" t="str">
        <f>G121-F121</f>
      </c>
      <c r="I121" s="71" t="n">
        <v>16309.8993609652</v>
      </c>
      <c r="J121" s="72" t="str">
        <f>I121-E121</f>
      </c>
    </row>
    <row r="122">
      <c r="A122" t="s">
        <v>115</v>
      </c>
      <c r="B122" t="s">
        <v>294</v>
      </c>
      <c r="C122" s="66" t="n">
        <v>2042</v>
      </c>
      <c r="D122" t="s">
        <v>235</v>
      </c>
      <c r="E122" s="67" t="n">
        <v>1080672.39409267</v>
      </c>
      <c r="F122" s="68" t="n">
        <v>194065.570869382</v>
      </c>
      <c r="G122" s="69" t="n">
        <v>208646.654553543</v>
      </c>
      <c r="H122" s="70" t="str">
        <f>G122-F122</f>
      </c>
      <c r="I122" s="71" t="n">
        <v>1078026.60097981</v>
      </c>
      <c r="J122" s="72" t="str">
        <f>I122-E122</f>
      </c>
    </row>
    <row r="123">
      <c r="A123" t="s">
        <v>115</v>
      </c>
      <c r="B123" t="s">
        <v>294</v>
      </c>
      <c r="C123" s="66" t="n">
        <v>2042</v>
      </c>
      <c r="D123" t="s">
        <v>210</v>
      </c>
      <c r="E123" s="67" t="n">
        <v>149992.345461873</v>
      </c>
      <c r="F123" s="68" t="n">
        <v>94777.749158176</v>
      </c>
      <c r="G123" s="69" t="n">
        <v>104153.760083299</v>
      </c>
      <c r="H123" s="70" t="str">
        <f>G123-F123</f>
      </c>
      <c r="I123" s="71" t="n">
        <v>169141.556637021</v>
      </c>
      <c r="J123" s="72" t="str">
        <f>I123-E123</f>
      </c>
    </row>
    <row r="124">
      <c r="A124" t="s">
        <v>115</v>
      </c>
      <c r="B124" t="s">
        <v>294</v>
      </c>
      <c r="C124" s="66" t="n">
        <v>2042</v>
      </c>
      <c r="D124" t="s">
        <v>221</v>
      </c>
      <c r="E124" s="67" t="n">
        <v>299000.192938228</v>
      </c>
      <c r="F124" s="68" t="n">
        <v>285302.848439544</v>
      </c>
      <c r="G124" s="69" t="n">
        <v>313428.604068663</v>
      </c>
      <c r="H124" s="70" t="str">
        <f>G124-F124</f>
      </c>
      <c r="I124" s="71" t="n">
        <v>333321.323938657</v>
      </c>
      <c r="J124" s="72" t="str">
        <f>I124-E124</f>
      </c>
    </row>
    <row r="125">
      <c r="A125" t="s">
        <v>115</v>
      </c>
      <c r="B125" t="s">
        <v>294</v>
      </c>
      <c r="C125" s="66" t="n">
        <v>2042</v>
      </c>
      <c r="D125" t="s">
        <v>225</v>
      </c>
      <c r="E125" s="67" t="n">
        <v>778269.125103779</v>
      </c>
      <c r="F125" s="68" t="n">
        <v>481766.335896214</v>
      </c>
      <c r="G125" s="69" t="n">
        <v>517499.023505678</v>
      </c>
      <c r="H125" s="70" t="str">
        <f>G125-F125</f>
      </c>
      <c r="I125" s="71" t="n">
        <v>884281.978207785</v>
      </c>
      <c r="J125" s="72" t="str">
        <f>I125-E125</f>
      </c>
    </row>
    <row r="126">
      <c r="A126" t="s">
        <v>115</v>
      </c>
      <c r="B126" t="s">
        <v>294</v>
      </c>
      <c r="C126" s="66" t="n">
        <v>2042</v>
      </c>
      <c r="D126" t="s">
        <v>229</v>
      </c>
      <c r="E126" s="67" t="n">
        <v>418942.43454441</v>
      </c>
      <c r="F126" s="68" t="n">
        <v>236764.808426025</v>
      </c>
      <c r="G126" s="69" t="n">
        <v>250175.663514197</v>
      </c>
      <c r="H126" s="70" t="str">
        <f>G126-F126</f>
      </c>
      <c r="I126" s="71" t="n">
        <v>469454.149721884</v>
      </c>
      <c r="J126" s="72" t="str">
        <f>I126-E126</f>
      </c>
    </row>
    <row r="127">
      <c r="A127" t="s">
        <v>115</v>
      </c>
      <c r="B127" t="s">
        <v>294</v>
      </c>
      <c r="C127" s="66" t="n">
        <v>2042</v>
      </c>
      <c r="D127" t="s">
        <v>296</v>
      </c>
      <c r="E127" s="67" t="n">
        <v>12448.0152348473</v>
      </c>
      <c r="F127" s="68" t="n">
        <v>1837.13997305147</v>
      </c>
      <c r="G127" s="69" t="n">
        <v>1837.13778678778</v>
      </c>
      <c r="H127" s="70" t="str">
        <f>G127-F127</f>
      </c>
      <c r="I127" s="71" t="n">
        <v>12447.9578277165</v>
      </c>
      <c r="J127" s="72" t="str">
        <f>I127-E127</f>
      </c>
    </row>
    <row r="128">
      <c r="A128" t="s">
        <v>115</v>
      </c>
      <c r="B128" t="s">
        <v>294</v>
      </c>
      <c r="C128" s="66" t="n">
        <v>2043</v>
      </c>
      <c r="D128" t="s">
        <v>295</v>
      </c>
      <c r="E128" s="67" t="n">
        <v>16960.3878055521</v>
      </c>
      <c r="F128" s="68" t="n">
        <v>11406.5610334792</v>
      </c>
      <c r="G128" s="69" t="n">
        <v>11340.588740714</v>
      </c>
      <c r="H128" s="70" t="str">
        <f>G128-F128</f>
      </c>
      <c r="I128" s="71" t="n">
        <v>16754.8072801891</v>
      </c>
      <c r="J128" s="72" t="str">
        <f>I128-E128</f>
      </c>
    </row>
    <row r="129">
      <c r="A129" t="s">
        <v>115</v>
      </c>
      <c r="B129" t="s">
        <v>294</v>
      </c>
      <c r="C129" s="66" t="n">
        <v>2043</v>
      </c>
      <c r="D129" t="s">
        <v>235</v>
      </c>
      <c r="E129" s="67" t="n">
        <v>1092810.02718053</v>
      </c>
      <c r="F129" s="68" t="n">
        <v>199308.906441285</v>
      </c>
      <c r="G129" s="69" t="n">
        <v>214013.627325169</v>
      </c>
      <c r="H129" s="70" t="str">
        <f>G129-F129</f>
      </c>
      <c r="I129" s="71" t="n">
        <v>1089617.8876954</v>
      </c>
      <c r="J129" s="72" t="str">
        <f>I129-E129</f>
      </c>
    </row>
    <row r="130">
      <c r="A130" t="s">
        <v>115</v>
      </c>
      <c r="B130" t="s">
        <v>294</v>
      </c>
      <c r="C130" s="66" t="n">
        <v>2043</v>
      </c>
      <c r="D130" t="s">
        <v>210</v>
      </c>
      <c r="E130" s="67" t="n">
        <v>154146.959546656</v>
      </c>
      <c r="F130" s="68" t="n">
        <v>96154.5132684612</v>
      </c>
      <c r="G130" s="69" t="n">
        <v>106296.685429372</v>
      </c>
      <c r="H130" s="70" t="str">
        <f>G130-F130</f>
      </c>
      <c r="I130" s="71" t="n">
        <v>173407.833179956</v>
      </c>
      <c r="J130" s="72" t="str">
        <f>I130-E130</f>
      </c>
    </row>
    <row r="131">
      <c r="A131" t="s">
        <v>115</v>
      </c>
      <c r="B131" t="s">
        <v>294</v>
      </c>
      <c r="C131" s="66" t="n">
        <v>2043</v>
      </c>
      <c r="D131" t="s">
        <v>221</v>
      </c>
      <c r="E131" s="67" t="n">
        <v>301199.598601666</v>
      </c>
      <c r="F131" s="68" t="n">
        <v>286378.84111948</v>
      </c>
      <c r="G131" s="69" t="n">
        <v>315350.995136011</v>
      </c>
      <c r="H131" s="70" t="str">
        <f>G131-F131</f>
      </c>
      <c r="I131" s="71" t="n">
        <v>335190.948405484</v>
      </c>
      <c r="J131" s="72" t="str">
        <f>I131-E131</f>
      </c>
    </row>
    <row r="132">
      <c r="A132" t="s">
        <v>115</v>
      </c>
      <c r="B132" t="s">
        <v>294</v>
      </c>
      <c r="C132" s="66" t="n">
        <v>2043</v>
      </c>
      <c r="D132" t="s">
        <v>225</v>
      </c>
      <c r="E132" s="67" t="n">
        <v>795402.898684126</v>
      </c>
      <c r="F132" s="68" t="n">
        <v>488709.752521231</v>
      </c>
      <c r="G132" s="69" t="n">
        <v>528079.181081669</v>
      </c>
      <c r="H132" s="70" t="str">
        <f>G132-F132</f>
      </c>
      <c r="I132" s="71" t="n">
        <v>901770.411974376</v>
      </c>
      <c r="J132" s="72" t="str">
        <f>I132-E132</f>
      </c>
    </row>
    <row r="133">
      <c r="A133" t="s">
        <v>115</v>
      </c>
      <c r="B133" t="s">
        <v>294</v>
      </c>
      <c r="C133" s="66" t="n">
        <v>2043</v>
      </c>
      <c r="D133" t="s">
        <v>229</v>
      </c>
      <c r="E133" s="67" t="n">
        <v>428796.958838035</v>
      </c>
      <c r="F133" s="68" t="n">
        <v>241114.057862288</v>
      </c>
      <c r="G133" s="69" t="n">
        <v>255992.973248088</v>
      </c>
      <c r="H133" s="70" t="str">
        <f>G133-F133</f>
      </c>
      <c r="I133" s="71" t="n">
        <v>479482.188386743</v>
      </c>
      <c r="J133" s="72" t="str">
        <f>I133-E133</f>
      </c>
    </row>
    <row r="134">
      <c r="A134" t="s">
        <v>115</v>
      </c>
      <c r="B134" t="s">
        <v>294</v>
      </c>
      <c r="C134" s="66" t="n">
        <v>2043</v>
      </c>
      <c r="D134" t="s">
        <v>296</v>
      </c>
      <c r="E134" s="67" t="n">
        <v>12246.6361372108</v>
      </c>
      <c r="F134" s="68" t="n">
        <v>1731.13374489783</v>
      </c>
      <c r="G134" s="69" t="n">
        <v>1731.1314511154</v>
      </c>
      <c r="H134" s="70" t="str">
        <f>G134-F134</f>
      </c>
      <c r="I134" s="71" t="n">
        <v>12246.5731114781</v>
      </c>
      <c r="J134" s="72" t="str">
        <f>I134-E134</f>
      </c>
    </row>
    <row r="135">
      <c r="A135" t="s">
        <v>115</v>
      </c>
      <c r="B135" t="s">
        <v>294</v>
      </c>
      <c r="C135" s="66" t="n">
        <v>2044</v>
      </c>
      <c r="D135" t="s">
        <v>295</v>
      </c>
      <c r="E135" s="67" t="n">
        <v>17387.4568805458</v>
      </c>
      <c r="F135" s="68" t="n">
        <v>11623.3593190761</v>
      </c>
      <c r="G135" s="69" t="n">
        <v>11540.7879834335</v>
      </c>
      <c r="H135" s="70" t="str">
        <f>G135-F135</f>
      </c>
      <c r="I135" s="71" t="n">
        <v>17141.7120461147</v>
      </c>
      <c r="J135" s="72" t="str">
        <f>I135-E135</f>
      </c>
    </row>
    <row r="136">
      <c r="A136" t="s">
        <v>115</v>
      </c>
      <c r="B136" t="s">
        <v>294</v>
      </c>
      <c r="C136" s="66" t="n">
        <v>2044</v>
      </c>
      <c r="D136" t="s">
        <v>235</v>
      </c>
      <c r="E136" s="67" t="n">
        <v>1104351.64462999</v>
      </c>
      <c r="F136" s="68" t="n">
        <v>204561.077807609</v>
      </c>
      <c r="G136" s="69" t="n">
        <v>219387.626065992</v>
      </c>
      <c r="H136" s="70" t="str">
        <f>G136-F136</f>
      </c>
      <c r="I136" s="71" t="n">
        <v>1100597.33187273</v>
      </c>
      <c r="J136" s="72" t="str">
        <f>I136-E136</f>
      </c>
    </row>
    <row r="137">
      <c r="A137" t="s">
        <v>115</v>
      </c>
      <c r="B137" t="s">
        <v>294</v>
      </c>
      <c r="C137" s="66" t="n">
        <v>2044</v>
      </c>
      <c r="D137" t="s">
        <v>210</v>
      </c>
      <c r="E137" s="67" t="n">
        <v>157503.933829739</v>
      </c>
      <c r="F137" s="68" t="n">
        <v>97640.8847352273</v>
      </c>
      <c r="G137" s="69" t="n">
        <v>108405.015378104</v>
      </c>
      <c r="H137" s="70" t="str">
        <f>G137-F137</f>
      </c>
      <c r="I137" s="71" t="n">
        <v>176720.973913542</v>
      </c>
      <c r="J137" s="72" t="str">
        <f>I137-E137</f>
      </c>
    </row>
    <row r="138">
      <c r="A138" t="s">
        <v>115</v>
      </c>
      <c r="B138" t="s">
        <v>294</v>
      </c>
      <c r="C138" s="66" t="n">
        <v>2044</v>
      </c>
      <c r="D138" t="s">
        <v>221</v>
      </c>
      <c r="E138" s="67" t="n">
        <v>303490.727915036</v>
      </c>
      <c r="F138" s="68" t="n">
        <v>287692.526221752</v>
      </c>
      <c r="G138" s="69" t="n">
        <v>317170.637977033</v>
      </c>
      <c r="H138" s="70" t="str">
        <f>G138-F138</f>
      </c>
      <c r="I138" s="71" t="n">
        <v>337141.608513163</v>
      </c>
      <c r="J138" s="72" t="str">
        <f>I138-E138</f>
      </c>
    </row>
    <row r="139">
      <c r="A139" t="s">
        <v>115</v>
      </c>
      <c r="B139" t="s">
        <v>294</v>
      </c>
      <c r="C139" s="66" t="n">
        <v>2044</v>
      </c>
      <c r="D139" t="s">
        <v>225</v>
      </c>
      <c r="E139" s="67" t="n">
        <v>809561.079760698</v>
      </c>
      <c r="F139" s="68" t="n">
        <v>495861.47926784</v>
      </c>
      <c r="G139" s="69" t="n">
        <v>538525.397411542</v>
      </c>
      <c r="H139" s="70" t="str">
        <f>G139-F139</f>
      </c>
      <c r="I139" s="71" t="n">
        <v>915703.811540802</v>
      </c>
      <c r="J139" s="72" t="str">
        <f>I139-E139</f>
      </c>
    </row>
    <row r="140">
      <c r="A140" t="s">
        <v>115</v>
      </c>
      <c r="B140" t="s">
        <v>294</v>
      </c>
      <c r="C140" s="66" t="n">
        <v>2044</v>
      </c>
      <c r="D140" t="s">
        <v>229</v>
      </c>
      <c r="E140" s="67" t="n">
        <v>436144.111006492</v>
      </c>
      <c r="F140" s="68" t="n">
        <v>245485.126911045</v>
      </c>
      <c r="G140" s="69" t="n">
        <v>261683.339551894</v>
      </c>
      <c r="H140" s="70" t="str">
        <f>G140-F140</f>
      </c>
      <c r="I140" s="71" t="n">
        <v>486601.390422378</v>
      </c>
      <c r="J140" s="72" t="str">
        <f>I140-E140</f>
      </c>
    </row>
    <row r="141">
      <c r="A141" t="s">
        <v>115</v>
      </c>
      <c r="B141" t="s">
        <v>294</v>
      </c>
      <c r="C141" s="66" t="n">
        <v>2044</v>
      </c>
      <c r="D141" t="s">
        <v>296</v>
      </c>
      <c r="E141" s="67" t="n">
        <v>12149.9262554277</v>
      </c>
      <c r="F141" s="68" t="n">
        <v>1626.37787508542</v>
      </c>
      <c r="G141" s="69" t="n">
        <v>1626.37538137955</v>
      </c>
      <c r="H141" s="70" t="str">
        <f>G141-F141</f>
      </c>
      <c r="I141" s="71" t="n">
        <v>12149.8552379252</v>
      </c>
      <c r="J141" s="72" t="str">
        <f>I141-E141</f>
      </c>
    </row>
    <row r="142">
      <c r="A142" t="s">
        <v>115</v>
      </c>
      <c r="B142" t="s">
        <v>294</v>
      </c>
      <c r="C142" s="66" t="n">
        <v>2045</v>
      </c>
      <c r="D142" t="s">
        <v>295</v>
      </c>
      <c r="E142" s="67" t="n">
        <v>17846.968353531</v>
      </c>
      <c r="F142" s="68" t="n">
        <v>11847.1217909974</v>
      </c>
      <c r="G142" s="69" t="n">
        <v>11745.9298391965</v>
      </c>
      <c r="H142" s="70" t="str">
        <f>G142-F142</f>
      </c>
      <c r="I142" s="71" t="n">
        <v>17558.0225793012</v>
      </c>
      <c r="J142" s="72" t="str">
        <f>I142-E142</f>
      </c>
    </row>
    <row r="143">
      <c r="A143" t="s">
        <v>115</v>
      </c>
      <c r="B143" t="s">
        <v>294</v>
      </c>
      <c r="C143" s="66" t="n">
        <v>2045</v>
      </c>
      <c r="D143" t="s">
        <v>235</v>
      </c>
      <c r="E143" s="67" t="n">
        <v>1115173.4371285</v>
      </c>
      <c r="F143" s="68" t="n">
        <v>209840.890283115</v>
      </c>
      <c r="G143" s="69" t="n">
        <v>224789.135470853</v>
      </c>
      <c r="H143" s="70" t="str">
        <f>G143-F143</f>
      </c>
      <c r="I143" s="71" t="n">
        <v>1110841.03545085</v>
      </c>
      <c r="J143" s="72" t="str">
        <f>I143-E143</f>
      </c>
    </row>
    <row r="144">
      <c r="A144" t="s">
        <v>115</v>
      </c>
      <c r="B144" t="s">
        <v>294</v>
      </c>
      <c r="C144" s="66" t="n">
        <v>2045</v>
      </c>
      <c r="D144" t="s">
        <v>210</v>
      </c>
      <c r="E144" s="67" t="n">
        <v>161001.45993188</v>
      </c>
      <c r="F144" s="68" t="n">
        <v>99272.1195706789</v>
      </c>
      <c r="G144" s="69" t="n">
        <v>110535.42825069</v>
      </c>
      <c r="H144" s="70" t="str">
        <f>G144-F144</f>
      </c>
      <c r="I144" s="71" t="n">
        <v>180153.68435169</v>
      </c>
      <c r="J144" s="72" t="str">
        <f>I144-E144</f>
      </c>
    </row>
    <row r="145">
      <c r="A145" t="s">
        <v>115</v>
      </c>
      <c r="B145" t="s">
        <v>294</v>
      </c>
      <c r="C145" s="66" t="n">
        <v>2045</v>
      </c>
      <c r="D145" t="s">
        <v>221</v>
      </c>
      <c r="E145" s="67" t="n">
        <v>305874.448087409</v>
      </c>
      <c r="F145" s="68" t="n">
        <v>289147.148451051</v>
      </c>
      <c r="G145" s="69" t="n">
        <v>318918.904925021</v>
      </c>
      <c r="H145" s="70" t="str">
        <f>G145-F145</f>
      </c>
      <c r="I145" s="71" t="n">
        <v>339169.596103443</v>
      </c>
      <c r="J145" s="72" t="str">
        <f>I145-E145</f>
      </c>
    </row>
    <row r="146">
      <c r="A146" t="s">
        <v>115</v>
      </c>
      <c r="B146" t="s">
        <v>294</v>
      </c>
      <c r="C146" s="66" t="n">
        <v>2045</v>
      </c>
      <c r="D146" t="s">
        <v>225</v>
      </c>
      <c r="E146" s="67" t="n">
        <v>823455.30693413</v>
      </c>
      <c r="F146" s="68" t="n">
        <v>503384.259002667</v>
      </c>
      <c r="G146" s="69" t="n">
        <v>549018.34448389</v>
      </c>
      <c r="H146" s="70" t="str">
        <f>G146-F146</f>
      </c>
      <c r="I146" s="71" t="n">
        <v>929197.274787431</v>
      </c>
      <c r="J146" s="72" t="str">
        <f>I146-E146</f>
      </c>
    </row>
    <row r="147">
      <c r="A147" t="s">
        <v>115</v>
      </c>
      <c r="B147" t="s">
        <v>294</v>
      </c>
      <c r="C147" s="66" t="n">
        <v>2045</v>
      </c>
      <c r="D147" t="s">
        <v>229</v>
      </c>
      <c r="E147" s="67" t="n">
        <v>443151.081194824</v>
      </c>
      <c r="F147" s="68" t="n">
        <v>250002.108859777</v>
      </c>
      <c r="G147" s="69" t="n">
        <v>267382.392924501</v>
      </c>
      <c r="H147" s="70" t="str">
        <f>G147-F147</f>
      </c>
      <c r="I147" s="71" t="n">
        <v>493255.893083406</v>
      </c>
      <c r="J147" s="72" t="str">
        <f>I147-E147</f>
      </c>
    </row>
    <row r="148">
      <c r="A148" t="s">
        <v>115</v>
      </c>
      <c r="B148" t="s">
        <v>294</v>
      </c>
      <c r="C148" s="66" t="n">
        <v>2045</v>
      </c>
      <c r="D148" t="s">
        <v>296</v>
      </c>
      <c r="E148" s="67" t="n">
        <v>12048.578204614</v>
      </c>
      <c r="F148" s="68" t="n">
        <v>1523.26683659738</v>
      </c>
      <c r="G148" s="69" t="n">
        <v>1523.26402182686</v>
      </c>
      <c r="H148" s="70" t="str">
        <f>G148-F148</f>
      </c>
      <c r="I148" s="71" t="n">
        <v>12048.500629735</v>
      </c>
      <c r="J148" s="72" t="str">
        <f>I148-E148</f>
      </c>
    </row>
    <row r="149">
      <c r="A149" t="s">
        <v>115</v>
      </c>
      <c r="B149" t="s">
        <v>294</v>
      </c>
      <c r="C149" s="66" t="n">
        <v>2046</v>
      </c>
      <c r="D149" t="s">
        <v>295</v>
      </c>
      <c r="E149" s="67" t="n">
        <v>18304.2309877649</v>
      </c>
      <c r="F149" s="68" t="n">
        <v>12078.395945914</v>
      </c>
      <c r="G149" s="69" t="n">
        <v>11956.4732180851</v>
      </c>
      <c r="H149" s="70" t="str">
        <f>G149-F149</f>
      </c>
      <c r="I149" s="71" t="n">
        <v>17968.503099892</v>
      </c>
      <c r="J149" s="72" t="str">
        <f>I149-E149</f>
      </c>
    </row>
    <row r="150">
      <c r="A150" t="s">
        <v>115</v>
      </c>
      <c r="B150" t="s">
        <v>294</v>
      </c>
      <c r="C150" s="66" t="n">
        <v>2046</v>
      </c>
      <c r="D150" t="s">
        <v>235</v>
      </c>
      <c r="E150" s="67" t="n">
        <v>1129673.47494759</v>
      </c>
      <c r="F150" s="68" t="n">
        <v>215155.431920865</v>
      </c>
      <c r="G150" s="69" t="n">
        <v>230223.641273017</v>
      </c>
      <c r="H150" s="70" t="str">
        <f>G150-F150</f>
      </c>
      <c r="I150" s="71" t="n">
        <v>1124741.39385058</v>
      </c>
      <c r="J150" s="72" t="str">
        <f>I150-E150</f>
      </c>
    </row>
    <row r="151">
      <c r="A151" t="s">
        <v>115</v>
      </c>
      <c r="B151" t="s">
        <v>294</v>
      </c>
      <c r="C151" s="66" t="n">
        <v>2046</v>
      </c>
      <c r="D151" t="s">
        <v>210</v>
      </c>
      <c r="E151" s="67" t="n">
        <v>164454.746616785</v>
      </c>
      <c r="F151" s="68" t="n">
        <v>101028.481432928</v>
      </c>
      <c r="G151" s="69" t="n">
        <v>112679.652863118</v>
      </c>
      <c r="H151" s="70" t="str">
        <f>G151-F151</f>
      </c>
      <c r="I151" s="71" t="n">
        <v>183510.562290158</v>
      </c>
      <c r="J151" s="72" t="str">
        <f>I151-E151</f>
      </c>
    </row>
    <row r="152">
      <c r="A152" t="s">
        <v>115</v>
      </c>
      <c r="B152" t="s">
        <v>294</v>
      </c>
      <c r="C152" s="66" t="n">
        <v>2046</v>
      </c>
      <c r="D152" t="s">
        <v>221</v>
      </c>
      <c r="E152" s="67" t="n">
        <v>308295.150278432</v>
      </c>
      <c r="F152" s="68" t="n">
        <v>290663.063660299</v>
      </c>
      <c r="G152" s="69" t="n">
        <v>320574.163172874</v>
      </c>
      <c r="H152" s="70" t="str">
        <f>G152-F152</f>
      </c>
      <c r="I152" s="71" t="n">
        <v>341225.275481564</v>
      </c>
      <c r="J152" s="72" t="str">
        <f>I152-E152</f>
      </c>
    </row>
    <row r="153">
      <c r="A153" t="s">
        <v>115</v>
      </c>
      <c r="B153" t="s">
        <v>294</v>
      </c>
      <c r="C153" s="66" t="n">
        <v>2046</v>
      </c>
      <c r="D153" t="s">
        <v>225</v>
      </c>
      <c r="E153" s="67" t="n">
        <v>838514.200800659</v>
      </c>
      <c r="F153" s="68" t="n">
        <v>511252.678147967</v>
      </c>
      <c r="G153" s="69" t="n">
        <v>559544.256752656</v>
      </c>
      <c r="H153" s="70" t="str">
        <f>G153-F153</f>
      </c>
      <c r="I153" s="71" t="n">
        <v>944010.931257439</v>
      </c>
      <c r="J153" s="72" t="str">
        <f>I153-E153</f>
      </c>
    </row>
    <row r="154">
      <c r="A154" t="s">
        <v>115</v>
      </c>
      <c r="B154" t="s">
        <v>294</v>
      </c>
      <c r="C154" s="66" t="n">
        <v>2046</v>
      </c>
      <c r="D154" t="s">
        <v>229</v>
      </c>
      <c r="E154" s="67" t="n">
        <v>450815.767147331</v>
      </c>
      <c r="F154" s="68" t="n">
        <v>254663.968743427</v>
      </c>
      <c r="G154" s="69" t="n">
        <v>273080.787934234</v>
      </c>
      <c r="H154" s="70" t="str">
        <f>G154-F154</f>
      </c>
      <c r="I154" s="71" t="n">
        <v>500645.717898476</v>
      </c>
      <c r="J154" s="72" t="str">
        <f>I154-E154</f>
      </c>
    </row>
    <row r="155">
      <c r="A155" t="s">
        <v>115</v>
      </c>
      <c r="B155" t="s">
        <v>294</v>
      </c>
      <c r="C155" s="66" t="n">
        <v>2046</v>
      </c>
      <c r="D155" t="s">
        <v>296</v>
      </c>
      <c r="E155" s="67" t="n">
        <v>11943.8810372682</v>
      </c>
      <c r="F155" s="68" t="n">
        <v>1421.30338426816</v>
      </c>
      <c r="G155" s="69" t="n">
        <v>1421.3002106259</v>
      </c>
      <c r="H155" s="70" t="str">
        <f>G155-F155</f>
      </c>
      <c r="I155" s="71" t="n">
        <v>11943.7945693929</v>
      </c>
      <c r="J155" s="72" t="str">
        <f>I155-E155</f>
      </c>
    </row>
    <row r="156">
      <c r="A156" t="s">
        <v>115</v>
      </c>
      <c r="B156" t="s">
        <v>294</v>
      </c>
      <c r="C156" s="66" t="n">
        <v>2047</v>
      </c>
      <c r="D156" t="s">
        <v>295</v>
      </c>
      <c r="E156" s="67" t="n">
        <v>18755.314979264</v>
      </c>
      <c r="F156" s="68" t="n">
        <v>12304.7278479584</v>
      </c>
      <c r="G156" s="69" t="n">
        <v>12160.3227217187</v>
      </c>
      <c r="H156" s="70" t="str">
        <f>G156-F156</f>
      </c>
      <c r="I156" s="71" t="n">
        <v>18370.9982297807</v>
      </c>
      <c r="J156" s="72" t="str">
        <f>I156-E156</f>
      </c>
    </row>
    <row r="157">
      <c r="A157" t="s">
        <v>115</v>
      </c>
      <c r="B157" t="s">
        <v>294</v>
      </c>
      <c r="C157" s="66" t="n">
        <v>2047</v>
      </c>
      <c r="D157" t="s">
        <v>235</v>
      </c>
      <c r="E157" s="67" t="n">
        <v>1139217.22784548</v>
      </c>
      <c r="F157" s="68" t="n">
        <v>220395.162797499</v>
      </c>
      <c r="G157" s="69" t="n">
        <v>235574.501787602</v>
      </c>
      <c r="H157" s="70" t="str">
        <f>G157-F157</f>
      </c>
      <c r="I157" s="71" t="n">
        <v>1133680.16398797</v>
      </c>
      <c r="J157" s="72" t="str">
        <f>I157-E157</f>
      </c>
    </row>
    <row r="158">
      <c r="A158" t="s">
        <v>115</v>
      </c>
      <c r="B158" t="s">
        <v>294</v>
      </c>
      <c r="C158" s="66" t="n">
        <v>2047</v>
      </c>
      <c r="D158" t="s">
        <v>210</v>
      </c>
      <c r="E158" s="67" t="n">
        <v>167961.183269272</v>
      </c>
      <c r="F158" s="68" t="n">
        <v>102812.476917789</v>
      </c>
      <c r="G158" s="69" t="n">
        <v>114770.43405396</v>
      </c>
      <c r="H158" s="70" t="str">
        <f>G158-F158</f>
      </c>
      <c r="I158" s="71" t="n">
        <v>186925.284089995</v>
      </c>
      <c r="J158" s="72" t="str">
        <f>I158-E158</f>
      </c>
    </row>
    <row r="159">
      <c r="A159" t="s">
        <v>115</v>
      </c>
      <c r="B159" t="s">
        <v>294</v>
      </c>
      <c r="C159" s="66" t="n">
        <v>2047</v>
      </c>
      <c r="D159" t="s">
        <v>221</v>
      </c>
      <c r="E159" s="67" t="n">
        <v>310301.37686741</v>
      </c>
      <c r="F159" s="68" t="n">
        <v>292110.033989915</v>
      </c>
      <c r="G159" s="69" t="n">
        <v>322040.722228729</v>
      </c>
      <c r="H159" s="70" t="str">
        <f>G159-F159</f>
      </c>
      <c r="I159" s="71" t="n">
        <v>342821.899904036</v>
      </c>
      <c r="J159" s="72" t="str">
        <f>I159-E159</f>
      </c>
    </row>
    <row r="160">
      <c r="A160" t="s">
        <v>115</v>
      </c>
      <c r="B160" t="s">
        <v>294</v>
      </c>
      <c r="C160" s="66" t="n">
        <v>2047</v>
      </c>
      <c r="D160" t="s">
        <v>225</v>
      </c>
      <c r="E160" s="67" t="n">
        <v>852536.216892122</v>
      </c>
      <c r="F160" s="68" t="n">
        <v>519105.667128364</v>
      </c>
      <c r="G160" s="69" t="n">
        <v>569776.387385101</v>
      </c>
      <c r="H160" s="70" t="str">
        <f>G160-F160</f>
      </c>
      <c r="I160" s="71" t="n">
        <v>957700.330331823</v>
      </c>
      <c r="J160" s="72" t="str">
        <f>I160-E160</f>
      </c>
    </row>
    <row r="161">
      <c r="A161" t="s">
        <v>115</v>
      </c>
      <c r="B161" t="s">
        <v>294</v>
      </c>
      <c r="C161" s="66" t="n">
        <v>2047</v>
      </c>
      <c r="D161" t="s">
        <v>229</v>
      </c>
      <c r="E161" s="67" t="n">
        <v>458186.014359709</v>
      </c>
      <c r="F161" s="68" t="n">
        <v>259269.024574359</v>
      </c>
      <c r="G161" s="69" t="n">
        <v>278595.1987469</v>
      </c>
      <c r="H161" s="70" t="str">
        <f>G161-F161</f>
      </c>
      <c r="I161" s="71" t="n">
        <v>507728.749767113</v>
      </c>
      <c r="J161" s="72" t="str">
        <f>I161-E161</f>
      </c>
    </row>
    <row r="162">
      <c r="A162" t="s">
        <v>115</v>
      </c>
      <c r="B162" t="s">
        <v>294</v>
      </c>
      <c r="C162" s="66" t="n">
        <v>2047</v>
      </c>
      <c r="D162" t="s">
        <v>296</v>
      </c>
      <c r="E162" s="67" t="n">
        <v>11676.9122069385</v>
      </c>
      <c r="F162" s="68" t="n">
        <v>1320.01109825697</v>
      </c>
      <c r="G162" s="69" t="n">
        <v>1320.00748918915</v>
      </c>
      <c r="H162" s="70" t="str">
        <f>G162-F162</f>
      </c>
      <c r="I162" s="71" t="n">
        <v>11676.8139890787</v>
      </c>
      <c r="J162" s="72" t="str">
        <f>I162-E162</f>
      </c>
    </row>
    <row r="163">
      <c r="A163" t="s">
        <v>115</v>
      </c>
      <c r="B163" t="s">
        <v>294</v>
      </c>
      <c r="C163" s="66" t="n">
        <v>2048</v>
      </c>
      <c r="D163" t="s">
        <v>295</v>
      </c>
      <c r="E163" s="67" t="n">
        <v>19301.6909537089</v>
      </c>
      <c r="F163" s="68" t="n">
        <v>12528.2028761587</v>
      </c>
      <c r="G163" s="69" t="n">
        <v>12359.797946018</v>
      </c>
      <c r="H163" s="70" t="str">
        <f>G163-F163</f>
      </c>
      <c r="I163" s="71" t="n">
        <v>18865.0138793559</v>
      </c>
      <c r="J163" s="72" t="str">
        <f>I163-E163</f>
      </c>
    </row>
    <row r="164">
      <c r="A164" t="s">
        <v>115</v>
      </c>
      <c r="B164" t="s">
        <v>294</v>
      </c>
      <c r="C164" s="66" t="n">
        <v>2048</v>
      </c>
      <c r="D164" t="s">
        <v>235</v>
      </c>
      <c r="E164" s="67" t="n">
        <v>1146060.14732507</v>
      </c>
      <c r="F164" s="68" t="n">
        <v>225501.845494301</v>
      </c>
      <c r="G164" s="69" t="n">
        <v>240778.643136103</v>
      </c>
      <c r="H164" s="70" t="str">
        <f>G164-F164</f>
      </c>
      <c r="I164" s="71" t="n">
        <v>1139921.42222342</v>
      </c>
      <c r="J164" s="72" t="str">
        <f>I164-E164</f>
      </c>
    </row>
    <row r="165">
      <c r="A165" t="s">
        <v>115</v>
      </c>
      <c r="B165" t="s">
        <v>294</v>
      </c>
      <c r="C165" s="66" t="n">
        <v>2048</v>
      </c>
      <c r="D165" t="s">
        <v>210</v>
      </c>
      <c r="E165" s="67" t="n">
        <v>172222.443303723</v>
      </c>
      <c r="F165" s="68" t="n">
        <v>104597.894778282</v>
      </c>
      <c r="G165" s="69" t="n">
        <v>116788.610084</v>
      </c>
      <c r="H165" s="70" t="str">
        <f>G165-F165</f>
      </c>
      <c r="I165" s="71" t="n">
        <v>191173.834498201</v>
      </c>
      <c r="J165" s="72" t="str">
        <f>I165-E165</f>
      </c>
    </row>
    <row r="166">
      <c r="A166" t="s">
        <v>115</v>
      </c>
      <c r="B166" t="s">
        <v>294</v>
      </c>
      <c r="C166" s="66" t="n">
        <v>2048</v>
      </c>
      <c r="D166" t="s">
        <v>221</v>
      </c>
      <c r="E166" s="67" t="n">
        <v>311775.037054519</v>
      </c>
      <c r="F166" s="68" t="n">
        <v>293229.947972981</v>
      </c>
      <c r="G166" s="69" t="n">
        <v>323063.01307722</v>
      </c>
      <c r="H166" s="70" t="str">
        <f>G166-F166</f>
      </c>
      <c r="I166" s="71" t="n">
        <v>343787.138006374</v>
      </c>
      <c r="J166" s="72" t="str">
        <f>I166-E166</f>
      </c>
    </row>
    <row r="167">
      <c r="A167" t="s">
        <v>115</v>
      </c>
      <c r="B167" t="s">
        <v>294</v>
      </c>
      <c r="C167" s="66" t="n">
        <v>2048</v>
      </c>
      <c r="D167" t="s">
        <v>225</v>
      </c>
      <c r="E167" s="67" t="n">
        <v>867919.080751429</v>
      </c>
      <c r="F167" s="68" t="n">
        <v>526698.241537975</v>
      </c>
      <c r="G167" s="69" t="n">
        <v>579456.858882308</v>
      </c>
      <c r="H167" s="70" t="str">
        <f>G167-F167</f>
      </c>
      <c r="I167" s="71" t="n">
        <v>972752.000469153</v>
      </c>
      <c r="J167" s="72" t="str">
        <f>I167-E167</f>
      </c>
    </row>
    <row r="168">
      <c r="A168" t="s">
        <v>115</v>
      </c>
      <c r="B168" t="s">
        <v>294</v>
      </c>
      <c r="C168" s="66" t="n">
        <v>2048</v>
      </c>
      <c r="D168" t="s">
        <v>229</v>
      </c>
      <c r="E168" s="67" t="n">
        <v>466772.632614377</v>
      </c>
      <c r="F168" s="68" t="n">
        <v>263790.132171421</v>
      </c>
      <c r="G168" s="69" t="n">
        <v>283909.318240972</v>
      </c>
      <c r="H168" s="70" t="str">
        <f>G168-F168</f>
      </c>
      <c r="I168" s="71" t="n">
        <v>516145.438063223</v>
      </c>
      <c r="J168" s="72" t="str">
        <f>I168-E168</f>
      </c>
    </row>
    <row r="169">
      <c r="A169" t="s">
        <v>115</v>
      </c>
      <c r="B169" t="s">
        <v>294</v>
      </c>
      <c r="C169" s="66" t="n">
        <v>2048</v>
      </c>
      <c r="D169" t="s">
        <v>296</v>
      </c>
      <c r="E169" s="67" t="n">
        <v>11567.5186143749</v>
      </c>
      <c r="F169" s="68" t="n">
        <v>1228.73679826702</v>
      </c>
      <c r="G169" s="69" t="n">
        <v>1228.73261677247</v>
      </c>
      <c r="H169" s="70" t="str">
        <f>G169-F169</f>
      </c>
      <c r="I169" s="71" t="n">
        <v>11567.4035703729</v>
      </c>
      <c r="J169" s="72" t="str">
        <f>I169-E169</f>
      </c>
    </row>
    <row r="170">
      <c r="A170" t="s">
        <v>115</v>
      </c>
      <c r="B170" t="s">
        <v>294</v>
      </c>
      <c r="C170" s="66" t="n">
        <v>2049</v>
      </c>
      <c r="D170" t="s">
        <v>295</v>
      </c>
      <c r="E170" s="67" t="n">
        <v>19755.1838583158</v>
      </c>
      <c r="F170" s="68" t="n">
        <v>12756.914942126</v>
      </c>
      <c r="G170" s="69" t="n">
        <v>12562.9700035081</v>
      </c>
      <c r="H170" s="70" t="str">
        <f>G170-F170</f>
      </c>
      <c r="I170" s="71" t="n">
        <v>19265.9413357536</v>
      </c>
      <c r="J170" s="72" t="str">
        <f>I170-E170</f>
      </c>
    </row>
    <row r="171">
      <c r="A171" t="s">
        <v>115</v>
      </c>
      <c r="B171" t="s">
        <v>294</v>
      </c>
      <c r="C171" s="66" t="n">
        <v>2049</v>
      </c>
      <c r="D171" t="s">
        <v>235</v>
      </c>
      <c r="E171" s="67" t="n">
        <v>1155692.13673427</v>
      </c>
      <c r="F171" s="68" t="n">
        <v>230649.885702064</v>
      </c>
      <c r="G171" s="69" t="n">
        <v>246024.454765088</v>
      </c>
      <c r="H171" s="70" t="str">
        <f>G171-F171</f>
      </c>
      <c r="I171" s="71" t="n">
        <v>1148955.60958046</v>
      </c>
      <c r="J171" s="72" t="str">
        <f>I171-E171</f>
      </c>
    </row>
    <row r="172">
      <c r="A172" t="s">
        <v>115</v>
      </c>
      <c r="B172" t="s">
        <v>294</v>
      </c>
      <c r="C172" s="66" t="n">
        <v>2049</v>
      </c>
      <c r="D172" t="s">
        <v>210</v>
      </c>
      <c r="E172" s="67" t="n">
        <v>175505.652565076</v>
      </c>
      <c r="F172" s="68" t="n">
        <v>106460.494011556</v>
      </c>
      <c r="G172" s="69" t="n">
        <v>118827.584291328</v>
      </c>
      <c r="H172" s="70" t="str">
        <f>G172-F172</f>
      </c>
      <c r="I172" s="71" t="n">
        <v>194292.055539498</v>
      </c>
      <c r="J172" s="72" t="str">
        <f>I172-E172</f>
      </c>
    </row>
    <row r="173">
      <c r="A173" t="s">
        <v>115</v>
      </c>
      <c r="B173" t="s">
        <v>294</v>
      </c>
      <c r="C173" s="66" t="n">
        <v>2049</v>
      </c>
      <c r="D173" t="s">
        <v>221</v>
      </c>
      <c r="E173" s="67" t="n">
        <v>313491.626026856</v>
      </c>
      <c r="F173" s="68" t="n">
        <v>294443.591984143</v>
      </c>
      <c r="G173" s="69" t="n">
        <v>324116.922797206</v>
      </c>
      <c r="H173" s="70" t="str">
        <f>G173-F173</f>
      </c>
      <c r="I173" s="71" t="n">
        <v>345031.334829118</v>
      </c>
      <c r="J173" s="72" t="str">
        <f>I173-E173</f>
      </c>
    </row>
    <row r="174">
      <c r="A174" t="s">
        <v>115</v>
      </c>
      <c r="B174" t="s">
        <v>294</v>
      </c>
      <c r="C174" s="66" t="n">
        <v>2049</v>
      </c>
      <c r="D174" t="s">
        <v>225</v>
      </c>
      <c r="E174" s="67" t="n">
        <v>881317.987391271</v>
      </c>
      <c r="F174" s="68" t="n">
        <v>534603.984778273</v>
      </c>
      <c r="G174" s="69" t="n">
        <v>589228.445176563</v>
      </c>
      <c r="H174" s="70" t="str">
        <f>G174-F174</f>
      </c>
      <c r="I174" s="71" t="n">
        <v>985505.206976823</v>
      </c>
      <c r="J174" s="72" t="str">
        <f>I174-E174</f>
      </c>
    </row>
    <row r="175">
      <c r="A175" t="s">
        <v>115</v>
      </c>
      <c r="B175" t="s">
        <v>294</v>
      </c>
      <c r="C175" s="66" t="n">
        <v>2049</v>
      </c>
      <c r="D175" t="s">
        <v>229</v>
      </c>
      <c r="E175" s="67" t="n">
        <v>473549.487605167</v>
      </c>
      <c r="F175" s="68" t="n">
        <v>268423.656108316</v>
      </c>
      <c r="G175" s="69" t="n">
        <v>289249.089939416</v>
      </c>
      <c r="H175" s="70" t="str">
        <f>G175-F175</f>
      </c>
      <c r="I175" s="71" t="n">
        <v>522492.200230248</v>
      </c>
      <c r="J175" s="72" t="str">
        <f>I175-E175</f>
      </c>
    </row>
    <row r="176">
      <c r="A176" t="s">
        <v>115</v>
      </c>
      <c r="B176" t="s">
        <v>294</v>
      </c>
      <c r="C176" s="66" t="n">
        <v>2049</v>
      </c>
      <c r="D176" t="s">
        <v>296</v>
      </c>
      <c r="E176" s="67" t="n">
        <v>11514.6727202784</v>
      </c>
      <c r="F176" s="68" t="n">
        <v>1139.24667812466</v>
      </c>
      <c r="G176" s="69" t="n">
        <v>1139.24175250417</v>
      </c>
      <c r="H176" s="70" t="str">
        <f>G176-F176</f>
      </c>
      <c r="I176" s="71" t="n">
        <v>11514.5369642823</v>
      </c>
      <c r="J176" s="72" t="str">
        <f>I176-E176</f>
      </c>
    </row>
    <row r="177">
      <c r="A177" t="s">
        <v>115</v>
      </c>
      <c r="B177" t="s">
        <v>294</v>
      </c>
      <c r="C177" s="66" t="n">
        <v>2050</v>
      </c>
      <c r="D177" t="s">
        <v>295</v>
      </c>
      <c r="E177" s="67" t="n">
        <v>20194.718338194</v>
      </c>
      <c r="F177" s="68" t="n">
        <v>12985.6352187708</v>
      </c>
      <c r="G177" s="69" t="n">
        <v>12764.9906286853</v>
      </c>
      <c r="H177" s="70" t="str">
        <f>G177-F177</f>
      </c>
      <c r="I177" s="71" t="n">
        <v>19651.774602414</v>
      </c>
      <c r="J177" s="72" t="str">
        <f>I177-E177</f>
      </c>
    </row>
    <row r="178">
      <c r="A178" t="s">
        <v>115</v>
      </c>
      <c r="B178" t="s">
        <v>294</v>
      </c>
      <c r="C178" s="66" t="n">
        <v>2050</v>
      </c>
      <c r="D178" t="s">
        <v>235</v>
      </c>
      <c r="E178" s="67" t="n">
        <v>1164978.87347968</v>
      </c>
      <c r="F178" s="68" t="n">
        <v>235715.690670451</v>
      </c>
      <c r="G178" s="69" t="n">
        <v>251178.956267752</v>
      </c>
      <c r="H178" s="70" t="str">
        <f>G178-F178</f>
      </c>
      <c r="I178" s="71" t="n">
        <v>1157673.56667431</v>
      </c>
      <c r="J178" s="72" t="str">
        <f>I178-E178</f>
      </c>
    </row>
    <row r="179">
      <c r="A179" t="s">
        <v>115</v>
      </c>
      <c r="B179" t="s">
        <v>294</v>
      </c>
      <c r="C179" s="66" t="n">
        <v>2050</v>
      </c>
      <c r="D179" t="s">
        <v>210</v>
      </c>
      <c r="E179" s="67" t="n">
        <v>178379.93138845</v>
      </c>
      <c r="F179" s="68" t="n">
        <v>108337.472999878</v>
      </c>
      <c r="G179" s="69" t="n">
        <v>120827.928759862</v>
      </c>
      <c r="H179" s="70" t="str">
        <f>G179-F179</f>
      </c>
      <c r="I179" s="71" t="n">
        <v>196917.204625516</v>
      </c>
      <c r="J179" s="72" t="str">
        <f>I179-E179</f>
      </c>
    </row>
    <row r="180">
      <c r="A180" t="s">
        <v>115</v>
      </c>
      <c r="B180" t="s">
        <v>294</v>
      </c>
      <c r="C180" s="66" t="n">
        <v>2050</v>
      </c>
      <c r="D180" t="s">
        <v>221</v>
      </c>
      <c r="E180" s="67" t="n">
        <v>315173.224569201</v>
      </c>
      <c r="F180" s="68" t="n">
        <v>295520.149002683</v>
      </c>
      <c r="G180" s="69" t="n">
        <v>324973.279226193</v>
      </c>
      <c r="H180" s="70" t="str">
        <f>G180-F180</f>
      </c>
      <c r="I180" s="71" t="n">
        <v>346233.851249823</v>
      </c>
      <c r="J180" s="72" t="str">
        <f>I180-E180</f>
      </c>
    </row>
    <row r="181">
      <c r="A181" t="s">
        <v>115</v>
      </c>
      <c r="B181" t="s">
        <v>294</v>
      </c>
      <c r="C181" s="66" t="n">
        <v>2050</v>
      </c>
      <c r="D181" t="s">
        <v>225</v>
      </c>
      <c r="E181" s="67" t="n">
        <v>893872.54632925</v>
      </c>
      <c r="F181" s="68" t="n">
        <v>542557.714035582</v>
      </c>
      <c r="G181" s="69" t="n">
        <v>598816.687069898</v>
      </c>
      <c r="H181" s="70" t="str">
        <f>G181-F181</f>
      </c>
      <c r="I181" s="71" t="n">
        <v>997255.105001918</v>
      </c>
      <c r="J181" s="72" t="str">
        <f>I181-E181</f>
      </c>
    </row>
    <row r="182">
      <c r="A182" t="s">
        <v>115</v>
      </c>
      <c r="B182" t="s">
        <v>294</v>
      </c>
      <c r="C182" s="66" t="n">
        <v>2050</v>
      </c>
      <c r="D182" t="s">
        <v>229</v>
      </c>
      <c r="E182" s="67" t="n">
        <v>479608.285840917</v>
      </c>
      <c r="F182" s="68" t="n">
        <v>272959.622614641</v>
      </c>
      <c r="G182" s="69" t="n">
        <v>294395.50759804</v>
      </c>
      <c r="H182" s="70" t="str">
        <f>G182-F182</f>
      </c>
      <c r="I182" s="71" t="n">
        <v>528009.464128417</v>
      </c>
      <c r="J182" s="72" t="str">
        <f>I182-E182</f>
      </c>
    </row>
    <row r="183">
      <c r="A183" t="s">
        <v>115</v>
      </c>
      <c r="B183" t="s">
        <v>294</v>
      </c>
      <c r="C183" s="66" t="n">
        <v>2050</v>
      </c>
      <c r="D183" t="s">
        <v>296</v>
      </c>
      <c r="E183" s="67" t="n">
        <v>11458.4941115999</v>
      </c>
      <c r="F183" s="68" t="n">
        <v>1051.11971545667</v>
      </c>
      <c r="G183" s="69" t="n">
        <v>1051.113893317</v>
      </c>
      <c r="H183" s="70" t="str">
        <f>G183-F183</f>
      </c>
      <c r="I183" s="71" t="n">
        <v>11458.3317669049</v>
      </c>
      <c r="J183" s="72" t="str">
        <f>I183-E183</f>
      </c>
    </row>
    <row r="184">
      <c r="A184" t="s">
        <v>112</v>
      </c>
      <c r="B184" t="s">
        <v>297</v>
      </c>
      <c r="C184" s="66" t="n">
        <v>2025</v>
      </c>
      <c r="D184" t="s">
        <v>295</v>
      </c>
      <c r="E184" s="67" t="n">
        <v>11293.858953409</v>
      </c>
      <c r="F184" s="68" t="n">
        <v>8456.09110298007</v>
      </c>
      <c r="G184" s="69" t="n">
        <v>8456.09110298007</v>
      </c>
      <c r="H184" s="70" t="str">
        <f>G184-F184</f>
      </c>
      <c r="I184" s="71" t="n">
        <v>11293.858953409</v>
      </c>
      <c r="J184" s="72" t="str">
        <f>I184-E184</f>
      </c>
    </row>
    <row r="185">
      <c r="A185" t="s">
        <v>112</v>
      </c>
      <c r="B185" t="s">
        <v>297</v>
      </c>
      <c r="C185" s="66" t="n">
        <v>2025</v>
      </c>
      <c r="D185" t="s">
        <v>235</v>
      </c>
      <c r="E185" s="67" t="n">
        <v>796801.792482661</v>
      </c>
      <c r="F185" s="68" t="n">
        <v>124437.099676651</v>
      </c>
      <c r="G185" s="69" t="n">
        <v>124437.099676651</v>
      </c>
      <c r="H185" s="70" t="str">
        <f>G185-F185</f>
      </c>
      <c r="I185" s="71" t="n">
        <v>796801.792482661</v>
      </c>
      <c r="J185" s="72" t="str">
        <f>I185-E185</f>
      </c>
    </row>
    <row r="186">
      <c r="A186" t="s">
        <v>112</v>
      </c>
      <c r="B186" t="s">
        <v>297</v>
      </c>
      <c r="C186" s="66" t="n">
        <v>2025</v>
      </c>
      <c r="D186" t="s">
        <v>210</v>
      </c>
      <c r="E186" s="67" t="n">
        <v>110599.338170727</v>
      </c>
      <c r="F186" s="68" t="n">
        <v>70978.7980144995</v>
      </c>
      <c r="G186" s="69" t="n">
        <v>70978.7980144995</v>
      </c>
      <c r="H186" s="70" t="str">
        <f>G186-F186</f>
      </c>
      <c r="I186" s="71" t="n">
        <v>110599.338170727</v>
      </c>
      <c r="J186" s="72" t="str">
        <f>I186-E186</f>
      </c>
    </row>
    <row r="187">
      <c r="A187" t="s">
        <v>112</v>
      </c>
      <c r="B187" t="s">
        <v>297</v>
      </c>
      <c r="C187" s="66" t="n">
        <v>2025</v>
      </c>
      <c r="D187" t="s">
        <v>221</v>
      </c>
      <c r="E187" s="67" t="n">
        <v>269908.90899035</v>
      </c>
      <c r="F187" s="68" t="n">
        <v>250549.928104577</v>
      </c>
      <c r="G187" s="69" t="n">
        <v>250549.928104577</v>
      </c>
      <c r="H187" s="70" t="str">
        <f>G187-F187</f>
      </c>
      <c r="I187" s="71" t="n">
        <v>269908.90899035</v>
      </c>
      <c r="J187" s="72" t="str">
        <f>I187-E187</f>
      </c>
    </row>
    <row r="188">
      <c r="A188" t="s">
        <v>112</v>
      </c>
      <c r="B188" t="s">
        <v>297</v>
      </c>
      <c r="C188" s="66" t="n">
        <v>2025</v>
      </c>
      <c r="D188" t="s">
        <v>225</v>
      </c>
      <c r="E188" s="67" t="n">
        <v>605290.562665356</v>
      </c>
      <c r="F188" s="68" t="n">
        <v>336235.043603752</v>
      </c>
      <c r="G188" s="69" t="n">
        <v>336235.043603752</v>
      </c>
      <c r="H188" s="70" t="str">
        <f>G188-F188</f>
      </c>
      <c r="I188" s="71" t="n">
        <v>605290.562665356</v>
      </c>
      <c r="J188" s="72" t="str">
        <f>I188-E188</f>
      </c>
    </row>
    <row r="189">
      <c r="A189" t="s">
        <v>112</v>
      </c>
      <c r="B189" t="s">
        <v>297</v>
      </c>
      <c r="C189" s="66" t="n">
        <v>2025</v>
      </c>
      <c r="D189" t="s">
        <v>229</v>
      </c>
      <c r="E189" s="67" t="n">
        <v>328703.695708345</v>
      </c>
      <c r="F189" s="68" t="n">
        <v>165181.229862536</v>
      </c>
      <c r="G189" s="69" t="n">
        <v>165181.229862536</v>
      </c>
      <c r="H189" s="70" t="str">
        <f>G189-F189</f>
      </c>
      <c r="I189" s="71" t="n">
        <v>328703.695708345</v>
      </c>
      <c r="J189" s="72" t="str">
        <f>I189-E189</f>
      </c>
    </row>
    <row r="190">
      <c r="A190" t="s">
        <v>112</v>
      </c>
      <c r="B190" t="s">
        <v>297</v>
      </c>
      <c r="C190" s="66" t="n">
        <v>2025</v>
      </c>
      <c r="D190" t="s">
        <v>296</v>
      </c>
      <c r="E190" s="67" t="n">
        <v>12601.5188318307</v>
      </c>
      <c r="F190" s="68" t="n">
        <v>3955.30711895499</v>
      </c>
      <c r="G190" s="69" t="n">
        <v>3955.30711895499</v>
      </c>
      <c r="H190" s="70" t="str">
        <f>G190-F190</f>
      </c>
      <c r="I190" s="71" t="n">
        <v>12601.5188318307</v>
      </c>
      <c r="J190" s="72" t="str">
        <f>I190-E190</f>
      </c>
    </row>
    <row r="191">
      <c r="A191" t="s">
        <v>112</v>
      </c>
      <c r="B191" t="s">
        <v>297</v>
      </c>
      <c r="C191" s="66" t="n">
        <v>2026</v>
      </c>
      <c r="D191" t="s">
        <v>295</v>
      </c>
      <c r="E191" s="67" t="n">
        <v>11413.9401907849</v>
      </c>
      <c r="F191" s="68" t="n">
        <v>8503.048830729</v>
      </c>
      <c r="G191" s="69" t="n">
        <v>8503.048830729</v>
      </c>
      <c r="H191" s="70" t="str">
        <f>G191-F191</f>
      </c>
      <c r="I191" s="71" t="n">
        <v>11413.9401907849</v>
      </c>
      <c r="J191" s="72" t="str">
        <f>I191-E191</f>
      </c>
    </row>
    <row r="192">
      <c r="A192" t="s">
        <v>112</v>
      </c>
      <c r="B192" t="s">
        <v>297</v>
      </c>
      <c r="C192" s="66" t="n">
        <v>2026</v>
      </c>
      <c r="D192" t="s">
        <v>235</v>
      </c>
      <c r="E192" s="67" t="n">
        <v>813844.569716145</v>
      </c>
      <c r="F192" s="68" t="n">
        <v>128333.952745922</v>
      </c>
      <c r="G192" s="69" t="n">
        <v>128333.952745922</v>
      </c>
      <c r="H192" s="70" t="str">
        <f>G192-F192</f>
      </c>
      <c r="I192" s="71" t="n">
        <v>813844.569716145</v>
      </c>
      <c r="J192" s="72" t="str">
        <f>I192-E192</f>
      </c>
    </row>
    <row r="193">
      <c r="A193" t="s">
        <v>112</v>
      </c>
      <c r="B193" t="s">
        <v>297</v>
      </c>
      <c r="C193" s="66" t="n">
        <v>2026</v>
      </c>
      <c r="D193" t="s">
        <v>210</v>
      </c>
      <c r="E193" s="67" t="n">
        <v>113261.467181129</v>
      </c>
      <c r="F193" s="68" t="n">
        <v>72339.6884190733</v>
      </c>
      <c r="G193" s="69" t="n">
        <v>72339.6884190733</v>
      </c>
      <c r="H193" s="70" t="str">
        <f>G193-F193</f>
      </c>
      <c r="I193" s="71" t="n">
        <v>113261.467181129</v>
      </c>
      <c r="J193" s="72" t="str">
        <f>I193-E193</f>
      </c>
    </row>
    <row r="194">
      <c r="A194" t="s">
        <v>112</v>
      </c>
      <c r="B194" t="s">
        <v>297</v>
      </c>
      <c r="C194" s="66" t="n">
        <v>2026</v>
      </c>
      <c r="D194" t="s">
        <v>221</v>
      </c>
      <c r="E194" s="67" t="n">
        <v>274200.577929512</v>
      </c>
      <c r="F194" s="68" t="n">
        <v>254910.752627481</v>
      </c>
      <c r="G194" s="69" t="n">
        <v>254910.752627481</v>
      </c>
      <c r="H194" s="70" t="str">
        <f>G194-F194</f>
      </c>
      <c r="I194" s="71" t="n">
        <v>274200.577929512</v>
      </c>
      <c r="J194" s="72" t="str">
        <f>I194-E194</f>
      </c>
    </row>
    <row r="195">
      <c r="A195" t="s">
        <v>112</v>
      </c>
      <c r="B195" t="s">
        <v>297</v>
      </c>
      <c r="C195" s="66" t="n">
        <v>2026</v>
      </c>
      <c r="D195" t="s">
        <v>225</v>
      </c>
      <c r="E195" s="67" t="n">
        <v>620097.594779103</v>
      </c>
      <c r="F195" s="68" t="n">
        <v>344917.064339335</v>
      </c>
      <c r="G195" s="69" t="n">
        <v>344917.064339335</v>
      </c>
      <c r="H195" s="70" t="str">
        <f>G195-F195</f>
      </c>
      <c r="I195" s="71" t="n">
        <v>620097.594779103</v>
      </c>
      <c r="J195" s="72" t="str">
        <f>I195-E195</f>
      </c>
    </row>
    <row r="196">
      <c r="A196" t="s">
        <v>112</v>
      </c>
      <c r="B196" t="s">
        <v>297</v>
      </c>
      <c r="C196" s="66" t="n">
        <v>2026</v>
      </c>
      <c r="D196" t="s">
        <v>229</v>
      </c>
      <c r="E196" s="67" t="n">
        <v>335570.10792798</v>
      </c>
      <c r="F196" s="68" t="n">
        <v>167951.384337069</v>
      </c>
      <c r="G196" s="69" t="n">
        <v>167951.384337069</v>
      </c>
      <c r="H196" s="70" t="str">
        <f>G196-F196</f>
      </c>
      <c r="I196" s="71" t="n">
        <v>335570.10792798</v>
      </c>
      <c r="J196" s="72" t="str">
        <f>I196-E196</f>
      </c>
    </row>
    <row r="197">
      <c r="A197" t="s">
        <v>112</v>
      </c>
      <c r="B197" t="s">
        <v>297</v>
      </c>
      <c r="C197" s="66" t="n">
        <v>2026</v>
      </c>
      <c r="D197" t="s">
        <v>296</v>
      </c>
      <c r="E197" s="67" t="n">
        <v>12631.2009976529</v>
      </c>
      <c r="F197" s="68" t="n">
        <v>3824.41375844239</v>
      </c>
      <c r="G197" s="69" t="n">
        <v>3824.41375844239</v>
      </c>
      <c r="H197" s="70" t="str">
        <f>G197-F197</f>
      </c>
      <c r="I197" s="71" t="n">
        <v>12631.2009976529</v>
      </c>
      <c r="J197" s="72" t="str">
        <f>I197-E197</f>
      </c>
    </row>
    <row r="198">
      <c r="A198" t="s">
        <v>112</v>
      </c>
      <c r="B198" t="s">
        <v>297</v>
      </c>
      <c r="C198" s="66" t="n">
        <v>2027</v>
      </c>
      <c r="D198" t="s">
        <v>295</v>
      </c>
      <c r="E198" s="67" t="n">
        <v>11515.58910781</v>
      </c>
      <c r="F198" s="68" t="n">
        <v>8579.03905337462</v>
      </c>
      <c r="G198" s="69" t="n">
        <v>8579.03905337462</v>
      </c>
      <c r="H198" s="70" t="str">
        <f>G198-F198</f>
      </c>
      <c r="I198" s="71" t="n">
        <v>11515.58910781</v>
      </c>
      <c r="J198" s="72" t="str">
        <f>I198-E198</f>
      </c>
    </row>
    <row r="199">
      <c r="A199" t="s">
        <v>112</v>
      </c>
      <c r="B199" t="s">
        <v>297</v>
      </c>
      <c r="C199" s="66" t="n">
        <v>2027</v>
      </c>
      <c r="D199" t="s">
        <v>235</v>
      </c>
      <c r="E199" s="67" t="n">
        <v>832166.906185925</v>
      </c>
      <c r="F199" s="68" t="n">
        <v>132462.188251167</v>
      </c>
      <c r="G199" s="69" t="n">
        <v>132462.188251167</v>
      </c>
      <c r="H199" s="70" t="str">
        <f>G199-F199</f>
      </c>
      <c r="I199" s="71" t="n">
        <v>832166.906185925</v>
      </c>
      <c r="J199" s="72" t="str">
        <f>I199-E199</f>
      </c>
    </row>
    <row r="200">
      <c r="A200" t="s">
        <v>112</v>
      </c>
      <c r="B200" t="s">
        <v>297</v>
      </c>
      <c r="C200" s="66" t="n">
        <v>2027</v>
      </c>
      <c r="D200" t="s">
        <v>210</v>
      </c>
      <c r="E200" s="67" t="n">
        <v>115932.769375635</v>
      </c>
      <c r="F200" s="68" t="n">
        <v>73859.9102925664</v>
      </c>
      <c r="G200" s="69" t="n">
        <v>73859.9102925664</v>
      </c>
      <c r="H200" s="70" t="str">
        <f>G200-F200</f>
      </c>
      <c r="I200" s="71" t="n">
        <v>115932.769375635</v>
      </c>
      <c r="J200" s="72" t="str">
        <f>I200-E200</f>
      </c>
    </row>
    <row r="201">
      <c r="A201" t="s">
        <v>112</v>
      </c>
      <c r="B201" t="s">
        <v>297</v>
      </c>
      <c r="C201" s="66" t="n">
        <v>2027</v>
      </c>
      <c r="D201" t="s">
        <v>221</v>
      </c>
      <c r="E201" s="67" t="n">
        <v>278508.667642155</v>
      </c>
      <c r="F201" s="68" t="n">
        <v>259318.038089282</v>
      </c>
      <c r="G201" s="69" t="n">
        <v>259318.038089282</v>
      </c>
      <c r="H201" s="70" t="str">
        <f>G201-F201</f>
      </c>
      <c r="I201" s="71" t="n">
        <v>278508.667642155</v>
      </c>
      <c r="J201" s="72" t="str">
        <f>I201-E201</f>
      </c>
    </row>
    <row r="202">
      <c r="A202" t="s">
        <v>112</v>
      </c>
      <c r="B202" t="s">
        <v>297</v>
      </c>
      <c r="C202" s="66" t="n">
        <v>2027</v>
      </c>
      <c r="D202" t="s">
        <v>225</v>
      </c>
      <c r="E202" s="67" t="n">
        <v>635095.671557741</v>
      </c>
      <c r="F202" s="68" t="n">
        <v>354171.544362645</v>
      </c>
      <c r="G202" s="69" t="n">
        <v>354171.544362645</v>
      </c>
      <c r="H202" s="70" t="str">
        <f>G202-F202</f>
      </c>
      <c r="I202" s="71" t="n">
        <v>635095.671557741</v>
      </c>
      <c r="J202" s="72" t="str">
        <f>I202-E202</f>
      </c>
    </row>
    <row r="203">
      <c r="A203" t="s">
        <v>112</v>
      </c>
      <c r="B203" t="s">
        <v>297</v>
      </c>
      <c r="C203" s="66" t="n">
        <v>2027</v>
      </c>
      <c r="D203" t="s">
        <v>229</v>
      </c>
      <c r="E203" s="67" t="n">
        <v>342492.405098957</v>
      </c>
      <c r="F203" s="68" t="n">
        <v>171237.362695819</v>
      </c>
      <c r="G203" s="69" t="n">
        <v>171237.362695819</v>
      </c>
      <c r="H203" s="70" t="str">
        <f>G203-F203</f>
      </c>
      <c r="I203" s="71" t="n">
        <v>342492.405098957</v>
      </c>
      <c r="J203" s="72" t="str">
        <f>I203-E203</f>
      </c>
    </row>
    <row r="204">
      <c r="A204" t="s">
        <v>112</v>
      </c>
      <c r="B204" t="s">
        <v>297</v>
      </c>
      <c r="C204" s="66" t="n">
        <v>2027</v>
      </c>
      <c r="D204" t="s">
        <v>296</v>
      </c>
      <c r="E204" s="67" t="n">
        <v>12629.8028477439</v>
      </c>
      <c r="F204" s="68" t="n">
        <v>3692.70803496508</v>
      </c>
      <c r="G204" s="69" t="n">
        <v>3692.70803496508</v>
      </c>
      <c r="H204" s="70" t="str">
        <f>G204-F204</f>
      </c>
      <c r="I204" s="71" t="n">
        <v>12629.8028477439</v>
      </c>
      <c r="J204" s="72" t="str">
        <f>I204-E204</f>
      </c>
    </row>
    <row r="205">
      <c r="A205" t="s">
        <v>112</v>
      </c>
      <c r="B205" t="s">
        <v>297</v>
      </c>
      <c r="C205" s="66" t="n">
        <v>2028</v>
      </c>
      <c r="D205" t="s">
        <v>295</v>
      </c>
      <c r="E205" s="67" t="n">
        <v>11829.3995552585</v>
      </c>
      <c r="F205" s="68" t="n">
        <v>8690.97079151088</v>
      </c>
      <c r="G205" s="69" t="n">
        <v>8690.97079151088</v>
      </c>
      <c r="H205" s="70" t="str">
        <f>G205-F205</f>
      </c>
      <c r="I205" s="71" t="n">
        <v>11829.3995552585</v>
      </c>
      <c r="J205" s="72" t="str">
        <f>I205-E205</f>
      </c>
    </row>
    <row r="206">
      <c r="A206" t="s">
        <v>112</v>
      </c>
      <c r="B206" t="s">
        <v>297</v>
      </c>
      <c r="C206" s="66" t="n">
        <v>2028</v>
      </c>
      <c r="D206" t="s">
        <v>235</v>
      </c>
      <c r="E206" s="67" t="n">
        <v>854958.476961541</v>
      </c>
      <c r="F206" s="68" t="n">
        <v>136770.52662348</v>
      </c>
      <c r="G206" s="69" t="n">
        <v>136770.52662348</v>
      </c>
      <c r="H206" s="70" t="str">
        <f>G206-F206</f>
      </c>
      <c r="I206" s="71" t="n">
        <v>854958.476961541</v>
      </c>
      <c r="J206" s="72" t="str">
        <f>I206-E206</f>
      </c>
    </row>
    <row r="207">
      <c r="A207" t="s">
        <v>112</v>
      </c>
      <c r="B207" t="s">
        <v>297</v>
      </c>
      <c r="C207" s="66" t="n">
        <v>2028</v>
      </c>
      <c r="D207" t="s">
        <v>210</v>
      </c>
      <c r="E207" s="67" t="n">
        <v>119684.609316206</v>
      </c>
      <c r="F207" s="68" t="n">
        <v>75545.0868001112</v>
      </c>
      <c r="G207" s="69" t="n">
        <v>75545.0868001112</v>
      </c>
      <c r="H207" s="70" t="str">
        <f>G207-F207</f>
      </c>
      <c r="I207" s="71" t="n">
        <v>119684.609316206</v>
      </c>
      <c r="J207" s="72" t="str">
        <f>I207-E207</f>
      </c>
    </row>
    <row r="208">
      <c r="A208" t="s">
        <v>112</v>
      </c>
      <c r="B208" t="s">
        <v>297</v>
      </c>
      <c r="C208" s="66" t="n">
        <v>2028</v>
      </c>
      <c r="D208" t="s">
        <v>221</v>
      </c>
      <c r="E208" s="67" t="n">
        <v>283208.63975277</v>
      </c>
      <c r="F208" s="68" t="n">
        <v>263753.748205613</v>
      </c>
      <c r="G208" s="69" t="n">
        <v>263753.748205613</v>
      </c>
      <c r="H208" s="70" t="str">
        <f>G208-F208</f>
      </c>
      <c r="I208" s="71" t="n">
        <v>283208.63975277</v>
      </c>
      <c r="J208" s="72" t="str">
        <f>I208-E208</f>
      </c>
    </row>
    <row r="209">
      <c r="A209" t="s">
        <v>112</v>
      </c>
      <c r="B209" t="s">
        <v>297</v>
      </c>
      <c r="C209" s="66" t="n">
        <v>2028</v>
      </c>
      <c r="D209" t="s">
        <v>225</v>
      </c>
      <c r="E209" s="67" t="n">
        <v>654200.049400957</v>
      </c>
      <c r="F209" s="68" t="n">
        <v>363945.253777133</v>
      </c>
      <c r="G209" s="69" t="n">
        <v>363945.253777133</v>
      </c>
      <c r="H209" s="70" t="str">
        <f>G209-F209</f>
      </c>
      <c r="I209" s="71" t="n">
        <v>654200.049400957</v>
      </c>
      <c r="J209" s="72" t="str">
        <f>I209-E209</f>
      </c>
    </row>
    <row r="210">
      <c r="A210" t="s">
        <v>112</v>
      </c>
      <c r="B210" t="s">
        <v>297</v>
      </c>
      <c r="C210" s="66" t="n">
        <v>2028</v>
      </c>
      <c r="D210" t="s">
        <v>229</v>
      </c>
      <c r="E210" s="67" t="n">
        <v>351745.983284134</v>
      </c>
      <c r="F210" s="68" t="n">
        <v>175235.344826664</v>
      </c>
      <c r="G210" s="69" t="n">
        <v>175235.344826664</v>
      </c>
      <c r="H210" s="70" t="str">
        <f>G210-F210</f>
      </c>
      <c r="I210" s="71" t="n">
        <v>351745.983284134</v>
      </c>
      <c r="J210" s="72" t="str">
        <f>I210-E210</f>
      </c>
    </row>
    <row r="211">
      <c r="A211" t="s">
        <v>112</v>
      </c>
      <c r="B211" t="s">
        <v>297</v>
      </c>
      <c r="C211" s="66" t="n">
        <v>2028</v>
      </c>
      <c r="D211" t="s">
        <v>296</v>
      </c>
      <c r="E211" s="67" t="n">
        <v>12493.5410814872</v>
      </c>
      <c r="F211" s="68" t="n">
        <v>3559.53799626408</v>
      </c>
      <c r="G211" s="69" t="n">
        <v>3559.53799626408</v>
      </c>
      <c r="H211" s="70" t="str">
        <f>G211-F211</f>
      </c>
      <c r="I211" s="71" t="n">
        <v>12493.5410814872</v>
      </c>
      <c r="J211" s="72" t="str">
        <f>I211-E211</f>
      </c>
    </row>
    <row r="212">
      <c r="A212" t="s">
        <v>112</v>
      </c>
      <c r="B212" t="s">
        <v>297</v>
      </c>
      <c r="C212" s="66" t="n">
        <v>2029</v>
      </c>
      <c r="D212" t="s">
        <v>295</v>
      </c>
      <c r="E212" s="67" t="n">
        <v>12020.2428783132</v>
      </c>
      <c r="F212" s="68" t="n">
        <v>8820.39462668691</v>
      </c>
      <c r="G212" s="69" t="n">
        <v>8820.39462668691</v>
      </c>
      <c r="H212" s="70" t="str">
        <f>G212-F212</f>
      </c>
      <c r="I212" s="71" t="n">
        <v>12020.2428783132</v>
      </c>
      <c r="J212" s="72" t="str">
        <f>I212-E212</f>
      </c>
    </row>
    <row r="213">
      <c r="A213" t="s">
        <v>112</v>
      </c>
      <c r="B213" t="s">
        <v>297</v>
      </c>
      <c r="C213" s="66" t="n">
        <v>2029</v>
      </c>
      <c r="D213" t="s">
        <v>235</v>
      </c>
      <c r="E213" s="67" t="n">
        <v>872122.58793486</v>
      </c>
      <c r="F213" s="68" t="n">
        <v>141419.192572278</v>
      </c>
      <c r="G213" s="69" t="n">
        <v>141419.192572278</v>
      </c>
      <c r="H213" s="70" t="str">
        <f>G213-F213</f>
      </c>
      <c r="I213" s="71" t="n">
        <v>872122.58793486</v>
      </c>
      <c r="J213" s="72" t="str">
        <f>I213-E213</f>
      </c>
    </row>
    <row r="214">
      <c r="A214" t="s">
        <v>112</v>
      </c>
      <c r="B214" t="s">
        <v>297</v>
      </c>
      <c r="C214" s="66" t="n">
        <v>2029</v>
      </c>
      <c r="D214" t="s">
        <v>210</v>
      </c>
      <c r="E214" s="67" t="n">
        <v>122702.091699448</v>
      </c>
      <c r="F214" s="68" t="n">
        <v>77383.2509010991</v>
      </c>
      <c r="G214" s="69" t="n">
        <v>77383.2509010991</v>
      </c>
      <c r="H214" s="70" t="str">
        <f>G214-F214</f>
      </c>
      <c r="I214" s="71" t="n">
        <v>122702.091699448</v>
      </c>
      <c r="J214" s="72" t="str">
        <f>I214-E214</f>
      </c>
    </row>
    <row r="215">
      <c r="A215" t="s">
        <v>112</v>
      </c>
      <c r="B215" t="s">
        <v>297</v>
      </c>
      <c r="C215" s="66" t="n">
        <v>2029</v>
      </c>
      <c r="D215" t="s">
        <v>221</v>
      </c>
      <c r="E215" s="67" t="n">
        <v>287809.159991119</v>
      </c>
      <c r="F215" s="68" t="n">
        <v>268469.018676722</v>
      </c>
      <c r="G215" s="69" t="n">
        <v>268469.018676722</v>
      </c>
      <c r="H215" s="70" t="str">
        <f>G215-F215</f>
      </c>
      <c r="I215" s="71" t="n">
        <v>287809.159991119</v>
      </c>
      <c r="J215" s="72" t="str">
        <f>I215-E215</f>
      </c>
    </row>
    <row r="216">
      <c r="A216" t="s">
        <v>112</v>
      </c>
      <c r="B216" t="s">
        <v>297</v>
      </c>
      <c r="C216" s="66" t="n">
        <v>2029</v>
      </c>
      <c r="D216" t="s">
        <v>225</v>
      </c>
      <c r="E216" s="67" t="n">
        <v>670042.029002105</v>
      </c>
      <c r="F216" s="68" t="n">
        <v>374519.264871248</v>
      </c>
      <c r="G216" s="69" t="n">
        <v>374519.264871248</v>
      </c>
      <c r="H216" s="70" t="str">
        <f>G216-F216</f>
      </c>
      <c r="I216" s="71" t="n">
        <v>670042.029002105</v>
      </c>
      <c r="J216" s="72" t="str">
        <f>I216-E216</f>
      </c>
    </row>
    <row r="217">
      <c r="A217" t="s">
        <v>112</v>
      </c>
      <c r="B217" t="s">
        <v>297</v>
      </c>
      <c r="C217" s="66" t="n">
        <v>2029</v>
      </c>
      <c r="D217" t="s">
        <v>229</v>
      </c>
      <c r="E217" s="67" t="n">
        <v>359486.672358836</v>
      </c>
      <c r="F217" s="68" t="n">
        <v>179568.517960818</v>
      </c>
      <c r="G217" s="69" t="n">
        <v>179568.517960818</v>
      </c>
      <c r="H217" s="70" t="str">
        <f>G217-F217</f>
      </c>
      <c r="I217" s="71" t="n">
        <v>359486.672358836</v>
      </c>
      <c r="J217" s="72" t="str">
        <f>I217-E217</f>
      </c>
    </row>
    <row r="218">
      <c r="A218" t="s">
        <v>112</v>
      </c>
      <c r="B218" t="s">
        <v>297</v>
      </c>
      <c r="C218" s="66" t="n">
        <v>2029</v>
      </c>
      <c r="D218" t="s">
        <v>296</v>
      </c>
      <c r="E218" s="67" t="n">
        <v>12505.2897091232</v>
      </c>
      <c r="F218" s="68" t="n">
        <v>3430.77105367489</v>
      </c>
      <c r="G218" s="69" t="n">
        <v>3430.77105367489</v>
      </c>
      <c r="H218" s="70" t="str">
        <f>G218-F218</f>
      </c>
      <c r="I218" s="71" t="n">
        <v>12505.2897091232</v>
      </c>
      <c r="J218" s="72" t="str">
        <f>I218-E218</f>
      </c>
    </row>
    <row r="219">
      <c r="A219" t="s">
        <v>112</v>
      </c>
      <c r="B219" t="s">
        <v>297</v>
      </c>
      <c r="C219" s="66" t="n">
        <v>2030</v>
      </c>
      <c r="D219" t="s">
        <v>295</v>
      </c>
      <c r="E219" s="67" t="n">
        <v>12274.2647344434</v>
      </c>
      <c r="F219" s="68" t="n">
        <v>8965.59723882955</v>
      </c>
      <c r="G219" s="69" t="n">
        <v>8965.59723882955</v>
      </c>
      <c r="H219" s="70" t="str">
        <f>G219-F219</f>
      </c>
      <c r="I219" s="71" t="n">
        <v>12274.2647344434</v>
      </c>
      <c r="J219" s="72" t="str">
        <f>I219-E219</f>
      </c>
    </row>
    <row r="220">
      <c r="A220" t="s">
        <v>112</v>
      </c>
      <c r="B220" t="s">
        <v>297</v>
      </c>
      <c r="C220" s="66" t="n">
        <v>2030</v>
      </c>
      <c r="D220" t="s">
        <v>235</v>
      </c>
      <c r="E220" s="67" t="n">
        <v>888648.849091124</v>
      </c>
      <c r="F220" s="68" t="n">
        <v>146256.073838529</v>
      </c>
      <c r="G220" s="69" t="n">
        <v>146256.073838529</v>
      </c>
      <c r="H220" s="70" t="str">
        <f>G220-F220</f>
      </c>
      <c r="I220" s="71" t="n">
        <v>888648.849091124</v>
      </c>
      <c r="J220" s="72" t="str">
        <f>I220-E220</f>
      </c>
    </row>
    <row r="221">
      <c r="A221" t="s">
        <v>112</v>
      </c>
      <c r="B221" t="s">
        <v>297</v>
      </c>
      <c r="C221" s="66" t="n">
        <v>2030</v>
      </c>
      <c r="D221" t="s">
        <v>210</v>
      </c>
      <c r="E221" s="67" t="n">
        <v>126100.520404265</v>
      </c>
      <c r="F221" s="68" t="n">
        <v>79334.7983616028</v>
      </c>
      <c r="G221" s="69" t="n">
        <v>79334.7983616028</v>
      </c>
      <c r="H221" s="70" t="str">
        <f>G221-F221</f>
      </c>
      <c r="I221" s="71" t="n">
        <v>126100.520404265</v>
      </c>
      <c r="J221" s="72" t="str">
        <f>I221-E221</f>
      </c>
    </row>
    <row r="222">
      <c r="A222" t="s">
        <v>112</v>
      </c>
      <c r="B222" t="s">
        <v>297</v>
      </c>
      <c r="C222" s="66" t="n">
        <v>2030</v>
      </c>
      <c r="D222" t="s">
        <v>221</v>
      </c>
      <c r="E222" s="67" t="n">
        <v>292286.017029858</v>
      </c>
      <c r="F222" s="68" t="n">
        <v>273157.810650434</v>
      </c>
      <c r="G222" s="69" t="n">
        <v>273157.810650434</v>
      </c>
      <c r="H222" s="70" t="str">
        <f>G222-F222</f>
      </c>
      <c r="I222" s="71" t="n">
        <v>292286.017029858</v>
      </c>
      <c r="J222" s="72" t="str">
        <f>I222-E222</f>
      </c>
    </row>
    <row r="223">
      <c r="A223" t="s">
        <v>112</v>
      </c>
      <c r="B223" t="s">
        <v>297</v>
      </c>
      <c r="C223" s="66" t="n">
        <v>2030</v>
      </c>
      <c r="D223" t="s">
        <v>225</v>
      </c>
      <c r="E223" s="67" t="n">
        <v>686528.816871955</v>
      </c>
      <c r="F223" s="68" t="n">
        <v>385417.279419066</v>
      </c>
      <c r="G223" s="69" t="n">
        <v>385417.279419066</v>
      </c>
      <c r="H223" s="70" t="str">
        <f>G223-F223</f>
      </c>
      <c r="I223" s="71" t="n">
        <v>686528.816871955</v>
      </c>
      <c r="J223" s="72" t="str">
        <f>I223-E223</f>
      </c>
    </row>
    <row r="224">
      <c r="A224" t="s">
        <v>112</v>
      </c>
      <c r="B224" t="s">
        <v>297</v>
      </c>
      <c r="C224" s="66" t="n">
        <v>2030</v>
      </c>
      <c r="D224" t="s">
        <v>229</v>
      </c>
      <c r="E224" s="67" t="n">
        <v>367955.05484547</v>
      </c>
      <c r="F224" s="68" t="n">
        <v>184377.512558869</v>
      </c>
      <c r="G224" s="69" t="n">
        <v>184377.512558869</v>
      </c>
      <c r="H224" s="70" t="str">
        <f>G224-F224</f>
      </c>
      <c r="I224" s="71" t="n">
        <v>367955.05484547</v>
      </c>
      <c r="J224" s="72" t="str">
        <f>I224-E224</f>
      </c>
    </row>
    <row r="225">
      <c r="A225" t="s">
        <v>112</v>
      </c>
      <c r="B225" t="s">
        <v>297</v>
      </c>
      <c r="C225" s="66" t="n">
        <v>2030</v>
      </c>
      <c r="D225" t="s">
        <v>296</v>
      </c>
      <c r="E225" s="67" t="n">
        <v>12655.2774901684</v>
      </c>
      <c r="F225" s="68" t="n">
        <v>3301.14666213427</v>
      </c>
      <c r="G225" s="69" t="n">
        <v>3301.14666213427</v>
      </c>
      <c r="H225" s="70" t="str">
        <f>G225-F225</f>
      </c>
      <c r="I225" s="71" t="n">
        <v>12655.2774901684</v>
      </c>
      <c r="J225" s="72" t="str">
        <f>I225-E225</f>
      </c>
    </row>
    <row r="226">
      <c r="A226" t="s">
        <v>112</v>
      </c>
      <c r="B226" t="s">
        <v>297</v>
      </c>
      <c r="C226" s="66" t="n">
        <v>2031</v>
      </c>
      <c r="D226" t="s">
        <v>295</v>
      </c>
      <c r="E226" s="67" t="n">
        <v>12506.5880665311</v>
      </c>
      <c r="F226" s="68" t="n">
        <v>9114.48302310478</v>
      </c>
      <c r="G226" s="69" t="n">
        <v>9114.48302310478</v>
      </c>
      <c r="H226" s="70" t="str">
        <f>G226-F226</f>
      </c>
      <c r="I226" s="71" t="n">
        <v>12506.5880665311</v>
      </c>
      <c r="J226" s="72" t="str">
        <f>I226-E226</f>
      </c>
    </row>
    <row r="227">
      <c r="A227" t="s">
        <v>112</v>
      </c>
      <c r="B227" t="s">
        <v>297</v>
      </c>
      <c r="C227" s="66" t="n">
        <v>2031</v>
      </c>
      <c r="D227" t="s">
        <v>235</v>
      </c>
      <c r="E227" s="67" t="n">
        <v>905698.50533388</v>
      </c>
      <c r="F227" s="68" t="n">
        <v>151017.314585235</v>
      </c>
      <c r="G227" s="69" t="n">
        <v>151017.314585235</v>
      </c>
      <c r="H227" s="70" t="str">
        <f>G227-F227</f>
      </c>
      <c r="I227" s="71" t="n">
        <v>905698.50533388</v>
      </c>
      <c r="J227" s="72" t="str">
        <f>I227-E227</f>
      </c>
    </row>
    <row r="228">
      <c r="A228" t="s">
        <v>112</v>
      </c>
      <c r="B228" t="s">
        <v>297</v>
      </c>
      <c r="C228" s="66" t="n">
        <v>2031</v>
      </c>
      <c r="D228" t="s">
        <v>210</v>
      </c>
      <c r="E228" s="67" t="n">
        <v>129337.020613882</v>
      </c>
      <c r="F228" s="68" t="n">
        <v>81221.2142709578</v>
      </c>
      <c r="G228" s="69" t="n">
        <v>81221.2142709578</v>
      </c>
      <c r="H228" s="70" t="str">
        <f>G228-F228</f>
      </c>
      <c r="I228" s="71" t="n">
        <v>129337.020613882</v>
      </c>
      <c r="J228" s="72" t="str">
        <f>I228-E228</f>
      </c>
    </row>
    <row r="229">
      <c r="A229" t="s">
        <v>112</v>
      </c>
      <c r="B229" t="s">
        <v>297</v>
      </c>
      <c r="C229" s="66" t="n">
        <v>2031</v>
      </c>
      <c r="D229" t="s">
        <v>221</v>
      </c>
      <c r="E229" s="67" t="n">
        <v>296437.738378722</v>
      </c>
      <c r="F229" s="68" t="n">
        <v>277404.152195349</v>
      </c>
      <c r="G229" s="69" t="n">
        <v>277404.152195349</v>
      </c>
      <c r="H229" s="70" t="str">
        <f>G229-F229</f>
      </c>
      <c r="I229" s="71" t="n">
        <v>296437.738378722</v>
      </c>
      <c r="J229" s="72" t="str">
        <f>I229-E229</f>
      </c>
    </row>
    <row r="230">
      <c r="A230" t="s">
        <v>112</v>
      </c>
      <c r="B230" t="s">
        <v>297</v>
      </c>
      <c r="C230" s="66" t="n">
        <v>2031</v>
      </c>
      <c r="D230" t="s">
        <v>225</v>
      </c>
      <c r="E230" s="67" t="n">
        <v>702548.134334822</v>
      </c>
      <c r="F230" s="68" t="n">
        <v>396078.261698986</v>
      </c>
      <c r="G230" s="69" t="n">
        <v>396078.261698986</v>
      </c>
      <c r="H230" s="70" t="str">
        <f>G230-F230</f>
      </c>
      <c r="I230" s="71" t="n">
        <v>702548.134334822</v>
      </c>
      <c r="J230" s="72" t="str">
        <f>I230-E230</f>
      </c>
    </row>
    <row r="231">
      <c r="A231" t="s">
        <v>112</v>
      </c>
      <c r="B231" t="s">
        <v>297</v>
      </c>
      <c r="C231" s="66" t="n">
        <v>2031</v>
      </c>
      <c r="D231" t="s">
        <v>229</v>
      </c>
      <c r="E231" s="67" t="n">
        <v>376026.788964657</v>
      </c>
      <c r="F231" s="68" t="n">
        <v>189147.352294789</v>
      </c>
      <c r="G231" s="69" t="n">
        <v>189147.352294789</v>
      </c>
      <c r="H231" s="70" t="str">
        <f>G231-F231</f>
      </c>
      <c r="I231" s="71" t="n">
        <v>376026.788964657</v>
      </c>
      <c r="J231" s="72" t="str">
        <f>I231-E231</f>
      </c>
    </row>
    <row r="232">
      <c r="A232" t="s">
        <v>112</v>
      </c>
      <c r="B232" t="s">
        <v>297</v>
      </c>
      <c r="C232" s="66" t="n">
        <v>2031</v>
      </c>
      <c r="D232" t="s">
        <v>296</v>
      </c>
      <c r="E232" s="67" t="n">
        <v>12740.6278729228</v>
      </c>
      <c r="F232" s="68" t="n">
        <v>3174.86317276916</v>
      </c>
      <c r="G232" s="69" t="n">
        <v>3174.86317276916</v>
      </c>
      <c r="H232" s="70" t="str">
        <f>G232-F232</f>
      </c>
      <c r="I232" s="71" t="n">
        <v>12740.6278729228</v>
      </c>
      <c r="J232" s="72" t="str">
        <f>I232-E232</f>
      </c>
    </row>
    <row r="233">
      <c r="A233" t="s">
        <v>112</v>
      </c>
      <c r="B233" t="s">
        <v>297</v>
      </c>
      <c r="C233" s="66" t="n">
        <v>2032</v>
      </c>
      <c r="D233" t="s">
        <v>295</v>
      </c>
      <c r="E233" s="67" t="n">
        <v>12743.8944071303</v>
      </c>
      <c r="F233" s="68" t="n">
        <v>9267.91175287106</v>
      </c>
      <c r="G233" s="69" t="n">
        <v>9267.91175287106</v>
      </c>
      <c r="H233" s="70" t="str">
        <f>G233-F233</f>
      </c>
      <c r="I233" s="71" t="n">
        <v>12743.8944071303</v>
      </c>
      <c r="J233" s="72" t="str">
        <f>I233-E233</f>
      </c>
    </row>
    <row r="234">
      <c r="A234" t="s">
        <v>112</v>
      </c>
      <c r="B234" t="s">
        <v>297</v>
      </c>
      <c r="C234" s="66" t="n">
        <v>2032</v>
      </c>
      <c r="D234" t="s">
        <v>235</v>
      </c>
      <c r="E234" s="67" t="n">
        <v>923778.433647484</v>
      </c>
      <c r="F234" s="68" t="n">
        <v>155914.890344467</v>
      </c>
      <c r="G234" s="69" t="n">
        <v>155914.890344467</v>
      </c>
      <c r="H234" s="70" t="str">
        <f>G234-F234</f>
      </c>
      <c r="I234" s="71" t="n">
        <v>923778.433647484</v>
      </c>
      <c r="J234" s="72" t="str">
        <f>I234-E234</f>
      </c>
    </row>
    <row r="235">
      <c r="A235" t="s">
        <v>112</v>
      </c>
      <c r="B235" t="s">
        <v>297</v>
      </c>
      <c r="C235" s="66" t="n">
        <v>2032</v>
      </c>
      <c r="D235" t="s">
        <v>210</v>
      </c>
      <c r="E235" s="67" t="n">
        <v>132566.317868369</v>
      </c>
      <c r="F235" s="68" t="n">
        <v>83164.0959360433</v>
      </c>
      <c r="G235" s="69" t="n">
        <v>83164.0959360433</v>
      </c>
      <c r="H235" s="70" t="str">
        <f>G235-F235</f>
      </c>
      <c r="I235" s="71" t="n">
        <v>132566.317868369</v>
      </c>
      <c r="J235" s="72" t="str">
        <f>I235-E235</f>
      </c>
    </row>
    <row r="236">
      <c r="A236" t="s">
        <v>112</v>
      </c>
      <c r="B236" t="s">
        <v>297</v>
      </c>
      <c r="C236" s="66" t="n">
        <v>2032</v>
      </c>
      <c r="D236" t="s">
        <v>221</v>
      </c>
      <c r="E236" s="67" t="n">
        <v>300504.550336341</v>
      </c>
      <c r="F236" s="68" t="n">
        <v>281488.739628123</v>
      </c>
      <c r="G236" s="69" t="n">
        <v>281488.739628123</v>
      </c>
      <c r="H236" s="70" t="str">
        <f>G236-F236</f>
      </c>
      <c r="I236" s="71" t="n">
        <v>300504.550336341</v>
      </c>
      <c r="J236" s="72" t="str">
        <f>I236-E236</f>
      </c>
    </row>
    <row r="237">
      <c r="A237" t="s">
        <v>112</v>
      </c>
      <c r="B237" t="s">
        <v>297</v>
      </c>
      <c r="C237" s="66" t="n">
        <v>2032</v>
      </c>
      <c r="D237" t="s">
        <v>225</v>
      </c>
      <c r="E237" s="67" t="n">
        <v>719168.67859234</v>
      </c>
      <c r="F237" s="68" t="n">
        <v>406904.282877455</v>
      </c>
      <c r="G237" s="69" t="n">
        <v>406904.282877455</v>
      </c>
      <c r="H237" s="70" t="str">
        <f>G237-F237</f>
      </c>
      <c r="I237" s="71" t="n">
        <v>719168.67859234</v>
      </c>
      <c r="J237" s="72" t="str">
        <f>I237-E237</f>
      </c>
    </row>
    <row r="238">
      <c r="A238" t="s">
        <v>112</v>
      </c>
      <c r="B238" t="s">
        <v>297</v>
      </c>
      <c r="C238" s="66" t="n">
        <v>2032</v>
      </c>
      <c r="D238" t="s">
        <v>229</v>
      </c>
      <c r="E238" s="67" t="n">
        <v>384609.051353766</v>
      </c>
      <c r="F238" s="68" t="n">
        <v>194193.38475982</v>
      </c>
      <c r="G238" s="69" t="n">
        <v>194193.38475982</v>
      </c>
      <c r="H238" s="70" t="str">
        <f>G238-F238</f>
      </c>
      <c r="I238" s="71" t="n">
        <v>384609.051353766</v>
      </c>
      <c r="J238" s="72" t="str">
        <f>I238-E238</f>
      </c>
    </row>
    <row r="239">
      <c r="A239" t="s">
        <v>112</v>
      </c>
      <c r="B239" t="s">
        <v>297</v>
      </c>
      <c r="C239" s="66" t="n">
        <v>2032</v>
      </c>
      <c r="D239" t="s">
        <v>296</v>
      </c>
      <c r="E239" s="67" t="n">
        <v>12855.9427389859</v>
      </c>
      <c r="F239" s="68" t="n">
        <v>3046.52022706146</v>
      </c>
      <c r="G239" s="69" t="n">
        <v>3046.52022706146</v>
      </c>
      <c r="H239" s="70" t="str">
        <f>G239-F239</f>
      </c>
      <c r="I239" s="71" t="n">
        <v>12855.9427389859</v>
      </c>
      <c r="J239" s="72" t="str">
        <f>I239-E239</f>
      </c>
    </row>
    <row r="240">
      <c r="A240" t="s">
        <v>112</v>
      </c>
      <c r="B240" t="s">
        <v>297</v>
      </c>
      <c r="C240" s="66" t="n">
        <v>2033</v>
      </c>
      <c r="D240" t="s">
        <v>295</v>
      </c>
      <c r="E240" s="67" t="n">
        <v>13146.3513901505</v>
      </c>
      <c r="F240" s="68" t="n">
        <v>9437.49521839436</v>
      </c>
      <c r="G240" s="69" t="n">
        <v>9437.49521839436</v>
      </c>
      <c r="H240" s="70" t="str">
        <f>G240-F240</f>
      </c>
      <c r="I240" s="71" t="n">
        <v>13146.3513901505</v>
      </c>
      <c r="J240" s="72" t="str">
        <f>I240-E240</f>
      </c>
    </row>
    <row r="241">
      <c r="A241" t="s">
        <v>112</v>
      </c>
      <c r="B241" t="s">
        <v>297</v>
      </c>
      <c r="C241" s="66" t="n">
        <v>2033</v>
      </c>
      <c r="D241" t="s">
        <v>235</v>
      </c>
      <c r="E241" s="67" t="n">
        <v>944521.71811111</v>
      </c>
      <c r="F241" s="68" t="n">
        <v>160821.219639763</v>
      </c>
      <c r="G241" s="69" t="n">
        <v>160821.219639763</v>
      </c>
      <c r="H241" s="70" t="str">
        <f>G241-F241</f>
      </c>
      <c r="I241" s="71" t="n">
        <v>944521.71811111</v>
      </c>
      <c r="J241" s="72" t="str">
        <f>I241-E241</f>
      </c>
    </row>
    <row r="242">
      <c r="A242" t="s">
        <v>112</v>
      </c>
      <c r="B242" t="s">
        <v>297</v>
      </c>
      <c r="C242" s="66" t="n">
        <v>2033</v>
      </c>
      <c r="D242" t="s">
        <v>210</v>
      </c>
      <c r="E242" s="67" t="n">
        <v>136707.716312745</v>
      </c>
      <c r="F242" s="68" t="n">
        <v>85140.0559210379</v>
      </c>
      <c r="G242" s="69" t="n">
        <v>85140.0559210379</v>
      </c>
      <c r="H242" s="70" t="str">
        <f>G242-F242</f>
      </c>
      <c r="I242" s="71" t="n">
        <v>136707.716312745</v>
      </c>
      <c r="J242" s="72" t="str">
        <f>I242-E242</f>
      </c>
    </row>
    <row r="243">
      <c r="A243" t="s">
        <v>112</v>
      </c>
      <c r="B243" t="s">
        <v>297</v>
      </c>
      <c r="C243" s="66" t="n">
        <v>2033</v>
      </c>
      <c r="D243" t="s">
        <v>221</v>
      </c>
      <c r="E243" s="67" t="n">
        <v>304468.286850227</v>
      </c>
      <c r="F243" s="68" t="n">
        <v>285297.748513227</v>
      </c>
      <c r="G243" s="69" t="n">
        <v>285297.748513227</v>
      </c>
      <c r="H243" s="70" t="str">
        <f>G243-F243</f>
      </c>
      <c r="I243" s="71" t="n">
        <v>304468.286850227</v>
      </c>
      <c r="J243" s="72" t="str">
        <f>I243-E243</f>
      </c>
    </row>
    <row r="244">
      <c r="A244" t="s">
        <v>112</v>
      </c>
      <c r="B244" t="s">
        <v>297</v>
      </c>
      <c r="C244" s="66" t="n">
        <v>2033</v>
      </c>
      <c r="D244" t="s">
        <v>225</v>
      </c>
      <c r="E244" s="67" t="n">
        <v>738395.913710054</v>
      </c>
      <c r="F244" s="68" t="n">
        <v>417591.194273361</v>
      </c>
      <c r="G244" s="69" t="n">
        <v>417591.194273361</v>
      </c>
      <c r="H244" s="70" t="str">
        <f>G244-F244</f>
      </c>
      <c r="I244" s="71" t="n">
        <v>738395.913710054</v>
      </c>
      <c r="J244" s="72" t="str">
        <f>I244-E244</f>
      </c>
    </row>
    <row r="245">
      <c r="A245" t="s">
        <v>112</v>
      </c>
      <c r="B245" t="s">
        <v>297</v>
      </c>
      <c r="C245" s="66" t="n">
        <v>2033</v>
      </c>
      <c r="D245" t="s">
        <v>229</v>
      </c>
      <c r="E245" s="67" t="n">
        <v>394159.184915109</v>
      </c>
      <c r="F245" s="68" t="n">
        <v>199311.530364044</v>
      </c>
      <c r="G245" s="69" t="n">
        <v>199311.530364044</v>
      </c>
      <c r="H245" s="70" t="str">
        <f>G245-F245</f>
      </c>
      <c r="I245" s="71" t="n">
        <v>394159.184915109</v>
      </c>
      <c r="J245" s="72" t="str">
        <f>I245-E245</f>
      </c>
    </row>
    <row r="246">
      <c r="A246" t="s">
        <v>112</v>
      </c>
      <c r="B246" t="s">
        <v>297</v>
      </c>
      <c r="C246" s="66" t="n">
        <v>2033</v>
      </c>
      <c r="D246" t="s">
        <v>296</v>
      </c>
      <c r="E246" s="67" t="n">
        <v>12780.7417922516</v>
      </c>
      <c r="F246" s="68" t="n">
        <v>2919.79454897481</v>
      </c>
      <c r="G246" s="69" t="n">
        <v>2919.79454897481</v>
      </c>
      <c r="H246" s="70" t="str">
        <f>G246-F246</f>
      </c>
      <c r="I246" s="71" t="n">
        <v>12780.7417922516</v>
      </c>
      <c r="J246" s="72" t="str">
        <f>I246-E246</f>
      </c>
    </row>
    <row r="247">
      <c r="A247" t="s">
        <v>112</v>
      </c>
      <c r="B247" t="s">
        <v>297</v>
      </c>
      <c r="C247" s="66" t="n">
        <v>2034</v>
      </c>
      <c r="D247" t="s">
        <v>295</v>
      </c>
      <c r="E247" s="67" t="n">
        <v>13396.3770662857</v>
      </c>
      <c r="F247" s="68" t="n">
        <v>9610.78717894584</v>
      </c>
      <c r="G247" s="69" t="n">
        <v>9610.78717894584</v>
      </c>
      <c r="H247" s="70" t="str">
        <f>G247-F247</f>
      </c>
      <c r="I247" s="71" t="n">
        <v>13396.3770662857</v>
      </c>
      <c r="J247" s="72" t="str">
        <f>I247-E247</f>
      </c>
    </row>
    <row r="248">
      <c r="A248" t="s">
        <v>112</v>
      </c>
      <c r="B248" t="s">
        <v>297</v>
      </c>
      <c r="C248" s="66" t="n">
        <v>2034</v>
      </c>
      <c r="D248" t="s">
        <v>235</v>
      </c>
      <c r="E248" s="67" t="n">
        <v>960221.655861689</v>
      </c>
      <c r="F248" s="68" t="n">
        <v>165832.802590949</v>
      </c>
      <c r="G248" s="69" t="n">
        <v>165832.802590949</v>
      </c>
      <c r="H248" s="70" t="str">
        <f>G248-F248</f>
      </c>
      <c r="I248" s="71" t="n">
        <v>960221.655861689</v>
      </c>
      <c r="J248" s="72" t="str">
        <f>I248-E248</f>
      </c>
    </row>
    <row r="249">
      <c r="A249" t="s">
        <v>112</v>
      </c>
      <c r="B249" t="s">
        <v>297</v>
      </c>
      <c r="C249" s="66" t="n">
        <v>2034</v>
      </c>
      <c r="D249" t="s">
        <v>210</v>
      </c>
      <c r="E249" s="67" t="n">
        <v>139922.665552402</v>
      </c>
      <c r="F249" s="68" t="n">
        <v>87126.2119501461</v>
      </c>
      <c r="G249" s="69" t="n">
        <v>87126.2119501461</v>
      </c>
      <c r="H249" s="70" t="str">
        <f>G249-F249</f>
      </c>
      <c r="I249" s="71" t="n">
        <v>139922.665552402</v>
      </c>
      <c r="J249" s="72" t="str">
        <f>I249-E249</f>
      </c>
    </row>
    <row r="250">
      <c r="A250" t="s">
        <v>112</v>
      </c>
      <c r="B250" t="s">
        <v>297</v>
      </c>
      <c r="C250" s="66" t="n">
        <v>2034</v>
      </c>
      <c r="D250" t="s">
        <v>221</v>
      </c>
      <c r="E250" s="67" t="n">
        <v>308142.620646514</v>
      </c>
      <c r="F250" s="68" t="n">
        <v>289022.375898514</v>
      </c>
      <c r="G250" s="69" t="n">
        <v>289022.375898514</v>
      </c>
      <c r="H250" s="70" t="str">
        <f>G250-F250</f>
      </c>
      <c r="I250" s="71" t="n">
        <v>308142.620646514</v>
      </c>
      <c r="J250" s="72" t="str">
        <f>I250-E250</f>
      </c>
    </row>
    <row r="251">
      <c r="A251" t="s">
        <v>112</v>
      </c>
      <c r="B251" t="s">
        <v>297</v>
      </c>
      <c r="C251" s="66" t="n">
        <v>2034</v>
      </c>
      <c r="D251" t="s">
        <v>225</v>
      </c>
      <c r="E251" s="67" t="n">
        <v>754264.519314827</v>
      </c>
      <c r="F251" s="68" t="n">
        <v>428496.093357131</v>
      </c>
      <c r="G251" s="69" t="n">
        <v>428496.093357131</v>
      </c>
      <c r="H251" s="70" t="str">
        <f>G251-F251</f>
      </c>
      <c r="I251" s="71" t="n">
        <v>754264.519314827</v>
      </c>
      <c r="J251" s="72" t="str">
        <f>I251-E251</f>
      </c>
    </row>
    <row r="252">
      <c r="A252" t="s">
        <v>112</v>
      </c>
      <c r="B252" t="s">
        <v>297</v>
      </c>
      <c r="C252" s="66" t="n">
        <v>2034</v>
      </c>
      <c r="D252" t="s">
        <v>229</v>
      </c>
      <c r="E252" s="67" t="n">
        <v>402421.553872422</v>
      </c>
      <c r="F252" s="68" t="n">
        <v>204510.58021707</v>
      </c>
      <c r="G252" s="69" t="n">
        <v>204510.58021707</v>
      </c>
      <c r="H252" s="70" t="str">
        <f>G252-F252</f>
      </c>
      <c r="I252" s="71" t="n">
        <v>402421.553872422</v>
      </c>
      <c r="J252" s="72" t="str">
        <f>I252-E252</f>
      </c>
    </row>
    <row r="253">
      <c r="A253" t="s">
        <v>112</v>
      </c>
      <c r="B253" t="s">
        <v>297</v>
      </c>
      <c r="C253" s="66" t="n">
        <v>2034</v>
      </c>
      <c r="D253" t="s">
        <v>296</v>
      </c>
      <c r="E253" s="67" t="n">
        <v>12872.434861331</v>
      </c>
      <c r="F253" s="68" t="n">
        <v>2795.76959562027</v>
      </c>
      <c r="G253" s="69" t="n">
        <v>2795.76959562027</v>
      </c>
      <c r="H253" s="70" t="str">
        <f>G253-F253</f>
      </c>
      <c r="I253" s="71" t="n">
        <v>12872.434861331</v>
      </c>
      <c r="J253" s="72" t="str">
        <f>I253-E253</f>
      </c>
    </row>
    <row r="254">
      <c r="A254" t="s">
        <v>112</v>
      </c>
      <c r="B254" t="s">
        <v>297</v>
      </c>
      <c r="C254" s="66" t="n">
        <v>2035</v>
      </c>
      <c r="D254" t="s">
        <v>295</v>
      </c>
      <c r="E254" s="67" t="n">
        <v>13726.7399692658</v>
      </c>
      <c r="F254" s="68" t="n">
        <v>9787.51275865094</v>
      </c>
      <c r="G254" s="69" t="n">
        <v>9787.51275865094</v>
      </c>
      <c r="H254" s="70" t="str">
        <f>G254-F254</f>
      </c>
      <c r="I254" s="71" t="n">
        <v>13726.7399692658</v>
      </c>
      <c r="J254" s="72" t="str">
        <f>I254-E254</f>
      </c>
    </row>
    <row r="255">
      <c r="A255" t="s">
        <v>112</v>
      </c>
      <c r="B255" t="s">
        <v>297</v>
      </c>
      <c r="C255" s="66" t="n">
        <v>2035</v>
      </c>
      <c r="D255" t="s">
        <v>235</v>
      </c>
      <c r="E255" s="67" t="n">
        <v>975047.326959866</v>
      </c>
      <c r="F255" s="68" t="n">
        <v>170911.003808462</v>
      </c>
      <c r="G255" s="69" t="n">
        <v>170911.003808462</v>
      </c>
      <c r="H255" s="70" t="str">
        <f>G255-F255</f>
      </c>
      <c r="I255" s="71" t="n">
        <v>975047.326959866</v>
      </c>
      <c r="J255" s="72" t="str">
        <f>I255-E255</f>
      </c>
    </row>
    <row r="256">
      <c r="A256" t="s">
        <v>112</v>
      </c>
      <c r="B256" t="s">
        <v>297</v>
      </c>
      <c r="C256" s="66" t="n">
        <v>2035</v>
      </c>
      <c r="D256" t="s">
        <v>210</v>
      </c>
      <c r="E256" s="67" t="n">
        <v>143430.147346953</v>
      </c>
      <c r="F256" s="68" t="n">
        <v>89138.141517925</v>
      </c>
      <c r="G256" s="69" t="n">
        <v>89138.141517925</v>
      </c>
      <c r="H256" s="70" t="str">
        <f>G256-F256</f>
      </c>
      <c r="I256" s="71" t="n">
        <v>143430.147346953</v>
      </c>
      <c r="J256" s="72" t="str">
        <f>I256-E256</f>
      </c>
    </row>
    <row r="257">
      <c r="A257" t="s">
        <v>112</v>
      </c>
      <c r="B257" t="s">
        <v>297</v>
      </c>
      <c r="C257" s="66" t="n">
        <v>2035</v>
      </c>
      <c r="D257" t="s">
        <v>221</v>
      </c>
      <c r="E257" s="67" t="n">
        <v>311598.659349735</v>
      </c>
      <c r="F257" s="68" t="n">
        <v>292543.4341723</v>
      </c>
      <c r="G257" s="69" t="n">
        <v>292543.4341723</v>
      </c>
      <c r="H257" s="70" t="str">
        <f>G257-F257</f>
      </c>
      <c r="I257" s="71" t="n">
        <v>311598.659349735</v>
      </c>
      <c r="J257" s="72" t="str">
        <f>I257-E257</f>
      </c>
    </row>
    <row r="258">
      <c r="A258" t="s">
        <v>112</v>
      </c>
      <c r="B258" t="s">
        <v>297</v>
      </c>
      <c r="C258" s="66" t="n">
        <v>2035</v>
      </c>
      <c r="D258" t="s">
        <v>225</v>
      </c>
      <c r="E258" s="67" t="n">
        <v>770043.407398033</v>
      </c>
      <c r="F258" s="68" t="n">
        <v>439419.393176264</v>
      </c>
      <c r="G258" s="69" t="n">
        <v>439419.393176264</v>
      </c>
      <c r="H258" s="70" t="str">
        <f>G258-F258</f>
      </c>
      <c r="I258" s="71" t="n">
        <v>770043.407398033</v>
      </c>
      <c r="J258" s="72" t="str">
        <f>I258-E258</f>
      </c>
    </row>
    <row r="259">
      <c r="A259" t="s">
        <v>112</v>
      </c>
      <c r="B259" t="s">
        <v>297</v>
      </c>
      <c r="C259" s="66" t="n">
        <v>2035</v>
      </c>
      <c r="D259" t="s">
        <v>229</v>
      </c>
      <c r="E259" s="67" t="n">
        <v>410430.68648466</v>
      </c>
      <c r="F259" s="68" t="n">
        <v>209854.988515264</v>
      </c>
      <c r="G259" s="69" t="n">
        <v>209854.988515264</v>
      </c>
      <c r="H259" s="70" t="str">
        <f>G259-F259</f>
      </c>
      <c r="I259" s="71" t="n">
        <v>410430.68648466</v>
      </c>
      <c r="J259" s="72" t="str">
        <f>I259-E259</f>
      </c>
    </row>
    <row r="260">
      <c r="A260" t="s">
        <v>112</v>
      </c>
      <c r="B260" t="s">
        <v>297</v>
      </c>
      <c r="C260" s="66" t="n">
        <v>2035</v>
      </c>
      <c r="D260" t="s">
        <v>296</v>
      </c>
      <c r="E260" s="67" t="n">
        <v>13061.5900844962</v>
      </c>
      <c r="F260" s="68" t="n">
        <v>2671.49784394295</v>
      </c>
      <c r="G260" s="69" t="n">
        <v>2671.49784394295</v>
      </c>
      <c r="H260" s="70" t="str">
        <f>G260-F260</f>
      </c>
      <c r="I260" s="71" t="n">
        <v>13061.5900844962</v>
      </c>
      <c r="J260" s="72" t="str">
        <f>I260-E260</f>
      </c>
    </row>
    <row r="261">
      <c r="A261" t="s">
        <v>112</v>
      </c>
      <c r="B261" t="s">
        <v>297</v>
      </c>
      <c r="C261" s="66" t="n">
        <v>2036</v>
      </c>
      <c r="D261" t="s">
        <v>295</v>
      </c>
      <c r="E261" s="67" t="n">
        <v>14058.8402730705</v>
      </c>
      <c r="F261" s="68" t="n">
        <v>9972.733436972</v>
      </c>
      <c r="G261" s="69" t="n">
        <v>9972.733436972</v>
      </c>
      <c r="H261" s="70" t="str">
        <f>G261-F261</f>
      </c>
      <c r="I261" s="71" t="n">
        <v>14058.8402730705</v>
      </c>
      <c r="J261" s="72" t="str">
        <f>I261-E261</f>
      </c>
    </row>
    <row r="262">
      <c r="A262" t="s">
        <v>112</v>
      </c>
      <c r="B262" t="s">
        <v>297</v>
      </c>
      <c r="C262" s="66" t="n">
        <v>2036</v>
      </c>
      <c r="D262" t="s">
        <v>235</v>
      </c>
      <c r="E262" s="67" t="n">
        <v>992593.127567906</v>
      </c>
      <c r="F262" s="68" t="n">
        <v>176139.997785528</v>
      </c>
      <c r="G262" s="69" t="n">
        <v>176139.997785528</v>
      </c>
      <c r="H262" s="70" t="str">
        <f>G262-F262</f>
      </c>
      <c r="I262" s="71" t="n">
        <v>992593.127567906</v>
      </c>
      <c r="J262" s="72" t="str">
        <f>I262-E262</f>
      </c>
    </row>
    <row r="263">
      <c r="A263" t="s">
        <v>112</v>
      </c>
      <c r="B263" t="s">
        <v>297</v>
      </c>
      <c r="C263" s="66" t="n">
        <v>2036</v>
      </c>
      <c r="D263" t="s">
        <v>210</v>
      </c>
      <c r="E263" s="67" t="n">
        <v>146978.916070349</v>
      </c>
      <c r="F263" s="68" t="n">
        <v>91225.4078140792</v>
      </c>
      <c r="G263" s="69" t="n">
        <v>91225.4078140792</v>
      </c>
      <c r="H263" s="70" t="str">
        <f>G263-F263</f>
      </c>
      <c r="I263" s="71" t="n">
        <v>146978.916070349</v>
      </c>
      <c r="J263" s="72" t="str">
        <f>I263-E263</f>
      </c>
    </row>
    <row r="264">
      <c r="A264" t="s">
        <v>112</v>
      </c>
      <c r="B264" t="s">
        <v>297</v>
      </c>
      <c r="C264" s="66" t="n">
        <v>2036</v>
      </c>
      <c r="D264" t="s">
        <v>221</v>
      </c>
      <c r="E264" s="67" t="n">
        <v>315288.949461379</v>
      </c>
      <c r="F264" s="68" t="n">
        <v>296084.402747987</v>
      </c>
      <c r="G264" s="69" t="n">
        <v>296084.402747987</v>
      </c>
      <c r="H264" s="70" t="str">
        <f>G264-F264</f>
      </c>
      <c r="I264" s="71" t="n">
        <v>315288.949461379</v>
      </c>
      <c r="J264" s="72" t="str">
        <f>I264-E264</f>
      </c>
    </row>
    <row r="265">
      <c r="A265" t="s">
        <v>112</v>
      </c>
      <c r="B265" t="s">
        <v>297</v>
      </c>
      <c r="C265" s="66" t="n">
        <v>2036</v>
      </c>
      <c r="D265" t="s">
        <v>225</v>
      </c>
      <c r="E265" s="67" t="n">
        <v>786706.265291046</v>
      </c>
      <c r="F265" s="68" t="n">
        <v>450600.66503166</v>
      </c>
      <c r="G265" s="69" t="n">
        <v>450600.66503166</v>
      </c>
      <c r="H265" s="70" t="str">
        <f>G265-F265</f>
      </c>
      <c r="I265" s="71" t="n">
        <v>786706.265291046</v>
      </c>
      <c r="J265" s="72" t="str">
        <f>I265-E265</f>
      </c>
    </row>
    <row r="266">
      <c r="A266" t="s">
        <v>112</v>
      </c>
      <c r="B266" t="s">
        <v>297</v>
      </c>
      <c r="C266" s="66" t="n">
        <v>2036</v>
      </c>
      <c r="D266" t="s">
        <v>229</v>
      </c>
      <c r="E266" s="67" t="n">
        <v>418880.52544402</v>
      </c>
      <c r="F266" s="68" t="n">
        <v>215434.246910517</v>
      </c>
      <c r="G266" s="69" t="n">
        <v>215434.246910517</v>
      </c>
      <c r="H266" s="70" t="str">
        <f>G266-F266</f>
      </c>
      <c r="I266" s="71" t="n">
        <v>418880.52544402</v>
      </c>
      <c r="J266" s="72" t="str">
        <f>I266-E266</f>
      </c>
    </row>
    <row r="267">
      <c r="A267" t="s">
        <v>112</v>
      </c>
      <c r="B267" t="s">
        <v>297</v>
      </c>
      <c r="C267" s="66" t="n">
        <v>2036</v>
      </c>
      <c r="D267" t="s">
        <v>296</v>
      </c>
      <c r="E267" s="67" t="n">
        <v>13308.7944546361</v>
      </c>
      <c r="F267" s="68" t="n">
        <v>2547.74258396749</v>
      </c>
      <c r="G267" s="69" t="n">
        <v>2547.74258396749</v>
      </c>
      <c r="H267" s="70" t="str">
        <f>G267-F267</f>
      </c>
      <c r="I267" s="71" t="n">
        <v>13308.7944546361</v>
      </c>
      <c r="J267" s="72" t="str">
        <f>I267-E267</f>
      </c>
    </row>
    <row r="268">
      <c r="A268" t="s">
        <v>112</v>
      </c>
      <c r="B268" t="s">
        <v>297</v>
      </c>
      <c r="C268" s="66" t="n">
        <v>2037</v>
      </c>
      <c r="D268" t="s">
        <v>295</v>
      </c>
      <c r="E268" s="67" t="n">
        <v>14386.6366039025</v>
      </c>
      <c r="F268" s="68" t="n">
        <v>10159.1873336905</v>
      </c>
      <c r="G268" s="69" t="n">
        <v>10159.1873336905</v>
      </c>
      <c r="H268" s="70" t="str">
        <f>G268-F268</f>
      </c>
      <c r="I268" s="71" t="n">
        <v>14386.6366039025</v>
      </c>
      <c r="J268" s="72" t="str">
        <f>I268-E268</f>
      </c>
    </row>
    <row r="269">
      <c r="A269" t="s">
        <v>112</v>
      </c>
      <c r="B269" t="s">
        <v>297</v>
      </c>
      <c r="C269" s="66" t="n">
        <v>2037</v>
      </c>
      <c r="D269" t="s">
        <v>235</v>
      </c>
      <c r="E269" s="67" t="n">
        <v>1009301.65749756</v>
      </c>
      <c r="F269" s="68" t="n">
        <v>181458.235839908</v>
      </c>
      <c r="G269" s="69" t="n">
        <v>181458.235839908</v>
      </c>
      <c r="H269" s="70" t="str">
        <f>G269-F269</f>
      </c>
      <c r="I269" s="71" t="n">
        <v>1009301.65749756</v>
      </c>
      <c r="J269" s="72" t="str">
        <f>I269-E269</f>
      </c>
    </row>
    <row r="270">
      <c r="A270" t="s">
        <v>112</v>
      </c>
      <c r="B270" t="s">
        <v>297</v>
      </c>
      <c r="C270" s="66" t="n">
        <v>2037</v>
      </c>
      <c r="D270" t="s">
        <v>210</v>
      </c>
      <c r="E270" s="67" t="n">
        <v>150487.441619108</v>
      </c>
      <c r="F270" s="68" t="n">
        <v>93341.2784245107</v>
      </c>
      <c r="G270" s="69" t="n">
        <v>93341.2784245107</v>
      </c>
      <c r="H270" s="70" t="str">
        <f>G270-F270</f>
      </c>
      <c r="I270" s="71" t="n">
        <v>150487.441619108</v>
      </c>
      <c r="J270" s="72" t="str">
        <f>I270-E270</f>
      </c>
    </row>
    <row r="271">
      <c r="A271" t="s">
        <v>112</v>
      </c>
      <c r="B271" t="s">
        <v>297</v>
      </c>
      <c r="C271" s="66" t="n">
        <v>2037</v>
      </c>
      <c r="D271" t="s">
        <v>221</v>
      </c>
      <c r="E271" s="67" t="n">
        <v>318754.964813024</v>
      </c>
      <c r="F271" s="68" t="n">
        <v>299434.655195925</v>
      </c>
      <c r="G271" s="69" t="n">
        <v>299434.655195925</v>
      </c>
      <c r="H271" s="70" t="str">
        <f>G271-F271</f>
      </c>
      <c r="I271" s="71" t="n">
        <v>318754.964813024</v>
      </c>
      <c r="J271" s="72" t="str">
        <f>I271-E271</f>
      </c>
    </row>
    <row r="272">
      <c r="A272" t="s">
        <v>112</v>
      </c>
      <c r="B272" t="s">
        <v>297</v>
      </c>
      <c r="C272" s="66" t="n">
        <v>2037</v>
      </c>
      <c r="D272" t="s">
        <v>225</v>
      </c>
      <c r="E272" s="67" t="n">
        <v>803452.229036644</v>
      </c>
      <c r="F272" s="68" t="n">
        <v>461851.049511551</v>
      </c>
      <c r="G272" s="69" t="n">
        <v>461851.049511551</v>
      </c>
      <c r="H272" s="70" t="str">
        <f>G272-F272</f>
      </c>
      <c r="I272" s="71" t="n">
        <v>803452.229036644</v>
      </c>
      <c r="J272" s="72" t="str">
        <f>I272-E272</f>
      </c>
    </row>
    <row r="273">
      <c r="A273" t="s">
        <v>112</v>
      </c>
      <c r="B273" t="s">
        <v>297</v>
      </c>
      <c r="C273" s="66" t="n">
        <v>2037</v>
      </c>
      <c r="D273" t="s">
        <v>229</v>
      </c>
      <c r="E273" s="67" t="n">
        <v>427506.733072448</v>
      </c>
      <c r="F273" s="68" t="n">
        <v>221141.826108993</v>
      </c>
      <c r="G273" s="69" t="n">
        <v>221141.826108993</v>
      </c>
      <c r="H273" s="70" t="str">
        <f>G273-F273</f>
      </c>
      <c r="I273" s="71" t="n">
        <v>427506.733072448</v>
      </c>
      <c r="J273" s="72" t="str">
        <f>I273-E273</f>
      </c>
    </row>
    <row r="274">
      <c r="A274" t="s">
        <v>112</v>
      </c>
      <c r="B274" t="s">
        <v>297</v>
      </c>
      <c r="C274" s="66" t="n">
        <v>2037</v>
      </c>
      <c r="D274" t="s">
        <v>296</v>
      </c>
      <c r="E274" s="67" t="n">
        <v>13385.128134315</v>
      </c>
      <c r="F274" s="68" t="n">
        <v>2421.57667984156</v>
      </c>
      <c r="G274" s="69" t="n">
        <v>2421.57667984156</v>
      </c>
      <c r="H274" s="70" t="str">
        <f>G274-F274</f>
      </c>
      <c r="I274" s="71" t="n">
        <v>13385.128134315</v>
      </c>
      <c r="J274" s="72" t="str">
        <f>I274-E274</f>
      </c>
    </row>
    <row r="275">
      <c r="A275" t="s">
        <v>112</v>
      </c>
      <c r="B275" t="s">
        <v>297</v>
      </c>
      <c r="C275" s="66" t="n">
        <v>2038</v>
      </c>
      <c r="D275" t="s">
        <v>295</v>
      </c>
      <c r="E275" s="67" t="n">
        <v>14790.2897218897</v>
      </c>
      <c r="F275" s="68" t="n">
        <v>10349.9036883417</v>
      </c>
      <c r="G275" s="69" t="n">
        <v>10349.9036883417</v>
      </c>
      <c r="H275" s="70" t="str">
        <f>G275-F275</f>
      </c>
      <c r="I275" s="71" t="n">
        <v>14790.2897218897</v>
      </c>
      <c r="J275" s="72" t="str">
        <f>I275-E275</f>
      </c>
    </row>
    <row r="276">
      <c r="A276" t="s">
        <v>112</v>
      </c>
      <c r="B276" t="s">
        <v>297</v>
      </c>
      <c r="C276" s="66" t="n">
        <v>2038</v>
      </c>
      <c r="D276" t="s">
        <v>235</v>
      </c>
      <c r="E276" s="67" t="n">
        <v>1025731.21343356</v>
      </c>
      <c r="F276" s="68" t="n">
        <v>186787.491870524</v>
      </c>
      <c r="G276" s="69" t="n">
        <v>186787.491870524</v>
      </c>
      <c r="H276" s="70" t="str">
        <f>G276-F276</f>
      </c>
      <c r="I276" s="71" t="n">
        <v>1025731.21343356</v>
      </c>
      <c r="J276" s="72" t="str">
        <f>I276-E276</f>
      </c>
    </row>
    <row r="277">
      <c r="A277" t="s">
        <v>112</v>
      </c>
      <c r="B277" t="s">
        <v>297</v>
      </c>
      <c r="C277" s="66" t="n">
        <v>2038</v>
      </c>
      <c r="D277" t="s">
        <v>210</v>
      </c>
      <c r="E277" s="67" t="n">
        <v>154833.021861689</v>
      </c>
      <c r="F277" s="68" t="n">
        <v>95469.0447801143</v>
      </c>
      <c r="G277" s="69" t="n">
        <v>95469.0447801143</v>
      </c>
      <c r="H277" s="70" t="str">
        <f>G277-F277</f>
      </c>
      <c r="I277" s="71" t="n">
        <v>154833.021861689</v>
      </c>
      <c r="J277" s="72" t="str">
        <f>I277-E277</f>
      </c>
    </row>
    <row r="278">
      <c r="A278" t="s">
        <v>112</v>
      </c>
      <c r="B278" t="s">
        <v>297</v>
      </c>
      <c r="C278" s="66" t="n">
        <v>2038</v>
      </c>
      <c r="D278" t="s">
        <v>221</v>
      </c>
      <c r="E278" s="67" t="n">
        <v>321808.304576111</v>
      </c>
      <c r="F278" s="68" t="n">
        <v>302464.555231106</v>
      </c>
      <c r="G278" s="69" t="n">
        <v>302464.555231106</v>
      </c>
      <c r="H278" s="70" t="str">
        <f>G278-F278</f>
      </c>
      <c r="I278" s="71" t="n">
        <v>321808.304576111</v>
      </c>
      <c r="J278" s="72" t="str">
        <f>I278-E278</f>
      </c>
    </row>
    <row r="279">
      <c r="A279" t="s">
        <v>112</v>
      </c>
      <c r="B279" t="s">
        <v>297</v>
      </c>
      <c r="C279" s="66" t="n">
        <v>2038</v>
      </c>
      <c r="D279" t="s">
        <v>225</v>
      </c>
      <c r="E279" s="67" t="n">
        <v>822517.79120794</v>
      </c>
      <c r="F279" s="68" t="n">
        <v>472964.182972518</v>
      </c>
      <c r="G279" s="69" t="n">
        <v>472964.182972518</v>
      </c>
      <c r="H279" s="70" t="str">
        <f>G279-F279</f>
      </c>
      <c r="I279" s="71" t="n">
        <v>822517.79120794</v>
      </c>
      <c r="J279" s="72" t="str">
        <f>I279-E279</f>
      </c>
    </row>
    <row r="280">
      <c r="A280" t="s">
        <v>112</v>
      </c>
      <c r="B280" t="s">
        <v>297</v>
      </c>
      <c r="C280" s="66" t="n">
        <v>2038</v>
      </c>
      <c r="D280" t="s">
        <v>229</v>
      </c>
      <c r="E280" s="67" t="n">
        <v>437875.904421767</v>
      </c>
      <c r="F280" s="68" t="n">
        <v>226837.611544716</v>
      </c>
      <c r="G280" s="69" t="n">
        <v>226837.611544716</v>
      </c>
      <c r="H280" s="70" t="str">
        <f>G280-F280</f>
      </c>
      <c r="I280" s="71" t="n">
        <v>437875.904421767</v>
      </c>
      <c r="J280" s="72" t="str">
        <f>I280-E280</f>
      </c>
    </row>
    <row r="281">
      <c r="A281" t="s">
        <v>112</v>
      </c>
      <c r="B281" t="s">
        <v>297</v>
      </c>
      <c r="C281" s="66" t="n">
        <v>2038</v>
      </c>
      <c r="D281" t="s">
        <v>296</v>
      </c>
      <c r="E281" s="67" t="n">
        <v>13130.4959942569</v>
      </c>
      <c r="F281" s="68" t="n">
        <v>2303.4653337572</v>
      </c>
      <c r="G281" s="69" t="n">
        <v>2303.4653337572</v>
      </c>
      <c r="H281" s="70" t="str">
        <f>G281-F281</f>
      </c>
      <c r="I281" s="71" t="n">
        <v>13130.4959942569</v>
      </c>
      <c r="J281" s="72" t="str">
        <f>I281-E281</f>
      </c>
    </row>
    <row r="282">
      <c r="A282" t="s">
        <v>112</v>
      </c>
      <c r="B282" t="s">
        <v>297</v>
      </c>
      <c r="C282" s="66" t="n">
        <v>2039</v>
      </c>
      <c r="D282" t="s">
        <v>295</v>
      </c>
      <c r="E282" s="67" t="n">
        <v>15135.74798412</v>
      </c>
      <c r="F282" s="68" t="n">
        <v>10545.0523038997</v>
      </c>
      <c r="G282" s="69" t="n">
        <v>10545.0523038997</v>
      </c>
      <c r="H282" s="70" t="str">
        <f>G282-F282</f>
      </c>
      <c r="I282" s="71" t="n">
        <v>15135.74798412</v>
      </c>
      <c r="J282" s="72" t="str">
        <f>I282-E282</f>
      </c>
    </row>
    <row r="283">
      <c r="A283" t="s">
        <v>112</v>
      </c>
      <c r="B283" t="s">
        <v>297</v>
      </c>
      <c r="C283" s="66" t="n">
        <v>2039</v>
      </c>
      <c r="D283" t="s">
        <v>235</v>
      </c>
      <c r="E283" s="67" t="n">
        <v>1039334.21211717</v>
      </c>
      <c r="F283" s="68" t="n">
        <v>192296.552192256</v>
      </c>
      <c r="G283" s="69" t="n">
        <v>192296.552192256</v>
      </c>
      <c r="H283" s="70" t="str">
        <f>G283-F283</f>
      </c>
      <c r="I283" s="71" t="n">
        <v>1039334.21211717</v>
      </c>
      <c r="J283" s="72" t="str">
        <f>I283-E283</f>
      </c>
    </row>
    <row r="284">
      <c r="A284" t="s">
        <v>112</v>
      </c>
      <c r="B284" t="s">
        <v>297</v>
      </c>
      <c r="C284" s="66" t="n">
        <v>2039</v>
      </c>
      <c r="D284" t="s">
        <v>210</v>
      </c>
      <c r="E284" s="67" t="n">
        <v>158325.904186221</v>
      </c>
      <c r="F284" s="68" t="n">
        <v>97666.5125218666</v>
      </c>
      <c r="G284" s="69" t="n">
        <v>97666.5125218666</v>
      </c>
      <c r="H284" s="70" t="str">
        <f>G284-F284</f>
      </c>
      <c r="I284" s="71" t="n">
        <v>158325.904186221</v>
      </c>
      <c r="J284" s="72" t="str">
        <f>I284-E284</f>
      </c>
    </row>
    <row r="285">
      <c r="A285" t="s">
        <v>112</v>
      </c>
      <c r="B285" t="s">
        <v>297</v>
      </c>
      <c r="C285" s="66" t="n">
        <v>2039</v>
      </c>
      <c r="D285" t="s">
        <v>221</v>
      </c>
      <c r="E285" s="67" t="n">
        <v>324947.685920243</v>
      </c>
      <c r="F285" s="68" t="n">
        <v>305533.683824107</v>
      </c>
      <c r="G285" s="69" t="n">
        <v>305533.683824107</v>
      </c>
      <c r="H285" s="70" t="str">
        <f>G285-F285</f>
      </c>
      <c r="I285" s="71" t="n">
        <v>324947.685920243</v>
      </c>
      <c r="J285" s="72" t="str">
        <f>I285-E285</f>
      </c>
    </row>
    <row r="286">
      <c r="A286" t="s">
        <v>112</v>
      </c>
      <c r="B286" t="s">
        <v>297</v>
      </c>
      <c r="C286" s="66" t="n">
        <v>2039</v>
      </c>
      <c r="D286" t="s">
        <v>225</v>
      </c>
      <c r="E286" s="67" t="n">
        <v>838380.897928912</v>
      </c>
      <c r="F286" s="68" t="n">
        <v>484364.275142346</v>
      </c>
      <c r="G286" s="69" t="n">
        <v>484364.275142346</v>
      </c>
      <c r="H286" s="70" t="str">
        <f>G286-F286</f>
      </c>
      <c r="I286" s="71" t="n">
        <v>838380.897928912</v>
      </c>
      <c r="J286" s="72" t="str">
        <f>I286-E286</f>
      </c>
    </row>
    <row r="287">
      <c r="A287" t="s">
        <v>112</v>
      </c>
      <c r="B287" t="s">
        <v>297</v>
      </c>
      <c r="C287" s="66" t="n">
        <v>2039</v>
      </c>
      <c r="D287" t="s">
        <v>229</v>
      </c>
      <c r="E287" s="67" t="n">
        <v>446097.450852593</v>
      </c>
      <c r="F287" s="68" t="n">
        <v>232753.81626835</v>
      </c>
      <c r="G287" s="69" t="n">
        <v>232753.81626835</v>
      </c>
      <c r="H287" s="70" t="str">
        <f>G287-F287</f>
      </c>
      <c r="I287" s="71" t="n">
        <v>446097.450852593</v>
      </c>
      <c r="J287" s="72" t="str">
        <f>I287-E287</f>
      </c>
    </row>
    <row r="288">
      <c r="A288" t="s">
        <v>112</v>
      </c>
      <c r="B288" t="s">
        <v>297</v>
      </c>
      <c r="C288" s="66" t="n">
        <v>2039</v>
      </c>
      <c r="D288" t="s">
        <v>296</v>
      </c>
      <c r="E288" s="67" t="n">
        <v>13010.9148835445</v>
      </c>
      <c r="F288" s="68" t="n">
        <v>2187.90404676672</v>
      </c>
      <c r="G288" s="69" t="n">
        <v>2187.90404676672</v>
      </c>
      <c r="H288" s="70" t="str">
        <f>G288-F288</f>
      </c>
      <c r="I288" s="71" t="n">
        <v>13010.9148835445</v>
      </c>
      <c r="J288" s="72" t="str">
        <f>I288-E288</f>
      </c>
    </row>
    <row r="289">
      <c r="A289" t="s">
        <v>112</v>
      </c>
      <c r="B289" t="s">
        <v>297</v>
      </c>
      <c r="C289" s="66" t="n">
        <v>2040</v>
      </c>
      <c r="D289" t="s">
        <v>295</v>
      </c>
      <c r="E289" s="67" t="n">
        <v>15531.5458454137</v>
      </c>
      <c r="F289" s="68" t="n">
        <v>10740.752829966</v>
      </c>
      <c r="G289" s="69" t="n">
        <v>10740.752829966</v>
      </c>
      <c r="H289" s="70" t="str">
        <f>G289-F289</f>
      </c>
      <c r="I289" s="71" t="n">
        <v>15531.5458454137</v>
      </c>
      <c r="J289" s="72" t="str">
        <f>I289-E289</f>
      </c>
    </row>
    <row r="290">
      <c r="A290" t="s">
        <v>112</v>
      </c>
      <c r="B290" t="s">
        <v>297</v>
      </c>
      <c r="C290" s="66" t="n">
        <v>2040</v>
      </c>
      <c r="D290" t="s">
        <v>235</v>
      </c>
      <c r="E290" s="67" t="n">
        <v>1051265.69371329</v>
      </c>
      <c r="F290" s="68" t="n">
        <v>197739.851826417</v>
      </c>
      <c r="G290" s="69" t="n">
        <v>197739.851826417</v>
      </c>
      <c r="H290" s="70" t="str">
        <f>G290-F290</f>
      </c>
      <c r="I290" s="71" t="n">
        <v>1051265.69371329</v>
      </c>
      <c r="J290" s="72" t="str">
        <f>I290-E290</f>
      </c>
    </row>
    <row r="291">
      <c r="A291" t="s">
        <v>112</v>
      </c>
      <c r="B291" t="s">
        <v>297</v>
      </c>
      <c r="C291" s="66" t="n">
        <v>2040</v>
      </c>
      <c r="D291" t="s">
        <v>210</v>
      </c>
      <c r="E291" s="67" t="n">
        <v>162016.43342865</v>
      </c>
      <c r="F291" s="68" t="n">
        <v>99830.4797881527</v>
      </c>
      <c r="G291" s="69" t="n">
        <v>99830.4797881527</v>
      </c>
      <c r="H291" s="70" t="str">
        <f>G291-F291</f>
      </c>
      <c r="I291" s="71" t="n">
        <v>162016.43342865</v>
      </c>
      <c r="J291" s="72" t="str">
        <f>I291-E291</f>
      </c>
    </row>
    <row r="292">
      <c r="A292" t="s">
        <v>112</v>
      </c>
      <c r="B292" t="s">
        <v>297</v>
      </c>
      <c r="C292" s="66" t="n">
        <v>2040</v>
      </c>
      <c r="D292" t="s">
        <v>221</v>
      </c>
      <c r="E292" s="67" t="n">
        <v>327830.115399056</v>
      </c>
      <c r="F292" s="68" t="n">
        <v>308326.231940747</v>
      </c>
      <c r="G292" s="69" t="n">
        <v>308326.231940747</v>
      </c>
      <c r="H292" s="70" t="str">
        <f>G292-F292</f>
      </c>
      <c r="I292" s="71" t="n">
        <v>327830.115399056</v>
      </c>
      <c r="J292" s="72" t="str">
        <f>I292-E292</f>
      </c>
    </row>
    <row r="293">
      <c r="A293" t="s">
        <v>112</v>
      </c>
      <c r="B293" t="s">
        <v>297</v>
      </c>
      <c r="C293" s="66" t="n">
        <v>2040</v>
      </c>
      <c r="D293" t="s">
        <v>225</v>
      </c>
      <c r="E293" s="67" t="n">
        <v>853229.023620414</v>
      </c>
      <c r="F293" s="68" t="n">
        <v>495491.389021897</v>
      </c>
      <c r="G293" s="69" t="n">
        <v>495491.389021897</v>
      </c>
      <c r="H293" s="70" t="str">
        <f>G293-F293</f>
      </c>
      <c r="I293" s="71" t="n">
        <v>853229.023620414</v>
      </c>
      <c r="J293" s="72" t="str">
        <f>I293-E293</f>
      </c>
    </row>
    <row r="294">
      <c r="A294" t="s">
        <v>112</v>
      </c>
      <c r="B294" t="s">
        <v>297</v>
      </c>
      <c r="C294" s="66" t="n">
        <v>2040</v>
      </c>
      <c r="D294" t="s">
        <v>229</v>
      </c>
      <c r="E294" s="67" t="n">
        <v>453595.602682997</v>
      </c>
      <c r="F294" s="68" t="n">
        <v>238587.525717873</v>
      </c>
      <c r="G294" s="69" t="n">
        <v>238587.525717873</v>
      </c>
      <c r="H294" s="70" t="str">
        <f>G294-F294</f>
      </c>
      <c r="I294" s="71" t="n">
        <v>453595.602682997</v>
      </c>
      <c r="J294" s="72" t="str">
        <f>I294-E294</f>
      </c>
    </row>
    <row r="295">
      <c r="A295" t="s">
        <v>112</v>
      </c>
      <c r="B295" t="s">
        <v>297</v>
      </c>
      <c r="C295" s="66" t="n">
        <v>2040</v>
      </c>
      <c r="D295" t="s">
        <v>296</v>
      </c>
      <c r="E295" s="67" t="n">
        <v>12921.6065425891</v>
      </c>
      <c r="F295" s="68" t="n">
        <v>2071.44438113687</v>
      </c>
      <c r="G295" s="69" t="n">
        <v>2071.44438113687</v>
      </c>
      <c r="H295" s="70" t="str">
        <f>G295-F295</f>
      </c>
      <c r="I295" s="71" t="n">
        <v>12921.6065425891</v>
      </c>
      <c r="J295" s="72" t="str">
        <f>I295-E295</f>
      </c>
    </row>
    <row r="296">
      <c r="A296" t="s">
        <v>112</v>
      </c>
      <c r="B296" t="s">
        <v>297</v>
      </c>
      <c r="C296" s="66" t="n">
        <v>2041</v>
      </c>
      <c r="D296" t="s">
        <v>295</v>
      </c>
      <c r="E296" s="67" t="n">
        <v>15920.8775016153</v>
      </c>
      <c r="F296" s="68" t="n">
        <v>10939.5011556982</v>
      </c>
      <c r="G296" s="69" t="n">
        <v>10939.5011556982</v>
      </c>
      <c r="H296" s="70" t="str">
        <f>G296-F296</f>
      </c>
      <c r="I296" s="71" t="n">
        <v>15920.8775016153</v>
      </c>
      <c r="J296" s="72" t="str">
        <f>I296-E296</f>
      </c>
    </row>
    <row r="297">
      <c r="A297" t="s">
        <v>112</v>
      </c>
      <c r="B297" t="s">
        <v>297</v>
      </c>
      <c r="C297" s="66" t="n">
        <v>2041</v>
      </c>
      <c r="D297" t="s">
        <v>235</v>
      </c>
      <c r="E297" s="67" t="n">
        <v>1066563.6735298</v>
      </c>
      <c r="F297" s="68" t="n">
        <v>203201.128796519</v>
      </c>
      <c r="G297" s="69" t="n">
        <v>203201.128796519</v>
      </c>
      <c r="H297" s="70" t="str">
        <f>G297-F297</f>
      </c>
      <c r="I297" s="71" t="n">
        <v>1066563.6735298</v>
      </c>
      <c r="J297" s="72" t="str">
        <f>I297-E297</f>
      </c>
    </row>
    <row r="298">
      <c r="A298" t="s">
        <v>112</v>
      </c>
      <c r="B298" t="s">
        <v>297</v>
      </c>
      <c r="C298" s="66" t="n">
        <v>2041</v>
      </c>
      <c r="D298" t="s">
        <v>210</v>
      </c>
      <c r="E298" s="67" t="n">
        <v>165603.256683252</v>
      </c>
      <c r="F298" s="68" t="n">
        <v>101998.78936442</v>
      </c>
      <c r="G298" s="69" t="n">
        <v>101998.78936442</v>
      </c>
      <c r="H298" s="70" t="str">
        <f>G298-F298</f>
      </c>
      <c r="I298" s="71" t="n">
        <v>165603.256683252</v>
      </c>
      <c r="J298" s="72" t="str">
        <f>I298-E298</f>
      </c>
    </row>
    <row r="299">
      <c r="A299" t="s">
        <v>112</v>
      </c>
      <c r="B299" t="s">
        <v>297</v>
      </c>
      <c r="C299" s="66" t="n">
        <v>2041</v>
      </c>
      <c r="D299" t="s">
        <v>221</v>
      </c>
      <c r="E299" s="67" t="n">
        <v>330799.892538861</v>
      </c>
      <c r="F299" s="68" t="n">
        <v>311000.568285778</v>
      </c>
      <c r="G299" s="69" t="n">
        <v>311000.568285778</v>
      </c>
      <c r="H299" s="70" t="str">
        <f>G299-F299</f>
      </c>
      <c r="I299" s="71" t="n">
        <v>330799.892538861</v>
      </c>
      <c r="J299" s="72" t="str">
        <f>I299-E299</f>
      </c>
    </row>
    <row r="300">
      <c r="A300" t="s">
        <v>112</v>
      </c>
      <c r="B300" t="s">
        <v>297</v>
      </c>
      <c r="C300" s="66" t="n">
        <v>2041</v>
      </c>
      <c r="D300" t="s">
        <v>225</v>
      </c>
      <c r="E300" s="67" t="n">
        <v>869077.592101044</v>
      </c>
      <c r="F300" s="68" t="n">
        <v>506572.614435606</v>
      </c>
      <c r="G300" s="69" t="n">
        <v>506572.614435606</v>
      </c>
      <c r="H300" s="70" t="str">
        <f>G300-F300</f>
      </c>
      <c r="I300" s="71" t="n">
        <v>869077.592101044</v>
      </c>
      <c r="J300" s="72" t="str">
        <f>I300-E300</f>
      </c>
    </row>
    <row r="301">
      <c r="A301" t="s">
        <v>112</v>
      </c>
      <c r="B301" t="s">
        <v>297</v>
      </c>
      <c r="C301" s="66" t="n">
        <v>2041</v>
      </c>
      <c r="D301" t="s">
        <v>229</v>
      </c>
      <c r="E301" s="67" t="n">
        <v>461572.525619781</v>
      </c>
      <c r="F301" s="68" t="n">
        <v>244403.938380915</v>
      </c>
      <c r="G301" s="69" t="n">
        <v>244403.938380915</v>
      </c>
      <c r="H301" s="70" t="str">
        <f>G301-F301</f>
      </c>
      <c r="I301" s="71" t="n">
        <v>461572.525619781</v>
      </c>
      <c r="J301" s="72" t="str">
        <f>I301-E301</f>
      </c>
    </row>
    <row r="302">
      <c r="A302" t="s">
        <v>112</v>
      </c>
      <c r="B302" t="s">
        <v>297</v>
      </c>
      <c r="C302" s="66" t="n">
        <v>2041</v>
      </c>
      <c r="D302" t="s">
        <v>296</v>
      </c>
      <c r="E302" s="67" t="n">
        <v>12913.9661072478</v>
      </c>
      <c r="F302" s="68" t="n">
        <v>1954.42370545678</v>
      </c>
      <c r="G302" s="69" t="n">
        <v>1954.42370545678</v>
      </c>
      <c r="H302" s="70" t="str">
        <f>G302-F302</f>
      </c>
      <c r="I302" s="71" t="n">
        <v>12913.9661072478</v>
      </c>
      <c r="J302" s="72" t="str">
        <f>I302-E302</f>
      </c>
    </row>
    <row r="303">
      <c r="A303" t="s">
        <v>112</v>
      </c>
      <c r="B303" t="s">
        <v>297</v>
      </c>
      <c r="C303" s="66" t="n">
        <v>2042</v>
      </c>
      <c r="D303" t="s">
        <v>295</v>
      </c>
      <c r="E303" s="67" t="n">
        <v>16309.8993609652</v>
      </c>
      <c r="F303" s="68" t="n">
        <v>11135.4965430843</v>
      </c>
      <c r="G303" s="69" t="n">
        <v>11135.4965430843</v>
      </c>
      <c r="H303" s="70" t="str">
        <f>G303-F303</f>
      </c>
      <c r="I303" s="71" t="n">
        <v>16309.8993609652</v>
      </c>
      <c r="J303" s="72" t="str">
        <f>I303-E303</f>
      </c>
    </row>
    <row r="304">
      <c r="A304" t="s">
        <v>112</v>
      </c>
      <c r="B304" t="s">
        <v>297</v>
      </c>
      <c r="C304" s="66" t="n">
        <v>2042</v>
      </c>
      <c r="D304" t="s">
        <v>235</v>
      </c>
      <c r="E304" s="67" t="n">
        <v>1078026.60097981</v>
      </c>
      <c r="F304" s="68" t="n">
        <v>208646.654553543</v>
      </c>
      <c r="G304" s="69" t="n">
        <v>208646.654553543</v>
      </c>
      <c r="H304" s="70" t="str">
        <f>G304-F304</f>
      </c>
      <c r="I304" s="71" t="n">
        <v>1078026.60097981</v>
      </c>
      <c r="J304" s="72" t="str">
        <f>I304-E304</f>
      </c>
    </row>
    <row r="305">
      <c r="A305" t="s">
        <v>112</v>
      </c>
      <c r="B305" t="s">
        <v>297</v>
      </c>
      <c r="C305" s="66" t="n">
        <v>2042</v>
      </c>
      <c r="D305" t="s">
        <v>210</v>
      </c>
      <c r="E305" s="67" t="n">
        <v>169141.556637021</v>
      </c>
      <c r="F305" s="68" t="n">
        <v>104153.760083299</v>
      </c>
      <c r="G305" s="69" t="n">
        <v>104153.760083299</v>
      </c>
      <c r="H305" s="70" t="str">
        <f>G305-F305</f>
      </c>
      <c r="I305" s="71" t="n">
        <v>169141.556637021</v>
      </c>
      <c r="J305" s="72" t="str">
        <f>I305-E305</f>
      </c>
    </row>
    <row r="306">
      <c r="A306" t="s">
        <v>112</v>
      </c>
      <c r="B306" t="s">
        <v>297</v>
      </c>
      <c r="C306" s="66" t="n">
        <v>2042</v>
      </c>
      <c r="D306" t="s">
        <v>221</v>
      </c>
      <c r="E306" s="67" t="n">
        <v>333321.323938657</v>
      </c>
      <c r="F306" s="68" t="n">
        <v>313428.604068663</v>
      </c>
      <c r="G306" s="69" t="n">
        <v>313428.604068663</v>
      </c>
      <c r="H306" s="70" t="str">
        <f>G306-F306</f>
      </c>
      <c r="I306" s="71" t="n">
        <v>333321.323938657</v>
      </c>
      <c r="J306" s="72" t="str">
        <f>I306-E306</f>
      </c>
    </row>
    <row r="307">
      <c r="A307" t="s">
        <v>112</v>
      </c>
      <c r="B307" t="s">
        <v>297</v>
      </c>
      <c r="C307" s="66" t="n">
        <v>2042</v>
      </c>
      <c r="D307" t="s">
        <v>225</v>
      </c>
      <c r="E307" s="67" t="n">
        <v>884281.978207785</v>
      </c>
      <c r="F307" s="68" t="n">
        <v>517499.023505678</v>
      </c>
      <c r="G307" s="69" t="n">
        <v>517499.023505678</v>
      </c>
      <c r="H307" s="70" t="str">
        <f>G307-F307</f>
      </c>
      <c r="I307" s="71" t="n">
        <v>884281.978207785</v>
      </c>
      <c r="J307" s="72" t="str">
        <f>I307-E307</f>
      </c>
    </row>
    <row r="308">
      <c r="A308" t="s">
        <v>112</v>
      </c>
      <c r="B308" t="s">
        <v>297</v>
      </c>
      <c r="C308" s="66" t="n">
        <v>2042</v>
      </c>
      <c r="D308" t="s">
        <v>229</v>
      </c>
      <c r="E308" s="67" t="n">
        <v>469454.149721884</v>
      </c>
      <c r="F308" s="68" t="n">
        <v>250175.663514197</v>
      </c>
      <c r="G308" s="69" t="n">
        <v>250175.663514197</v>
      </c>
      <c r="H308" s="70" t="str">
        <f>G308-F308</f>
      </c>
      <c r="I308" s="71" t="n">
        <v>469454.149721884</v>
      </c>
      <c r="J308" s="72" t="str">
        <f>I308-E308</f>
      </c>
    </row>
    <row r="309">
      <c r="A309" t="s">
        <v>112</v>
      </c>
      <c r="B309" t="s">
        <v>297</v>
      </c>
      <c r="C309" s="66" t="n">
        <v>2042</v>
      </c>
      <c r="D309" t="s">
        <v>296</v>
      </c>
      <c r="E309" s="67" t="n">
        <v>12447.9578277165</v>
      </c>
      <c r="F309" s="68" t="n">
        <v>1837.13778678778</v>
      </c>
      <c r="G309" s="69" t="n">
        <v>1837.13778678778</v>
      </c>
      <c r="H309" s="70" t="str">
        <f>G309-F309</f>
      </c>
      <c r="I309" s="71" t="n">
        <v>12447.9578277165</v>
      </c>
      <c r="J309" s="72" t="str">
        <f>I309-E309</f>
      </c>
    </row>
    <row r="310">
      <c r="A310" t="s">
        <v>112</v>
      </c>
      <c r="B310" t="s">
        <v>297</v>
      </c>
      <c r="C310" s="66" t="n">
        <v>2043</v>
      </c>
      <c r="D310" t="s">
        <v>295</v>
      </c>
      <c r="E310" s="67" t="n">
        <v>16754.8072801891</v>
      </c>
      <c r="F310" s="68" t="n">
        <v>11340.588740714</v>
      </c>
      <c r="G310" s="69" t="n">
        <v>11340.588740714</v>
      </c>
      <c r="H310" s="70" t="str">
        <f>G310-F310</f>
      </c>
      <c r="I310" s="71" t="n">
        <v>16754.8072801891</v>
      </c>
      <c r="J310" s="72" t="str">
        <f>I310-E310</f>
      </c>
    </row>
    <row r="311">
      <c r="A311" t="s">
        <v>112</v>
      </c>
      <c r="B311" t="s">
        <v>297</v>
      </c>
      <c r="C311" s="66" t="n">
        <v>2043</v>
      </c>
      <c r="D311" t="s">
        <v>235</v>
      </c>
      <c r="E311" s="67" t="n">
        <v>1089617.8876954</v>
      </c>
      <c r="F311" s="68" t="n">
        <v>214013.627325169</v>
      </c>
      <c r="G311" s="69" t="n">
        <v>214013.627325169</v>
      </c>
      <c r="H311" s="70" t="str">
        <f>G311-F311</f>
      </c>
      <c r="I311" s="71" t="n">
        <v>1089617.8876954</v>
      </c>
      <c r="J311" s="72" t="str">
        <f>I311-E311</f>
      </c>
    </row>
    <row r="312">
      <c r="A312" t="s">
        <v>112</v>
      </c>
      <c r="B312" t="s">
        <v>297</v>
      </c>
      <c r="C312" s="66" t="n">
        <v>2043</v>
      </c>
      <c r="D312" t="s">
        <v>210</v>
      </c>
      <c r="E312" s="67" t="n">
        <v>173407.833179956</v>
      </c>
      <c r="F312" s="68" t="n">
        <v>106296.685429372</v>
      </c>
      <c r="G312" s="69" t="n">
        <v>106296.685429372</v>
      </c>
      <c r="H312" s="70" t="str">
        <f>G312-F312</f>
      </c>
      <c r="I312" s="71" t="n">
        <v>173407.833179956</v>
      </c>
      <c r="J312" s="72" t="str">
        <f>I312-E312</f>
      </c>
    </row>
    <row r="313">
      <c r="A313" t="s">
        <v>112</v>
      </c>
      <c r="B313" t="s">
        <v>297</v>
      </c>
      <c r="C313" s="66" t="n">
        <v>2043</v>
      </c>
      <c r="D313" t="s">
        <v>221</v>
      </c>
      <c r="E313" s="67" t="n">
        <v>335190.948405484</v>
      </c>
      <c r="F313" s="68" t="n">
        <v>315350.995136011</v>
      </c>
      <c r="G313" s="69" t="n">
        <v>315350.995136011</v>
      </c>
      <c r="H313" s="70" t="str">
        <f>G313-F313</f>
      </c>
      <c r="I313" s="71" t="n">
        <v>335190.948405484</v>
      </c>
      <c r="J313" s="72" t="str">
        <f>I313-E313</f>
      </c>
    </row>
    <row r="314">
      <c r="A314" t="s">
        <v>112</v>
      </c>
      <c r="B314" t="s">
        <v>297</v>
      </c>
      <c r="C314" s="66" t="n">
        <v>2043</v>
      </c>
      <c r="D314" t="s">
        <v>225</v>
      </c>
      <c r="E314" s="67" t="n">
        <v>901770.411974376</v>
      </c>
      <c r="F314" s="68" t="n">
        <v>528079.181081669</v>
      </c>
      <c r="G314" s="69" t="n">
        <v>528079.181081669</v>
      </c>
      <c r="H314" s="70" t="str">
        <f>G314-F314</f>
      </c>
      <c r="I314" s="71" t="n">
        <v>901770.411974376</v>
      </c>
      <c r="J314" s="72" t="str">
        <f>I314-E314</f>
      </c>
    </row>
    <row r="315">
      <c r="A315" t="s">
        <v>112</v>
      </c>
      <c r="B315" t="s">
        <v>297</v>
      </c>
      <c r="C315" s="66" t="n">
        <v>2043</v>
      </c>
      <c r="D315" t="s">
        <v>229</v>
      </c>
      <c r="E315" s="67" t="n">
        <v>479482.188386743</v>
      </c>
      <c r="F315" s="68" t="n">
        <v>255992.973248088</v>
      </c>
      <c r="G315" s="69" t="n">
        <v>255992.973248088</v>
      </c>
      <c r="H315" s="70" t="str">
        <f>G315-F315</f>
      </c>
      <c r="I315" s="71" t="n">
        <v>479482.188386743</v>
      </c>
      <c r="J315" s="72" t="str">
        <f>I315-E315</f>
      </c>
    </row>
    <row r="316">
      <c r="A316" t="s">
        <v>112</v>
      </c>
      <c r="B316" t="s">
        <v>297</v>
      </c>
      <c r="C316" s="66" t="n">
        <v>2043</v>
      </c>
      <c r="D316" t="s">
        <v>296</v>
      </c>
      <c r="E316" s="67" t="n">
        <v>12246.5731114781</v>
      </c>
      <c r="F316" s="68" t="n">
        <v>1731.1314511154</v>
      </c>
      <c r="G316" s="69" t="n">
        <v>1731.1314511154</v>
      </c>
      <c r="H316" s="70" t="str">
        <f>G316-F316</f>
      </c>
      <c r="I316" s="71" t="n">
        <v>12246.5731114781</v>
      </c>
      <c r="J316" s="72" t="str">
        <f>I316-E316</f>
      </c>
    </row>
    <row r="317">
      <c r="A317" t="s">
        <v>112</v>
      </c>
      <c r="B317" t="s">
        <v>297</v>
      </c>
      <c r="C317" s="66" t="n">
        <v>2044</v>
      </c>
      <c r="D317" t="s">
        <v>295</v>
      </c>
      <c r="E317" s="67" t="n">
        <v>17141.7120461147</v>
      </c>
      <c r="F317" s="68" t="n">
        <v>11540.7879834335</v>
      </c>
      <c r="G317" s="69" t="n">
        <v>11540.7879834335</v>
      </c>
      <c r="H317" s="70" t="str">
        <f>G317-F317</f>
      </c>
      <c r="I317" s="71" t="n">
        <v>17141.7120461147</v>
      </c>
      <c r="J317" s="72" t="str">
        <f>I317-E317</f>
      </c>
    </row>
    <row r="318">
      <c r="A318" t="s">
        <v>112</v>
      </c>
      <c r="B318" t="s">
        <v>297</v>
      </c>
      <c r="C318" s="66" t="n">
        <v>2044</v>
      </c>
      <c r="D318" t="s">
        <v>235</v>
      </c>
      <c r="E318" s="67" t="n">
        <v>1100597.33187273</v>
      </c>
      <c r="F318" s="68" t="n">
        <v>219387.626065992</v>
      </c>
      <c r="G318" s="69" t="n">
        <v>219387.626065992</v>
      </c>
      <c r="H318" s="70" t="str">
        <f>G318-F318</f>
      </c>
      <c r="I318" s="71" t="n">
        <v>1100597.33187273</v>
      </c>
      <c r="J318" s="72" t="str">
        <f>I318-E318</f>
      </c>
    </row>
    <row r="319">
      <c r="A319" t="s">
        <v>112</v>
      </c>
      <c r="B319" t="s">
        <v>297</v>
      </c>
      <c r="C319" s="66" t="n">
        <v>2044</v>
      </c>
      <c r="D319" t="s">
        <v>210</v>
      </c>
      <c r="E319" s="67" t="n">
        <v>176720.973913542</v>
      </c>
      <c r="F319" s="68" t="n">
        <v>108405.015378104</v>
      </c>
      <c r="G319" s="69" t="n">
        <v>108405.015378104</v>
      </c>
      <c r="H319" s="70" t="str">
        <f>G319-F319</f>
      </c>
      <c r="I319" s="71" t="n">
        <v>176720.973913542</v>
      </c>
      <c r="J319" s="72" t="str">
        <f>I319-E319</f>
      </c>
    </row>
    <row r="320">
      <c r="A320" t="s">
        <v>112</v>
      </c>
      <c r="B320" t="s">
        <v>297</v>
      </c>
      <c r="C320" s="66" t="n">
        <v>2044</v>
      </c>
      <c r="D320" t="s">
        <v>221</v>
      </c>
      <c r="E320" s="67" t="n">
        <v>337141.608513163</v>
      </c>
      <c r="F320" s="68" t="n">
        <v>317170.637977033</v>
      </c>
      <c r="G320" s="69" t="n">
        <v>317170.637977033</v>
      </c>
      <c r="H320" s="70" t="str">
        <f>G320-F320</f>
      </c>
      <c r="I320" s="71" t="n">
        <v>337141.608513163</v>
      </c>
      <c r="J320" s="72" t="str">
        <f>I320-E320</f>
      </c>
    </row>
    <row r="321">
      <c r="A321" t="s">
        <v>112</v>
      </c>
      <c r="B321" t="s">
        <v>297</v>
      </c>
      <c r="C321" s="66" t="n">
        <v>2044</v>
      </c>
      <c r="D321" t="s">
        <v>225</v>
      </c>
      <c r="E321" s="67" t="n">
        <v>915703.811540802</v>
      </c>
      <c r="F321" s="68" t="n">
        <v>538525.397411542</v>
      </c>
      <c r="G321" s="69" t="n">
        <v>538525.397411542</v>
      </c>
      <c r="H321" s="70" t="str">
        <f>G321-F321</f>
      </c>
      <c r="I321" s="71" t="n">
        <v>915703.811540802</v>
      </c>
      <c r="J321" s="72" t="str">
        <f>I321-E321</f>
      </c>
    </row>
    <row r="322">
      <c r="A322" t="s">
        <v>112</v>
      </c>
      <c r="B322" t="s">
        <v>297</v>
      </c>
      <c r="C322" s="66" t="n">
        <v>2044</v>
      </c>
      <c r="D322" t="s">
        <v>229</v>
      </c>
      <c r="E322" s="67" t="n">
        <v>486601.390422378</v>
      </c>
      <c r="F322" s="68" t="n">
        <v>261683.339551894</v>
      </c>
      <c r="G322" s="69" t="n">
        <v>261683.339551894</v>
      </c>
      <c r="H322" s="70" t="str">
        <f>G322-F322</f>
      </c>
      <c r="I322" s="71" t="n">
        <v>486601.390422378</v>
      </c>
      <c r="J322" s="72" t="str">
        <f>I322-E322</f>
      </c>
    </row>
    <row r="323">
      <c r="A323" t="s">
        <v>112</v>
      </c>
      <c r="B323" t="s">
        <v>297</v>
      </c>
      <c r="C323" s="66" t="n">
        <v>2044</v>
      </c>
      <c r="D323" t="s">
        <v>296</v>
      </c>
      <c r="E323" s="67" t="n">
        <v>12149.8552379252</v>
      </c>
      <c r="F323" s="68" t="n">
        <v>1626.37538137955</v>
      </c>
      <c r="G323" s="69" t="n">
        <v>1626.37538137955</v>
      </c>
      <c r="H323" s="70" t="str">
        <f>G323-F323</f>
      </c>
      <c r="I323" s="71" t="n">
        <v>12149.8552379252</v>
      </c>
      <c r="J323" s="72" t="str">
        <f>I323-E323</f>
      </c>
    </row>
    <row r="324">
      <c r="A324" t="s">
        <v>112</v>
      </c>
      <c r="B324" t="s">
        <v>297</v>
      </c>
      <c r="C324" s="66" t="n">
        <v>2045</v>
      </c>
      <c r="D324" t="s">
        <v>295</v>
      </c>
      <c r="E324" s="67" t="n">
        <v>17558.0225793012</v>
      </c>
      <c r="F324" s="68" t="n">
        <v>11745.9298391965</v>
      </c>
      <c r="G324" s="69" t="n">
        <v>11745.9298391965</v>
      </c>
      <c r="H324" s="70" t="str">
        <f>G324-F324</f>
      </c>
      <c r="I324" s="71" t="n">
        <v>17558.0225793012</v>
      </c>
      <c r="J324" s="72" t="str">
        <f>I324-E324</f>
      </c>
    </row>
    <row r="325">
      <c r="A325" t="s">
        <v>112</v>
      </c>
      <c r="B325" t="s">
        <v>297</v>
      </c>
      <c r="C325" s="66" t="n">
        <v>2045</v>
      </c>
      <c r="D325" t="s">
        <v>235</v>
      </c>
      <c r="E325" s="67" t="n">
        <v>1110841.03545085</v>
      </c>
      <c r="F325" s="68" t="n">
        <v>224789.135470853</v>
      </c>
      <c r="G325" s="69" t="n">
        <v>224789.135470853</v>
      </c>
      <c r="H325" s="70" t="str">
        <f>G325-F325</f>
      </c>
      <c r="I325" s="71" t="n">
        <v>1110841.03545085</v>
      </c>
      <c r="J325" s="72" t="str">
        <f>I325-E325</f>
      </c>
    </row>
    <row r="326">
      <c r="A326" t="s">
        <v>112</v>
      </c>
      <c r="B326" t="s">
        <v>297</v>
      </c>
      <c r="C326" s="66" t="n">
        <v>2045</v>
      </c>
      <c r="D326" t="s">
        <v>210</v>
      </c>
      <c r="E326" s="67" t="n">
        <v>180153.68435169</v>
      </c>
      <c r="F326" s="68" t="n">
        <v>110535.42825069</v>
      </c>
      <c r="G326" s="69" t="n">
        <v>110535.42825069</v>
      </c>
      <c r="H326" s="70" t="str">
        <f>G326-F326</f>
      </c>
      <c r="I326" s="71" t="n">
        <v>180153.68435169</v>
      </c>
      <c r="J326" s="72" t="str">
        <f>I326-E326</f>
      </c>
    </row>
    <row r="327">
      <c r="A327" t="s">
        <v>112</v>
      </c>
      <c r="B327" t="s">
        <v>297</v>
      </c>
      <c r="C327" s="66" t="n">
        <v>2045</v>
      </c>
      <c r="D327" t="s">
        <v>221</v>
      </c>
      <c r="E327" s="67" t="n">
        <v>339169.596103443</v>
      </c>
      <c r="F327" s="68" t="n">
        <v>318918.904925021</v>
      </c>
      <c r="G327" s="69" t="n">
        <v>318918.904925021</v>
      </c>
      <c r="H327" s="70" t="str">
        <f>G327-F327</f>
      </c>
      <c r="I327" s="71" t="n">
        <v>339169.596103443</v>
      </c>
      <c r="J327" s="72" t="str">
        <f>I327-E327</f>
      </c>
    </row>
    <row r="328">
      <c r="A328" t="s">
        <v>112</v>
      </c>
      <c r="B328" t="s">
        <v>297</v>
      </c>
      <c r="C328" s="66" t="n">
        <v>2045</v>
      </c>
      <c r="D328" t="s">
        <v>225</v>
      </c>
      <c r="E328" s="67" t="n">
        <v>929197.274787431</v>
      </c>
      <c r="F328" s="68" t="n">
        <v>549018.34448389</v>
      </c>
      <c r="G328" s="69" t="n">
        <v>549018.34448389</v>
      </c>
      <c r="H328" s="70" t="str">
        <f>G328-F328</f>
      </c>
      <c r="I328" s="71" t="n">
        <v>929197.274787431</v>
      </c>
      <c r="J328" s="72" t="str">
        <f>I328-E328</f>
      </c>
    </row>
    <row r="329">
      <c r="A329" t="s">
        <v>112</v>
      </c>
      <c r="B329" t="s">
        <v>297</v>
      </c>
      <c r="C329" s="66" t="n">
        <v>2045</v>
      </c>
      <c r="D329" t="s">
        <v>229</v>
      </c>
      <c r="E329" s="67" t="n">
        <v>493255.893083406</v>
      </c>
      <c r="F329" s="68" t="n">
        <v>267382.392924501</v>
      </c>
      <c r="G329" s="69" t="n">
        <v>267382.392924501</v>
      </c>
      <c r="H329" s="70" t="str">
        <f>G329-F329</f>
      </c>
      <c r="I329" s="71" t="n">
        <v>493255.893083406</v>
      </c>
      <c r="J329" s="72" t="str">
        <f>I329-E329</f>
      </c>
    </row>
    <row r="330">
      <c r="A330" t="s">
        <v>112</v>
      </c>
      <c r="B330" t="s">
        <v>297</v>
      </c>
      <c r="C330" s="66" t="n">
        <v>2045</v>
      </c>
      <c r="D330" t="s">
        <v>296</v>
      </c>
      <c r="E330" s="67" t="n">
        <v>12048.500629735</v>
      </c>
      <c r="F330" s="68" t="n">
        <v>1523.26402182686</v>
      </c>
      <c r="G330" s="69" t="n">
        <v>1523.26402182686</v>
      </c>
      <c r="H330" s="70" t="str">
        <f>G330-F330</f>
      </c>
      <c r="I330" s="71" t="n">
        <v>12048.500629735</v>
      </c>
      <c r="J330" s="72" t="str">
        <f>I330-E330</f>
      </c>
    </row>
    <row r="331">
      <c r="A331" t="s">
        <v>112</v>
      </c>
      <c r="B331" t="s">
        <v>297</v>
      </c>
      <c r="C331" s="66" t="n">
        <v>2046</v>
      </c>
      <c r="D331" t="s">
        <v>295</v>
      </c>
      <c r="E331" s="67" t="n">
        <v>17968.503099892</v>
      </c>
      <c r="F331" s="68" t="n">
        <v>11956.4732180851</v>
      </c>
      <c r="G331" s="69" t="n">
        <v>11956.4732180851</v>
      </c>
      <c r="H331" s="70" t="str">
        <f>G331-F331</f>
      </c>
      <c r="I331" s="71" t="n">
        <v>17968.503099892</v>
      </c>
      <c r="J331" s="72" t="str">
        <f>I331-E331</f>
      </c>
    </row>
    <row r="332">
      <c r="A332" t="s">
        <v>112</v>
      </c>
      <c r="B332" t="s">
        <v>297</v>
      </c>
      <c r="C332" s="66" t="n">
        <v>2046</v>
      </c>
      <c r="D332" t="s">
        <v>235</v>
      </c>
      <c r="E332" s="67" t="n">
        <v>1124741.39385058</v>
      </c>
      <c r="F332" s="68" t="n">
        <v>230223.641273017</v>
      </c>
      <c r="G332" s="69" t="n">
        <v>230223.641273017</v>
      </c>
      <c r="H332" s="70" t="str">
        <f>G332-F332</f>
      </c>
      <c r="I332" s="71" t="n">
        <v>1124741.39385058</v>
      </c>
      <c r="J332" s="72" t="str">
        <f>I332-E332</f>
      </c>
    </row>
    <row r="333">
      <c r="A333" t="s">
        <v>112</v>
      </c>
      <c r="B333" t="s">
        <v>297</v>
      </c>
      <c r="C333" s="66" t="n">
        <v>2046</v>
      </c>
      <c r="D333" t="s">
        <v>210</v>
      </c>
      <c r="E333" s="67" t="n">
        <v>183510.562290158</v>
      </c>
      <c r="F333" s="68" t="n">
        <v>112679.652863118</v>
      </c>
      <c r="G333" s="69" t="n">
        <v>112679.652863118</v>
      </c>
      <c r="H333" s="70" t="str">
        <f>G333-F333</f>
      </c>
      <c r="I333" s="71" t="n">
        <v>183510.562290158</v>
      </c>
      <c r="J333" s="72" t="str">
        <f>I333-E333</f>
      </c>
    </row>
    <row r="334">
      <c r="A334" t="s">
        <v>112</v>
      </c>
      <c r="B334" t="s">
        <v>297</v>
      </c>
      <c r="C334" s="66" t="n">
        <v>2046</v>
      </c>
      <c r="D334" t="s">
        <v>221</v>
      </c>
      <c r="E334" s="67" t="n">
        <v>341225.275481564</v>
      </c>
      <c r="F334" s="68" t="n">
        <v>320574.163172874</v>
      </c>
      <c r="G334" s="69" t="n">
        <v>320574.163172874</v>
      </c>
      <c r="H334" s="70" t="str">
        <f>G334-F334</f>
      </c>
      <c r="I334" s="71" t="n">
        <v>341225.275481564</v>
      </c>
      <c r="J334" s="72" t="str">
        <f>I334-E334</f>
      </c>
    </row>
    <row r="335">
      <c r="A335" t="s">
        <v>112</v>
      </c>
      <c r="B335" t="s">
        <v>297</v>
      </c>
      <c r="C335" s="66" t="n">
        <v>2046</v>
      </c>
      <c r="D335" t="s">
        <v>225</v>
      </c>
      <c r="E335" s="67" t="n">
        <v>944010.931257439</v>
      </c>
      <c r="F335" s="68" t="n">
        <v>559544.256752656</v>
      </c>
      <c r="G335" s="69" t="n">
        <v>559544.256752656</v>
      </c>
      <c r="H335" s="70" t="str">
        <f>G335-F335</f>
      </c>
      <c r="I335" s="71" t="n">
        <v>944010.931257439</v>
      </c>
      <c r="J335" s="72" t="str">
        <f>I335-E335</f>
      </c>
    </row>
    <row r="336">
      <c r="A336" t="s">
        <v>112</v>
      </c>
      <c r="B336" t="s">
        <v>297</v>
      </c>
      <c r="C336" s="66" t="n">
        <v>2046</v>
      </c>
      <c r="D336" t="s">
        <v>229</v>
      </c>
      <c r="E336" s="67" t="n">
        <v>500645.717898476</v>
      </c>
      <c r="F336" s="68" t="n">
        <v>273080.787934234</v>
      </c>
      <c r="G336" s="69" t="n">
        <v>273080.787934234</v>
      </c>
      <c r="H336" s="70" t="str">
        <f>G336-F336</f>
      </c>
      <c r="I336" s="71" t="n">
        <v>500645.717898476</v>
      </c>
      <c r="J336" s="72" t="str">
        <f>I336-E336</f>
      </c>
    </row>
    <row r="337">
      <c r="A337" t="s">
        <v>112</v>
      </c>
      <c r="B337" t="s">
        <v>297</v>
      </c>
      <c r="C337" s="66" t="n">
        <v>2046</v>
      </c>
      <c r="D337" t="s">
        <v>296</v>
      </c>
      <c r="E337" s="67" t="n">
        <v>11943.7945693929</v>
      </c>
      <c r="F337" s="68" t="n">
        <v>1421.3002106259</v>
      </c>
      <c r="G337" s="69" t="n">
        <v>1421.3002106259</v>
      </c>
      <c r="H337" s="70" t="str">
        <f>G337-F337</f>
      </c>
      <c r="I337" s="71" t="n">
        <v>11943.7945693929</v>
      </c>
      <c r="J337" s="72" t="str">
        <f>I337-E337</f>
      </c>
    </row>
    <row r="338">
      <c r="A338" t="s">
        <v>112</v>
      </c>
      <c r="B338" t="s">
        <v>297</v>
      </c>
      <c r="C338" s="66" t="n">
        <v>2047</v>
      </c>
      <c r="D338" t="s">
        <v>295</v>
      </c>
      <c r="E338" s="67" t="n">
        <v>18370.9982297807</v>
      </c>
      <c r="F338" s="68" t="n">
        <v>12160.3227217187</v>
      </c>
      <c r="G338" s="69" t="n">
        <v>12160.3227217187</v>
      </c>
      <c r="H338" s="70" t="str">
        <f>G338-F338</f>
      </c>
      <c r="I338" s="71" t="n">
        <v>18370.9982297807</v>
      </c>
      <c r="J338" s="72" t="str">
        <f>I338-E338</f>
      </c>
    </row>
    <row r="339">
      <c r="A339" t="s">
        <v>112</v>
      </c>
      <c r="B339" t="s">
        <v>297</v>
      </c>
      <c r="C339" s="66" t="n">
        <v>2047</v>
      </c>
      <c r="D339" t="s">
        <v>235</v>
      </c>
      <c r="E339" s="67" t="n">
        <v>1133680.16398797</v>
      </c>
      <c r="F339" s="68" t="n">
        <v>235574.501787602</v>
      </c>
      <c r="G339" s="69" t="n">
        <v>235574.501787602</v>
      </c>
      <c r="H339" s="70" t="str">
        <f>G339-F339</f>
      </c>
      <c r="I339" s="71" t="n">
        <v>1133680.16398797</v>
      </c>
      <c r="J339" s="72" t="str">
        <f>I339-E339</f>
      </c>
    </row>
    <row r="340">
      <c r="A340" t="s">
        <v>112</v>
      </c>
      <c r="B340" t="s">
        <v>297</v>
      </c>
      <c r="C340" s="66" t="n">
        <v>2047</v>
      </c>
      <c r="D340" t="s">
        <v>210</v>
      </c>
      <c r="E340" s="67" t="n">
        <v>186925.284089995</v>
      </c>
      <c r="F340" s="68" t="n">
        <v>114770.43405396</v>
      </c>
      <c r="G340" s="69" t="n">
        <v>114770.43405396</v>
      </c>
      <c r="H340" s="70" t="str">
        <f>G340-F340</f>
      </c>
      <c r="I340" s="71" t="n">
        <v>186925.284089995</v>
      </c>
      <c r="J340" s="72" t="str">
        <f>I340-E340</f>
      </c>
    </row>
    <row r="341">
      <c r="A341" t="s">
        <v>112</v>
      </c>
      <c r="B341" t="s">
        <v>297</v>
      </c>
      <c r="C341" s="66" t="n">
        <v>2047</v>
      </c>
      <c r="D341" t="s">
        <v>221</v>
      </c>
      <c r="E341" s="67" t="n">
        <v>342821.899904036</v>
      </c>
      <c r="F341" s="68" t="n">
        <v>322040.722228729</v>
      </c>
      <c r="G341" s="69" t="n">
        <v>322040.722228729</v>
      </c>
      <c r="H341" s="70" t="str">
        <f>G341-F341</f>
      </c>
      <c r="I341" s="71" t="n">
        <v>342821.899904036</v>
      </c>
      <c r="J341" s="72" t="str">
        <f>I341-E341</f>
      </c>
    </row>
    <row r="342">
      <c r="A342" t="s">
        <v>112</v>
      </c>
      <c r="B342" t="s">
        <v>297</v>
      </c>
      <c r="C342" s="66" t="n">
        <v>2047</v>
      </c>
      <c r="D342" t="s">
        <v>225</v>
      </c>
      <c r="E342" s="67" t="n">
        <v>957700.330331823</v>
      </c>
      <c r="F342" s="68" t="n">
        <v>569776.387385101</v>
      </c>
      <c r="G342" s="69" t="n">
        <v>569776.387385101</v>
      </c>
      <c r="H342" s="70" t="str">
        <f>G342-F342</f>
      </c>
      <c r="I342" s="71" t="n">
        <v>957700.330331823</v>
      </c>
      <c r="J342" s="72" t="str">
        <f>I342-E342</f>
      </c>
    </row>
    <row r="343">
      <c r="A343" t="s">
        <v>112</v>
      </c>
      <c r="B343" t="s">
        <v>297</v>
      </c>
      <c r="C343" s="66" t="n">
        <v>2047</v>
      </c>
      <c r="D343" t="s">
        <v>229</v>
      </c>
      <c r="E343" s="67" t="n">
        <v>507728.749767113</v>
      </c>
      <c r="F343" s="68" t="n">
        <v>278595.1987469</v>
      </c>
      <c r="G343" s="69" t="n">
        <v>278595.1987469</v>
      </c>
      <c r="H343" s="70" t="str">
        <f>G343-F343</f>
      </c>
      <c r="I343" s="71" t="n">
        <v>507728.749767113</v>
      </c>
      <c r="J343" s="72" t="str">
        <f>I343-E343</f>
      </c>
    </row>
    <row r="344">
      <c r="A344" t="s">
        <v>112</v>
      </c>
      <c r="B344" t="s">
        <v>297</v>
      </c>
      <c r="C344" s="66" t="n">
        <v>2047</v>
      </c>
      <c r="D344" t="s">
        <v>296</v>
      </c>
      <c r="E344" s="67" t="n">
        <v>11676.8139890787</v>
      </c>
      <c r="F344" s="68" t="n">
        <v>1320.00748918915</v>
      </c>
      <c r="G344" s="69" t="n">
        <v>1320.00748918915</v>
      </c>
      <c r="H344" s="70" t="str">
        <f>G344-F344</f>
      </c>
      <c r="I344" s="71" t="n">
        <v>11676.8139890787</v>
      </c>
      <c r="J344" s="72" t="str">
        <f>I344-E344</f>
      </c>
    </row>
    <row r="345">
      <c r="A345" t="s">
        <v>112</v>
      </c>
      <c r="B345" t="s">
        <v>297</v>
      </c>
      <c r="C345" s="66" t="n">
        <v>2048</v>
      </c>
      <c r="D345" t="s">
        <v>295</v>
      </c>
      <c r="E345" s="67" t="n">
        <v>18865.0138793559</v>
      </c>
      <c r="F345" s="68" t="n">
        <v>12359.797946018</v>
      </c>
      <c r="G345" s="69" t="n">
        <v>12359.797946018</v>
      </c>
      <c r="H345" s="70" t="str">
        <f>G345-F345</f>
      </c>
      <c r="I345" s="71" t="n">
        <v>18865.0138793559</v>
      </c>
      <c r="J345" s="72" t="str">
        <f>I345-E345</f>
      </c>
    </row>
    <row r="346">
      <c r="A346" t="s">
        <v>112</v>
      </c>
      <c r="B346" t="s">
        <v>297</v>
      </c>
      <c r="C346" s="66" t="n">
        <v>2048</v>
      </c>
      <c r="D346" t="s">
        <v>235</v>
      </c>
      <c r="E346" s="67" t="n">
        <v>1139921.42222342</v>
      </c>
      <c r="F346" s="68" t="n">
        <v>240778.643136103</v>
      </c>
      <c r="G346" s="69" t="n">
        <v>240778.643136103</v>
      </c>
      <c r="H346" s="70" t="str">
        <f>G346-F346</f>
      </c>
      <c r="I346" s="71" t="n">
        <v>1139921.42222342</v>
      </c>
      <c r="J346" s="72" t="str">
        <f>I346-E346</f>
      </c>
    </row>
    <row r="347">
      <c r="A347" t="s">
        <v>112</v>
      </c>
      <c r="B347" t="s">
        <v>297</v>
      </c>
      <c r="C347" s="66" t="n">
        <v>2048</v>
      </c>
      <c r="D347" t="s">
        <v>210</v>
      </c>
      <c r="E347" s="67" t="n">
        <v>191173.834498201</v>
      </c>
      <c r="F347" s="68" t="n">
        <v>116788.610084</v>
      </c>
      <c r="G347" s="69" t="n">
        <v>116788.610084</v>
      </c>
      <c r="H347" s="70" t="str">
        <f>G347-F347</f>
      </c>
      <c r="I347" s="71" t="n">
        <v>191173.834498201</v>
      </c>
      <c r="J347" s="72" t="str">
        <f>I347-E347</f>
      </c>
    </row>
    <row r="348">
      <c r="A348" t="s">
        <v>112</v>
      </c>
      <c r="B348" t="s">
        <v>297</v>
      </c>
      <c r="C348" s="66" t="n">
        <v>2048</v>
      </c>
      <c r="D348" t="s">
        <v>221</v>
      </c>
      <c r="E348" s="67" t="n">
        <v>343787.138006374</v>
      </c>
      <c r="F348" s="68" t="n">
        <v>323063.01307722</v>
      </c>
      <c r="G348" s="69" t="n">
        <v>323063.01307722</v>
      </c>
      <c r="H348" s="70" t="str">
        <f>G348-F348</f>
      </c>
      <c r="I348" s="71" t="n">
        <v>343787.138006374</v>
      </c>
      <c r="J348" s="72" t="str">
        <f>I348-E348</f>
      </c>
    </row>
    <row r="349">
      <c r="A349" t="s">
        <v>112</v>
      </c>
      <c r="B349" t="s">
        <v>297</v>
      </c>
      <c r="C349" s="66" t="n">
        <v>2048</v>
      </c>
      <c r="D349" t="s">
        <v>225</v>
      </c>
      <c r="E349" s="67" t="n">
        <v>972752.000469153</v>
      </c>
      <c r="F349" s="68" t="n">
        <v>579456.858882308</v>
      </c>
      <c r="G349" s="69" t="n">
        <v>579456.858882308</v>
      </c>
      <c r="H349" s="70" t="str">
        <f>G349-F349</f>
      </c>
      <c r="I349" s="71" t="n">
        <v>972752.000469153</v>
      </c>
      <c r="J349" s="72" t="str">
        <f>I349-E349</f>
      </c>
    </row>
    <row r="350">
      <c r="A350" t="s">
        <v>112</v>
      </c>
      <c r="B350" t="s">
        <v>297</v>
      </c>
      <c r="C350" s="66" t="n">
        <v>2048</v>
      </c>
      <c r="D350" t="s">
        <v>229</v>
      </c>
      <c r="E350" s="67" t="n">
        <v>516145.438063223</v>
      </c>
      <c r="F350" s="68" t="n">
        <v>283909.318240972</v>
      </c>
      <c r="G350" s="69" t="n">
        <v>283909.318240972</v>
      </c>
      <c r="H350" s="70" t="str">
        <f>G350-F350</f>
      </c>
      <c r="I350" s="71" t="n">
        <v>516145.438063223</v>
      </c>
      <c r="J350" s="72" t="str">
        <f>I350-E350</f>
      </c>
    </row>
    <row r="351">
      <c r="A351" t="s">
        <v>112</v>
      </c>
      <c r="B351" t="s">
        <v>297</v>
      </c>
      <c r="C351" s="66" t="n">
        <v>2048</v>
      </c>
      <c r="D351" t="s">
        <v>296</v>
      </c>
      <c r="E351" s="67" t="n">
        <v>11567.4035703729</v>
      </c>
      <c r="F351" s="68" t="n">
        <v>1228.73261677247</v>
      </c>
      <c r="G351" s="69" t="n">
        <v>1228.73261677247</v>
      </c>
      <c r="H351" s="70" t="str">
        <f>G351-F351</f>
      </c>
      <c r="I351" s="71" t="n">
        <v>11567.4035703729</v>
      </c>
      <c r="J351" s="72" t="str">
        <f>I351-E351</f>
      </c>
    </row>
    <row r="352">
      <c r="A352" t="s">
        <v>112</v>
      </c>
      <c r="B352" t="s">
        <v>297</v>
      </c>
      <c r="C352" s="66" t="n">
        <v>2049</v>
      </c>
      <c r="D352" t="s">
        <v>295</v>
      </c>
      <c r="E352" s="67" t="n">
        <v>19265.9413357536</v>
      </c>
      <c r="F352" s="68" t="n">
        <v>12562.9700035081</v>
      </c>
      <c r="G352" s="69" t="n">
        <v>12562.9700035081</v>
      </c>
      <c r="H352" s="70" t="str">
        <f>G352-F352</f>
      </c>
      <c r="I352" s="71" t="n">
        <v>19265.9413357536</v>
      </c>
      <c r="J352" s="72" t="str">
        <f>I352-E352</f>
      </c>
    </row>
    <row r="353">
      <c r="A353" t="s">
        <v>112</v>
      </c>
      <c r="B353" t="s">
        <v>297</v>
      </c>
      <c r="C353" s="66" t="n">
        <v>2049</v>
      </c>
      <c r="D353" t="s">
        <v>235</v>
      </c>
      <c r="E353" s="67" t="n">
        <v>1148955.60958046</v>
      </c>
      <c r="F353" s="68" t="n">
        <v>246024.454765088</v>
      </c>
      <c r="G353" s="69" t="n">
        <v>246024.454765088</v>
      </c>
      <c r="H353" s="70" t="str">
        <f>G353-F353</f>
      </c>
      <c r="I353" s="71" t="n">
        <v>1148955.60958046</v>
      </c>
      <c r="J353" s="72" t="str">
        <f>I353-E353</f>
      </c>
    </row>
    <row r="354">
      <c r="A354" t="s">
        <v>112</v>
      </c>
      <c r="B354" t="s">
        <v>297</v>
      </c>
      <c r="C354" s="66" t="n">
        <v>2049</v>
      </c>
      <c r="D354" t="s">
        <v>210</v>
      </c>
      <c r="E354" s="67" t="n">
        <v>194292.055539498</v>
      </c>
      <c r="F354" s="68" t="n">
        <v>118827.584291328</v>
      </c>
      <c r="G354" s="69" t="n">
        <v>118827.584291328</v>
      </c>
      <c r="H354" s="70" t="str">
        <f>G354-F354</f>
      </c>
      <c r="I354" s="71" t="n">
        <v>194292.055539498</v>
      </c>
      <c r="J354" s="72" t="str">
        <f>I354-E354</f>
      </c>
    </row>
    <row r="355">
      <c r="A355" t="s">
        <v>112</v>
      </c>
      <c r="B355" t="s">
        <v>297</v>
      </c>
      <c r="C355" s="66" t="n">
        <v>2049</v>
      </c>
      <c r="D355" t="s">
        <v>221</v>
      </c>
      <c r="E355" s="67" t="n">
        <v>345031.334829118</v>
      </c>
      <c r="F355" s="68" t="n">
        <v>324116.922797206</v>
      </c>
      <c r="G355" s="69" t="n">
        <v>324116.922797206</v>
      </c>
      <c r="H355" s="70" t="str">
        <f>G355-F355</f>
      </c>
      <c r="I355" s="71" t="n">
        <v>345031.334829118</v>
      </c>
      <c r="J355" s="72" t="str">
        <f>I355-E355</f>
      </c>
    </row>
    <row r="356">
      <c r="A356" t="s">
        <v>112</v>
      </c>
      <c r="B356" t="s">
        <v>297</v>
      </c>
      <c r="C356" s="66" t="n">
        <v>2049</v>
      </c>
      <c r="D356" t="s">
        <v>225</v>
      </c>
      <c r="E356" s="67" t="n">
        <v>985505.206976823</v>
      </c>
      <c r="F356" s="68" t="n">
        <v>589228.445176563</v>
      </c>
      <c r="G356" s="69" t="n">
        <v>589228.445176563</v>
      </c>
      <c r="H356" s="70" t="str">
        <f>G356-F356</f>
      </c>
      <c r="I356" s="71" t="n">
        <v>985505.206976823</v>
      </c>
      <c r="J356" s="72" t="str">
        <f>I356-E356</f>
      </c>
    </row>
    <row r="357">
      <c r="A357" t="s">
        <v>112</v>
      </c>
      <c r="B357" t="s">
        <v>297</v>
      </c>
      <c r="C357" s="66" t="n">
        <v>2049</v>
      </c>
      <c r="D357" t="s">
        <v>229</v>
      </c>
      <c r="E357" s="67" t="n">
        <v>522492.200230248</v>
      </c>
      <c r="F357" s="68" t="n">
        <v>289249.089939416</v>
      </c>
      <c r="G357" s="69" t="n">
        <v>289249.089939416</v>
      </c>
      <c r="H357" s="70" t="str">
        <f>G357-F357</f>
      </c>
      <c r="I357" s="71" t="n">
        <v>522492.200230248</v>
      </c>
      <c r="J357" s="72" t="str">
        <f>I357-E357</f>
      </c>
    </row>
    <row r="358">
      <c r="A358" t="s">
        <v>112</v>
      </c>
      <c r="B358" t="s">
        <v>297</v>
      </c>
      <c r="C358" s="66" t="n">
        <v>2049</v>
      </c>
      <c r="D358" t="s">
        <v>296</v>
      </c>
      <c r="E358" s="67" t="n">
        <v>11514.5369642823</v>
      </c>
      <c r="F358" s="68" t="n">
        <v>1139.24175250417</v>
      </c>
      <c r="G358" s="69" t="n">
        <v>1139.24175250417</v>
      </c>
      <c r="H358" s="70" t="str">
        <f>G358-F358</f>
      </c>
      <c r="I358" s="71" t="n">
        <v>11514.5369642823</v>
      </c>
      <c r="J358" s="72" t="str">
        <f>I358-E358</f>
      </c>
    </row>
    <row r="359">
      <c r="A359" t="s">
        <v>112</v>
      </c>
      <c r="B359" t="s">
        <v>297</v>
      </c>
      <c r="C359" s="66" t="n">
        <v>2050</v>
      </c>
      <c r="D359" t="s">
        <v>295</v>
      </c>
      <c r="E359" s="67" t="n">
        <v>19651.774602414</v>
      </c>
      <c r="F359" s="68" t="n">
        <v>12764.9906286853</v>
      </c>
      <c r="G359" s="69" t="n">
        <v>12764.9906286853</v>
      </c>
      <c r="H359" s="70" t="str">
        <f>G359-F359</f>
      </c>
      <c r="I359" s="71" t="n">
        <v>19651.774602414</v>
      </c>
      <c r="J359" s="72" t="str">
        <f>I359-E359</f>
      </c>
    </row>
    <row r="360">
      <c r="A360" t="s">
        <v>112</v>
      </c>
      <c r="B360" t="s">
        <v>297</v>
      </c>
      <c r="C360" s="66" t="n">
        <v>2050</v>
      </c>
      <c r="D360" t="s">
        <v>235</v>
      </c>
      <c r="E360" s="67" t="n">
        <v>1157673.56667431</v>
      </c>
      <c r="F360" s="68" t="n">
        <v>251178.956267752</v>
      </c>
      <c r="G360" s="69" t="n">
        <v>251178.956267752</v>
      </c>
      <c r="H360" s="70" t="str">
        <f>G360-F360</f>
      </c>
      <c r="I360" s="71" t="n">
        <v>1157673.56667431</v>
      </c>
      <c r="J360" s="72" t="str">
        <f>I360-E360</f>
      </c>
    </row>
    <row r="361">
      <c r="A361" t="s">
        <v>112</v>
      </c>
      <c r="B361" t="s">
        <v>297</v>
      </c>
      <c r="C361" s="66" t="n">
        <v>2050</v>
      </c>
      <c r="D361" t="s">
        <v>210</v>
      </c>
      <c r="E361" s="67" t="n">
        <v>196917.204625516</v>
      </c>
      <c r="F361" s="68" t="n">
        <v>120827.928759862</v>
      </c>
      <c r="G361" s="69" t="n">
        <v>120827.928759862</v>
      </c>
      <c r="H361" s="70" t="str">
        <f>G361-F361</f>
      </c>
      <c r="I361" s="71" t="n">
        <v>196917.204625516</v>
      </c>
      <c r="J361" s="72" t="str">
        <f>I361-E361</f>
      </c>
    </row>
    <row r="362">
      <c r="A362" t="s">
        <v>112</v>
      </c>
      <c r="B362" t="s">
        <v>297</v>
      </c>
      <c r="C362" s="66" t="n">
        <v>2050</v>
      </c>
      <c r="D362" t="s">
        <v>221</v>
      </c>
      <c r="E362" s="67" t="n">
        <v>346233.851249823</v>
      </c>
      <c r="F362" s="68" t="n">
        <v>324973.279226193</v>
      </c>
      <c r="G362" s="69" t="n">
        <v>324973.279226193</v>
      </c>
      <c r="H362" s="70" t="str">
        <f>G362-F362</f>
      </c>
      <c r="I362" s="71" t="n">
        <v>346233.851249823</v>
      </c>
      <c r="J362" s="72" t="str">
        <f>I362-E362</f>
      </c>
    </row>
    <row r="363">
      <c r="A363" t="s">
        <v>112</v>
      </c>
      <c r="B363" t="s">
        <v>297</v>
      </c>
      <c r="C363" s="66" t="n">
        <v>2050</v>
      </c>
      <c r="D363" t="s">
        <v>225</v>
      </c>
      <c r="E363" s="67" t="n">
        <v>997255.105001918</v>
      </c>
      <c r="F363" s="68" t="n">
        <v>598816.687069898</v>
      </c>
      <c r="G363" s="69" t="n">
        <v>598816.687069898</v>
      </c>
      <c r="H363" s="70" t="str">
        <f>G363-F363</f>
      </c>
      <c r="I363" s="71" t="n">
        <v>997255.105001918</v>
      </c>
      <c r="J363" s="72" t="str">
        <f>I363-E363</f>
      </c>
    </row>
    <row r="364">
      <c r="A364" t="s">
        <v>112</v>
      </c>
      <c r="B364" t="s">
        <v>297</v>
      </c>
      <c r="C364" s="66" t="n">
        <v>2050</v>
      </c>
      <c r="D364" t="s">
        <v>229</v>
      </c>
      <c r="E364" s="67" t="n">
        <v>528009.464128417</v>
      </c>
      <c r="F364" s="68" t="n">
        <v>294395.50759804</v>
      </c>
      <c r="G364" s="69" t="n">
        <v>294395.50759804</v>
      </c>
      <c r="H364" s="70" t="str">
        <f>G364-F364</f>
      </c>
      <c r="I364" s="71" t="n">
        <v>528009.464128417</v>
      </c>
      <c r="J364" s="72" t="str">
        <f>I364-E364</f>
      </c>
    </row>
    <row r="365">
      <c r="A365" t="s">
        <v>112</v>
      </c>
      <c r="B365" t="s">
        <v>297</v>
      </c>
      <c r="C365" s="66" t="n">
        <v>2050</v>
      </c>
      <c r="D365" t="s">
        <v>296</v>
      </c>
      <c r="E365" s="67" t="n">
        <v>11458.3317669049</v>
      </c>
      <c r="F365" s="68" t="n">
        <v>1051.113893317</v>
      </c>
      <c r="G365" s="69" t="n">
        <v>1051.113893317</v>
      </c>
      <c r="H365" s="70" t="str">
        <f>G365-F365</f>
      </c>
      <c r="I365" s="71" t="n">
        <v>11458.3317669049</v>
      </c>
      <c r="J365" s="72" t="str">
        <f>I365-E365</f>
      </c>
    </row>
  </sheetData>
  <autoFilter ref="A1:J1"/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7.71" hidden="0" customWidth="1"/>
    <col min="4" max="4" width="12.71" hidden="0" customWidth="1"/>
    <col min="5" max="5" width="16.71" hidden="0" customWidth="1"/>
    <col min="6" max="6" width="20.71" hidden="0" customWidth="1"/>
    <col min="7" max="7" width="15.71" hidden="0" customWidth="1"/>
    <col min="8" max="8" width="12.71" hidden="0" customWidth="1"/>
    <col min="9" max="9" width="28.71" hidden="0" customWidth="1"/>
    <col min="10" max="10" width="29.71" hidden="0" customWidth="1"/>
    <col min="11" max="11" width="19.71" hidden="0" customWidth="1"/>
    <col min="12" max="12" width="19.71" hidden="0" customWidth="1"/>
    <col min="13" max="13" width="20.71" hidden="0" customWidth="1"/>
    <col min="14" max="14" width="15.71" hidden="0" customWidth="1"/>
    <col min="15" max="15" width="14.71" hidden="0" customWidth="1"/>
    <col min="16" max="16" width="14.71" hidden="0" customWidth="1"/>
    <col min="17" max="17" width="22.71" hidden="0" customWidth="1"/>
    <col min="18" max="18" width="22.71" hidden="0" customWidth="1"/>
    <col min="19" max="19" width="25.71" hidden="0" customWidth="1"/>
    <col min="20" max="20" width="25.71" hidden="0" customWidth="1"/>
    <col min="21" max="21" width="12.71" hidden="0" customWidth="1"/>
    <col min="22" max="22" width="17.71" hidden="0" customWidth="1"/>
    <col min="23" max="23" width="20.71" hidden="0" customWidth="1"/>
    <col min="24" max="24" width="20.71" hidden="0" customWidth="1"/>
    <col min="25" max="25" width="23.71" hidden="0" customWidth="1"/>
    <col min="26" max="26" width="12.71" hidden="0" customWidth="1"/>
    <col min="27" max="27" width="16.71" hidden="0" customWidth="1"/>
    <col min="28" max="28" width="17.71" hidden="0" customWidth="1"/>
    <col min="29" max="29" width="13.71" hidden="0" customWidth="1"/>
    <col min="30" max="30" width="12.71" hidden="0" customWidth="1"/>
    <col min="31" max="31" width="11.71" hidden="0" customWidth="1"/>
    <col min="32" max="32" width="21.71" hidden="0" customWidth="1"/>
    <col min="33" max="33" width="21.71" hidden="0" customWidth="1"/>
    <col min="34" max="34" width="24.71" hidden="0" customWidth="1"/>
    <col min="35" max="35" width="21.71" hidden="0" customWidth="1"/>
    <col min="36" max="36" width="33.71" hidden="0" customWidth="1"/>
    <col min="37" max="37" width="33.71" hidden="0" customWidth="1"/>
    <col min="38" max="38" width="36.71" hidden="0" customWidth="1"/>
    <col min="39" max="39" width="34.71" hidden="0" customWidth="1"/>
  </cols>
  <sheetData>
    <row r="1" ht="28" customHeight="1">
      <c r="A1" s="1" t="s">
        <v>285</v>
      </c>
      <c r="B1" s="1" t="s">
        <v>42</v>
      </c>
      <c r="C1" s="1" t="s">
        <v>184</v>
      </c>
      <c r="D1" s="1" t="s">
        <v>188</v>
      </c>
      <c r="E1" s="1" t="s">
        <v>243</v>
      </c>
      <c r="F1" s="1" t="s">
        <v>244</v>
      </c>
      <c r="G1" s="1" t="s">
        <v>200</v>
      </c>
      <c r="H1" s="1" t="s">
        <v>201</v>
      </c>
      <c r="I1" s="1" t="s">
        <v>247</v>
      </c>
      <c r="J1" s="1" t="s">
        <v>248</v>
      </c>
      <c r="K1" s="1" t="s">
        <v>298</v>
      </c>
      <c r="L1" s="1" t="s">
        <v>299</v>
      </c>
      <c r="M1" s="1" t="s">
        <v>249</v>
      </c>
      <c r="N1" s="1" t="s">
        <v>253</v>
      </c>
      <c r="O1" s="1" t="s">
        <v>300</v>
      </c>
      <c r="P1" s="1" t="s">
        <v>301</v>
      </c>
      <c r="Q1" s="1" t="s">
        <v>302</v>
      </c>
      <c r="R1" s="1" t="s">
        <v>303</v>
      </c>
      <c r="S1" s="1" t="s">
        <v>304</v>
      </c>
      <c r="T1" s="1" t="s">
        <v>255</v>
      </c>
      <c r="U1" s="1" t="s">
        <v>254</v>
      </c>
      <c r="V1" s="1" t="s">
        <v>305</v>
      </c>
      <c r="W1" s="1" t="s">
        <v>306</v>
      </c>
      <c r="X1" s="1" t="s">
        <v>307</v>
      </c>
      <c r="Y1" s="1" t="s">
        <v>308</v>
      </c>
      <c r="Z1" s="1" t="s">
        <v>257</v>
      </c>
      <c r="AA1" s="1" t="s">
        <v>258</v>
      </c>
      <c r="AB1" s="1" t="s">
        <v>259</v>
      </c>
      <c r="AC1" s="1" t="s">
        <v>250</v>
      </c>
      <c r="AD1" s="1" t="s">
        <v>251</v>
      </c>
      <c r="AE1" s="1" t="s">
        <v>252</v>
      </c>
      <c r="AF1" s="1" t="s">
        <v>309</v>
      </c>
      <c r="AG1" s="1" t="s">
        <v>310</v>
      </c>
      <c r="AH1" s="1" t="s">
        <v>311</v>
      </c>
      <c r="AI1" s="1" t="s">
        <v>312</v>
      </c>
      <c r="AJ1" s="1" t="s">
        <v>313</v>
      </c>
      <c r="AK1" s="1" t="s">
        <v>314</v>
      </c>
      <c r="AL1" s="1" t="s">
        <v>315</v>
      </c>
      <c r="AM1" s="1" t="s">
        <v>316</v>
      </c>
    </row>
    <row r="2">
      <c r="A2" t="s">
        <v>115</v>
      </c>
      <c r="B2" s="73" t="n">
        <v>2025</v>
      </c>
      <c r="C2" t="s">
        <v>206</v>
      </c>
      <c r="D2"/>
      <c r="E2" s="74" t="s">
        <v>270</v>
      </c>
      <c r="F2" s="75" t="s">
        <v>271</v>
      </c>
      <c r="G2" s="76" t="s">
        <v>215</v>
      </c>
      <c r="H2" s="77" t="s">
        <v>216</v>
      </c>
      <c r="I2" s="78" t="s">
        <v>267</v>
      </c>
      <c r="J2" s="79" t="str">
        <f>IFERROR(INDEX('Cost_Components'!$K$2:$K$6,MATCH(E2,'Cost_Components'!$A$2:$A$6,0)),"")</f>
      </c>
      <c r="K2" s="106" t="n">
        <v>0.113766857372906</v>
      </c>
      <c r="L2" s="80" t="str">
        <f>IFERROR(INDEX('Cost_Components'!$S$2:$S$6,MATCH(E2,'Cost_Components'!$A$2:$A$6,0)),"")</f>
      </c>
      <c r="M2" s="81" t="str">
        <f>IFERROR(INDEX('Cost_Components'!$L$2:$L$6,MATCH(E2,'Cost_Components'!$A$2:$A$6,0)),"")</f>
      </c>
      <c r="N2" s="82" t="str">
        <f>IFERROR(INDEX('Cost_Components'!$P$2:$P$6,MATCH(E2,'Cost_Components'!$A$2:$A$6,0)),"")</f>
      </c>
      <c r="O2" s="83" t="str">
        <f>AF2*J2</f>
      </c>
      <c r="P2" s="84" t="str">
        <f>AG2*J2</f>
      </c>
      <c r="Q2" s="85" t="str">
        <f>P2*L2*M2*N2</f>
      </c>
      <c r="R2" s="86" t="str">
        <f>O2*K2*M2*N2</f>
      </c>
      <c r="S2" s="87" t="str">
        <f>R2-Q2</f>
      </c>
      <c r="T2" s="34" t="str">
        <f>IFERROR(INDEX('Cost_Components'!$R$2:$R$6,MATCH(E2,'Cost_Components'!$A$2:$A$6,0)),"")</f>
      </c>
      <c r="U2" s="88" t="str">
        <f>IFERROR(INDEX('Cost_Components'!$Q$2:$Q$6,MATCH(E2,'Cost_Components'!$A$2:$A$6,0)),"")</f>
      </c>
      <c r="V2" s="89" t="str">
        <f>1/(1+'Calculation_Assumptions'!$B$5)^(B2-'Calculation_Assumptions'!$B$2)</f>
      </c>
      <c r="W2" s="90" t="str">
        <f>Q2*V2</f>
      </c>
      <c r="X2" s="91" t="str">
        <f>R2*V2</f>
      </c>
      <c r="Y2" s="92" t="str">
        <f>S2*V2</f>
      </c>
      <c r="Z2" s="93" t="str">
        <f>IFERROR(INDEX('Cost_Components'!$T$2:$T$6,MATCH(E2,'Cost_Components'!$A$2:$A$6,0)),"")</f>
      </c>
      <c r="AA2" s="94" t="str">
        <f>IFERROR(INDEX('Cost_Components'!$U$2:$U$6,MATCH(E2,'Cost_Components'!$A$2:$A$6,0)),"")</f>
      </c>
      <c r="AB2" s="95" t="str">
        <f>IFERROR(INDEX('Cost_Components'!$V$2:$V$6,MATCH(E2,'Cost_Components'!$A$2:$A$6,0)),"")</f>
      </c>
      <c r="AC2" s="96" t="str">
        <f>IFERROR(INDEX('Cost_Components'!$M$2:$M$6,MATCH(E2,'Cost_Components'!$A$2:$A$6,0)),"")</f>
      </c>
      <c r="AD2" s="97" t="str">
        <f>IFERROR(INDEX('Cost_Components'!$N$2:$N$6,MATCH(E2,'Cost_Components'!$A$2:$A$6,0)),"")</f>
      </c>
      <c r="AE2" s="34" t="str">
        <f>IFERROR(INDEX('Cost_Components'!$O$2:$O$6,MATCH(E2,'Cost_Components'!$A$2:$A$6,0)),"")</f>
      </c>
      <c r="AF2" s="98" t="n">
        <v>155093185.780917</v>
      </c>
      <c r="AG2" s="99" t="n">
        <v>155093185.780917</v>
      </c>
      <c r="AH2" s="100" t="str">
        <f>IF(H2="shared-count-once",COUNTIFS($A$2:$A$131,A2,$B$2:$B$131,B2,$E$2:$E$131,E2),1)</f>
      </c>
      <c r="AI2" s="101" t="n">
        <v>288391907.644456</v>
      </c>
      <c r="AJ2" s="102" t="str">
        <f>IF(AI2=0,"",Q2/AI2)</f>
      </c>
      <c r="AK2" s="103" t="str">
        <f>IF(AI2=0,"",R2/AI2)</f>
      </c>
      <c r="AL2" s="104" t="str">
        <f>IF(AI2=0,"",S2/AI2)</f>
      </c>
      <c r="AM2" s="105" t="str">
        <f>IF(AI2=0,"",Y2/AI2)</f>
      </c>
    </row>
    <row r="3">
      <c r="A3" t="s">
        <v>115</v>
      </c>
      <c r="B3" s="73" t="n">
        <v>2026</v>
      </c>
      <c r="C3" t="s">
        <v>206</v>
      </c>
      <c r="D3"/>
      <c r="E3" s="74" t="s">
        <v>270</v>
      </c>
      <c r="F3" s="75" t="s">
        <v>271</v>
      </c>
      <c r="G3" s="76" t="s">
        <v>215</v>
      </c>
      <c r="H3" s="77" t="s">
        <v>216</v>
      </c>
      <c r="I3" s="78" t="s">
        <v>267</v>
      </c>
      <c r="J3" s="79" t="str">
        <f>IFERROR(INDEX('Cost_Components'!$K$2:$K$6,MATCH(E3,'Cost_Components'!$A$2:$A$6,0)),"")</f>
      </c>
      <c r="K3" s="106" t="n">
        <v>0.118313485898325</v>
      </c>
      <c r="L3" s="80" t="str">
        <f>IFERROR(INDEX('Cost_Components'!$S$2:$S$6,MATCH(E3,'Cost_Components'!$A$2:$A$6,0)),"")</f>
      </c>
      <c r="M3" s="81" t="str">
        <f>IFERROR(INDEX('Cost_Components'!$L$2:$L$6,MATCH(E3,'Cost_Components'!$A$2:$A$6,0)),"")</f>
      </c>
      <c r="N3" s="82" t="str">
        <f>IFERROR(INDEX('Cost_Components'!$P$2:$P$6,MATCH(E3,'Cost_Components'!$A$2:$A$6,0)),"")</f>
      </c>
      <c r="O3" s="83" t="str">
        <f>AF3*J3</f>
      </c>
      <c r="P3" s="84" t="str">
        <f>AG3*J3</f>
      </c>
      <c r="Q3" s="85" t="str">
        <f>P3*L3*M3*N3</f>
      </c>
      <c r="R3" s="86" t="str">
        <f>O3*K3*M3*N3</f>
      </c>
      <c r="S3" s="87" t="str">
        <f>R3-Q3</f>
      </c>
      <c r="T3" s="34" t="str">
        <f>IFERROR(INDEX('Cost_Components'!$R$2:$R$6,MATCH(E3,'Cost_Components'!$A$2:$A$6,0)),"")</f>
      </c>
      <c r="U3" s="88" t="str">
        <f>IFERROR(INDEX('Cost_Components'!$Q$2:$Q$6,MATCH(E3,'Cost_Components'!$A$2:$A$6,0)),"")</f>
      </c>
      <c r="V3" s="89" t="str">
        <f>1/(1+'Calculation_Assumptions'!$B$5)^(B3-'Calculation_Assumptions'!$B$2)</f>
      </c>
      <c r="W3" s="90" t="str">
        <f>Q3*V3</f>
      </c>
      <c r="X3" s="91" t="str">
        <f>R3*V3</f>
      </c>
      <c r="Y3" s="92" t="str">
        <f>S3*V3</f>
      </c>
      <c r="Z3" s="93" t="str">
        <f>IFERROR(INDEX('Cost_Components'!$T$2:$T$6,MATCH(E3,'Cost_Components'!$A$2:$A$6,0)),"")</f>
      </c>
      <c r="AA3" s="94" t="str">
        <f>IFERROR(INDEX('Cost_Components'!$U$2:$U$6,MATCH(E3,'Cost_Components'!$A$2:$A$6,0)),"")</f>
      </c>
      <c r="AB3" s="95" t="str">
        <f>IFERROR(INDEX('Cost_Components'!$V$2:$V$6,MATCH(E3,'Cost_Components'!$A$2:$A$6,0)),"")</f>
      </c>
      <c r="AC3" s="96" t="str">
        <f>IFERROR(INDEX('Cost_Components'!$M$2:$M$6,MATCH(E3,'Cost_Components'!$A$2:$A$6,0)),"")</f>
      </c>
      <c r="AD3" s="97" t="str">
        <f>IFERROR(INDEX('Cost_Components'!$N$2:$N$6,MATCH(E3,'Cost_Components'!$A$2:$A$6,0)),"")</f>
      </c>
      <c r="AE3" s="34" t="str">
        <f>IFERROR(INDEX('Cost_Components'!$O$2:$O$6,MATCH(E3,'Cost_Components'!$A$2:$A$6,0)),"")</f>
      </c>
      <c r="AF3" s="98" t="n">
        <v>157503828.425009</v>
      </c>
      <c r="AG3" s="99" t="n">
        <v>157503828.425009</v>
      </c>
      <c r="AH3" s="100" t="str">
        <f>IF(H3="shared-count-once",COUNTIFS($A$2:$A$131,A3,$B$2:$B$131,B3,$E$2:$E$131,E3),1)</f>
      </c>
      <c r="AI3" s="101" t="n">
        <v>290472130.233437</v>
      </c>
      <c r="AJ3" s="102" t="str">
        <f>IF(AI3=0,"",Q3/AI3)</f>
      </c>
      <c r="AK3" s="103" t="str">
        <f>IF(AI3=0,"",R3/AI3)</f>
      </c>
      <c r="AL3" s="104" t="str">
        <f>IF(AI3=0,"",S3/AI3)</f>
      </c>
      <c r="AM3" s="105" t="str">
        <f>IF(AI3=0,"",Y3/AI3)</f>
      </c>
    </row>
    <row r="4">
      <c r="A4" t="s">
        <v>115</v>
      </c>
      <c r="B4" s="73" t="n">
        <v>2027</v>
      </c>
      <c r="C4" t="s">
        <v>206</v>
      </c>
      <c r="D4"/>
      <c r="E4" s="74" t="s">
        <v>270</v>
      </c>
      <c r="F4" s="75" t="s">
        <v>271</v>
      </c>
      <c r="G4" s="76" t="s">
        <v>215</v>
      </c>
      <c r="H4" s="77" t="s">
        <v>216</v>
      </c>
      <c r="I4" s="78" t="s">
        <v>267</v>
      </c>
      <c r="J4" s="79" t="str">
        <f>IFERROR(INDEX('Cost_Components'!$K$2:$K$6,MATCH(E4,'Cost_Components'!$A$2:$A$6,0)),"")</f>
      </c>
      <c r="K4" s="106" t="n">
        <v>0.122860114423744</v>
      </c>
      <c r="L4" s="80" t="str">
        <f>IFERROR(INDEX('Cost_Components'!$S$2:$S$6,MATCH(E4,'Cost_Components'!$A$2:$A$6,0)),"")</f>
      </c>
      <c r="M4" s="81" t="str">
        <f>IFERROR(INDEX('Cost_Components'!$L$2:$L$6,MATCH(E4,'Cost_Components'!$A$2:$A$6,0)),"")</f>
      </c>
      <c r="N4" s="82" t="str">
        <f>IFERROR(INDEX('Cost_Components'!$P$2:$P$6,MATCH(E4,'Cost_Components'!$A$2:$A$6,0)),"")</f>
      </c>
      <c r="O4" s="83" t="str">
        <f>AF4*J4</f>
      </c>
      <c r="P4" s="84" t="str">
        <f>AG4*J4</f>
      </c>
      <c r="Q4" s="85" t="str">
        <f>P4*L4*M4*N4</f>
      </c>
      <c r="R4" s="86" t="str">
        <f>O4*K4*M4*N4</f>
      </c>
      <c r="S4" s="87" t="str">
        <f>R4-Q4</f>
      </c>
      <c r="T4" s="34" t="str">
        <f>IFERROR(INDEX('Cost_Components'!$R$2:$R$6,MATCH(E4,'Cost_Components'!$A$2:$A$6,0)),"")</f>
      </c>
      <c r="U4" s="88" t="str">
        <f>IFERROR(INDEX('Cost_Components'!$Q$2:$Q$6,MATCH(E4,'Cost_Components'!$A$2:$A$6,0)),"")</f>
      </c>
      <c r="V4" s="89" t="str">
        <f>1/(1+'Calculation_Assumptions'!$B$5)^(B4-'Calculation_Assumptions'!$B$2)</f>
      </c>
      <c r="W4" s="90" t="str">
        <f>Q4*V4</f>
      </c>
      <c r="X4" s="91" t="str">
        <f>R4*V4</f>
      </c>
      <c r="Y4" s="92" t="str">
        <f>S4*V4</f>
      </c>
      <c r="Z4" s="93" t="str">
        <f>IFERROR(INDEX('Cost_Components'!$T$2:$T$6,MATCH(E4,'Cost_Components'!$A$2:$A$6,0)),"")</f>
      </c>
      <c r="AA4" s="94" t="str">
        <f>IFERROR(INDEX('Cost_Components'!$U$2:$U$6,MATCH(E4,'Cost_Components'!$A$2:$A$6,0)),"")</f>
      </c>
      <c r="AB4" s="95" t="str">
        <f>IFERROR(INDEX('Cost_Components'!$V$2:$V$6,MATCH(E4,'Cost_Components'!$A$2:$A$6,0)),"")</f>
      </c>
      <c r="AC4" s="96" t="str">
        <f>IFERROR(INDEX('Cost_Components'!$M$2:$M$6,MATCH(E4,'Cost_Components'!$A$2:$A$6,0)),"")</f>
      </c>
      <c r="AD4" s="97" t="str">
        <f>IFERROR(INDEX('Cost_Components'!$N$2:$N$6,MATCH(E4,'Cost_Components'!$A$2:$A$6,0)),"")</f>
      </c>
      <c r="AE4" s="34" t="str">
        <f>IFERROR(INDEX('Cost_Components'!$O$2:$O$6,MATCH(E4,'Cost_Components'!$A$2:$A$6,0)),"")</f>
      </c>
      <c r="AF4" s="98" t="n">
        <v>159934266.566821</v>
      </c>
      <c r="AG4" s="99" t="n">
        <v>159957112.160817</v>
      </c>
      <c r="AH4" s="100" t="str">
        <f>IF(H4="shared-count-once",COUNTIFS($A$2:$A$131,A4,$B$2:$B$131,B4,$E$2:$E$131,E4),1)</f>
      </c>
      <c r="AI4" s="101" t="n">
        <v>292505080.826208</v>
      </c>
      <c r="AJ4" s="102" t="str">
        <f>IF(AI4=0,"",Q4/AI4)</f>
      </c>
      <c r="AK4" s="103" t="str">
        <f>IF(AI4=0,"",R4/AI4)</f>
      </c>
      <c r="AL4" s="104" t="str">
        <f>IF(AI4=0,"",S4/AI4)</f>
      </c>
      <c r="AM4" s="105" t="str">
        <f>IF(AI4=0,"",Y4/AI4)</f>
      </c>
    </row>
    <row r="5">
      <c r="A5" t="s">
        <v>115</v>
      </c>
      <c r="B5" s="73" t="n">
        <v>2028</v>
      </c>
      <c r="C5" t="s">
        <v>206</v>
      </c>
      <c r="D5"/>
      <c r="E5" s="74" t="s">
        <v>270</v>
      </c>
      <c r="F5" s="75" t="s">
        <v>271</v>
      </c>
      <c r="G5" s="76" t="s">
        <v>215</v>
      </c>
      <c r="H5" s="77" t="s">
        <v>216</v>
      </c>
      <c r="I5" s="78" t="s">
        <v>267</v>
      </c>
      <c r="J5" s="79" t="str">
        <f>IFERROR(INDEX('Cost_Components'!$K$2:$K$6,MATCH(E5,'Cost_Components'!$A$2:$A$6,0)),"")</f>
      </c>
      <c r="K5" s="106" t="n">
        <v>0.127406742949162</v>
      </c>
      <c r="L5" s="80" t="str">
        <f>IFERROR(INDEX('Cost_Components'!$S$2:$S$6,MATCH(E5,'Cost_Components'!$A$2:$A$6,0)),"")</f>
      </c>
      <c r="M5" s="81" t="str">
        <f>IFERROR(INDEX('Cost_Components'!$L$2:$L$6,MATCH(E5,'Cost_Components'!$A$2:$A$6,0)),"")</f>
      </c>
      <c r="N5" s="82" t="str">
        <f>IFERROR(INDEX('Cost_Components'!$P$2:$P$6,MATCH(E5,'Cost_Components'!$A$2:$A$6,0)),"")</f>
      </c>
      <c r="O5" s="83" t="str">
        <f>AF5*J5</f>
      </c>
      <c r="P5" s="84" t="str">
        <f>AG5*J5</f>
      </c>
      <c r="Q5" s="85" t="str">
        <f>P5*L5*M5*N5</f>
      </c>
      <c r="R5" s="86" t="str">
        <f>O5*K5*M5*N5</f>
      </c>
      <c r="S5" s="87" t="str">
        <f>R5-Q5</f>
      </c>
      <c r="T5" s="34" t="str">
        <f>IFERROR(INDEX('Cost_Components'!$R$2:$R$6,MATCH(E5,'Cost_Components'!$A$2:$A$6,0)),"")</f>
      </c>
      <c r="U5" s="88" t="str">
        <f>IFERROR(INDEX('Cost_Components'!$Q$2:$Q$6,MATCH(E5,'Cost_Components'!$A$2:$A$6,0)),"")</f>
      </c>
      <c r="V5" s="89" t="str">
        <f>1/(1+'Calculation_Assumptions'!$B$5)^(B5-'Calculation_Assumptions'!$B$2)</f>
      </c>
      <c r="W5" s="90" t="str">
        <f>Q5*V5</f>
      </c>
      <c r="X5" s="91" t="str">
        <f>R5*V5</f>
      </c>
      <c r="Y5" s="92" t="str">
        <f>S5*V5</f>
      </c>
      <c r="Z5" s="93" t="str">
        <f>IFERROR(INDEX('Cost_Components'!$T$2:$T$6,MATCH(E5,'Cost_Components'!$A$2:$A$6,0)),"")</f>
      </c>
      <c r="AA5" s="94" t="str">
        <f>IFERROR(INDEX('Cost_Components'!$U$2:$U$6,MATCH(E5,'Cost_Components'!$A$2:$A$6,0)),"")</f>
      </c>
      <c r="AB5" s="95" t="str">
        <f>IFERROR(INDEX('Cost_Components'!$V$2:$V$6,MATCH(E5,'Cost_Components'!$A$2:$A$6,0)),"")</f>
      </c>
      <c r="AC5" s="96" t="str">
        <f>IFERROR(INDEX('Cost_Components'!$M$2:$M$6,MATCH(E5,'Cost_Components'!$A$2:$A$6,0)),"")</f>
      </c>
      <c r="AD5" s="97" t="str">
        <f>IFERROR(INDEX('Cost_Components'!$N$2:$N$6,MATCH(E5,'Cost_Components'!$A$2:$A$6,0)),"")</f>
      </c>
      <c r="AE5" s="34" t="str">
        <f>IFERROR(INDEX('Cost_Components'!$O$2:$O$6,MATCH(E5,'Cost_Components'!$A$2:$A$6,0)),"")</f>
      </c>
      <c r="AF5" s="98" t="n">
        <v>162204801.417528</v>
      </c>
      <c r="AG5" s="99" t="n">
        <v>162204336.12618</v>
      </c>
      <c r="AH5" s="100" t="str">
        <f>IF(H5="shared-count-once",COUNTIFS($A$2:$A$131,A5,$B$2:$B$131,B5,$E$2:$E$131,E5),1)</f>
      </c>
      <c r="AI5" s="101" t="n">
        <v>294484707.921554</v>
      </c>
      <c r="AJ5" s="102" t="str">
        <f>IF(AI5=0,"",Q5/AI5)</f>
      </c>
      <c r="AK5" s="103" t="str">
        <f>IF(AI5=0,"",R5/AI5)</f>
      </c>
      <c r="AL5" s="104" t="str">
        <f>IF(AI5=0,"",S5/AI5)</f>
      </c>
      <c r="AM5" s="105" t="str">
        <f>IF(AI5=0,"",Y5/AI5)</f>
      </c>
    </row>
    <row r="6">
      <c r="A6" t="s">
        <v>115</v>
      </c>
      <c r="B6" s="73" t="n">
        <v>2029</v>
      </c>
      <c r="C6" t="s">
        <v>206</v>
      </c>
      <c r="D6"/>
      <c r="E6" s="74" t="s">
        <v>270</v>
      </c>
      <c r="F6" s="75" t="s">
        <v>271</v>
      </c>
      <c r="G6" s="76" t="s">
        <v>215</v>
      </c>
      <c r="H6" s="77" t="s">
        <v>216</v>
      </c>
      <c r="I6" s="78" t="s">
        <v>267</v>
      </c>
      <c r="J6" s="79" t="str">
        <f>IFERROR(INDEX('Cost_Components'!$K$2:$K$6,MATCH(E6,'Cost_Components'!$A$2:$A$6,0)),"")</f>
      </c>
      <c r="K6" s="106" t="n">
        <v>0.131953371474581</v>
      </c>
      <c r="L6" s="80" t="str">
        <f>IFERROR(INDEX('Cost_Components'!$S$2:$S$6,MATCH(E6,'Cost_Components'!$A$2:$A$6,0)),"")</f>
      </c>
      <c r="M6" s="81" t="str">
        <f>IFERROR(INDEX('Cost_Components'!$L$2:$L$6,MATCH(E6,'Cost_Components'!$A$2:$A$6,0)),"")</f>
      </c>
      <c r="N6" s="82" t="str">
        <f>IFERROR(INDEX('Cost_Components'!$P$2:$P$6,MATCH(E6,'Cost_Components'!$A$2:$A$6,0)),"")</f>
      </c>
      <c r="O6" s="83" t="str">
        <f>AF6*J6</f>
      </c>
      <c r="P6" s="84" t="str">
        <f>AG6*J6</f>
      </c>
      <c r="Q6" s="85" t="str">
        <f>P6*L6*M6*N6</f>
      </c>
      <c r="R6" s="86" t="str">
        <f>O6*K6*M6*N6</f>
      </c>
      <c r="S6" s="87" t="str">
        <f>R6-Q6</f>
      </c>
      <c r="T6" s="34" t="str">
        <f>IFERROR(INDEX('Cost_Components'!$R$2:$R$6,MATCH(E6,'Cost_Components'!$A$2:$A$6,0)),"")</f>
      </c>
      <c r="U6" s="88" t="str">
        <f>IFERROR(INDEX('Cost_Components'!$Q$2:$Q$6,MATCH(E6,'Cost_Components'!$A$2:$A$6,0)),"")</f>
      </c>
      <c r="V6" s="89" t="str">
        <f>1/(1+'Calculation_Assumptions'!$B$5)^(B6-'Calculation_Assumptions'!$B$2)</f>
      </c>
      <c r="W6" s="90" t="str">
        <f>Q6*V6</f>
      </c>
      <c r="X6" s="91" t="str">
        <f>R6*V6</f>
      </c>
      <c r="Y6" s="92" t="str">
        <f>S6*V6</f>
      </c>
      <c r="Z6" s="93" t="str">
        <f>IFERROR(INDEX('Cost_Components'!$T$2:$T$6,MATCH(E6,'Cost_Components'!$A$2:$A$6,0)),"")</f>
      </c>
      <c r="AA6" s="94" t="str">
        <f>IFERROR(INDEX('Cost_Components'!$U$2:$U$6,MATCH(E6,'Cost_Components'!$A$2:$A$6,0)),"")</f>
      </c>
      <c r="AB6" s="95" t="str">
        <f>IFERROR(INDEX('Cost_Components'!$V$2:$V$6,MATCH(E6,'Cost_Components'!$A$2:$A$6,0)),"")</f>
      </c>
      <c r="AC6" s="96" t="str">
        <f>IFERROR(INDEX('Cost_Components'!$M$2:$M$6,MATCH(E6,'Cost_Components'!$A$2:$A$6,0)),"")</f>
      </c>
      <c r="AD6" s="97" t="str">
        <f>IFERROR(INDEX('Cost_Components'!$N$2:$N$6,MATCH(E6,'Cost_Components'!$A$2:$A$6,0)),"")</f>
      </c>
      <c r="AE6" s="34" t="str">
        <f>IFERROR(INDEX('Cost_Components'!$O$2:$O$6,MATCH(E6,'Cost_Components'!$A$2:$A$6,0)),"")</f>
      </c>
      <c r="AF6" s="98" t="n">
        <v>164337680.327842</v>
      </c>
      <c r="AG6" s="99" t="n">
        <v>164354507.169368</v>
      </c>
      <c r="AH6" s="100" t="str">
        <f>IF(H6="shared-count-once",COUNTIFS($A$2:$A$131,A6,$B$2:$B$131,B6,$E$2:$E$131,E6),1)</f>
      </c>
      <c r="AI6" s="101" t="n">
        <v>296414030.31143</v>
      </c>
      <c r="AJ6" s="102" t="str">
        <f>IF(AI6=0,"",Q6/AI6)</f>
      </c>
      <c r="AK6" s="103" t="str">
        <f>IF(AI6=0,"",R6/AI6)</f>
      </c>
      <c r="AL6" s="104" t="str">
        <f>IF(AI6=0,"",S6/AI6)</f>
      </c>
      <c r="AM6" s="105" t="str">
        <f>IF(AI6=0,"",Y6/AI6)</f>
      </c>
    </row>
    <row r="7">
      <c r="A7" t="s">
        <v>115</v>
      </c>
      <c r="B7" s="73" t="n">
        <v>2030</v>
      </c>
      <c r="C7" t="s">
        <v>206</v>
      </c>
      <c r="D7"/>
      <c r="E7" s="74" t="s">
        <v>270</v>
      </c>
      <c r="F7" s="75" t="s">
        <v>271</v>
      </c>
      <c r="G7" s="76" t="s">
        <v>215</v>
      </c>
      <c r="H7" s="77" t="s">
        <v>216</v>
      </c>
      <c r="I7" s="78" t="s">
        <v>267</v>
      </c>
      <c r="J7" s="79" t="str">
        <f>IFERROR(INDEX('Cost_Components'!$K$2:$K$6,MATCH(E7,'Cost_Components'!$A$2:$A$6,0)),"")</f>
      </c>
      <c r="K7" s="106" t="n">
        <v>0.1365</v>
      </c>
      <c r="L7" s="80" t="str">
        <f>IFERROR(INDEX('Cost_Components'!$S$2:$S$6,MATCH(E7,'Cost_Components'!$A$2:$A$6,0)),"")</f>
      </c>
      <c r="M7" s="81" t="str">
        <f>IFERROR(INDEX('Cost_Components'!$L$2:$L$6,MATCH(E7,'Cost_Components'!$A$2:$A$6,0)),"")</f>
      </c>
      <c r="N7" s="82" t="str">
        <f>IFERROR(INDEX('Cost_Components'!$P$2:$P$6,MATCH(E7,'Cost_Components'!$A$2:$A$6,0)),"")</f>
      </c>
      <c r="O7" s="83" t="str">
        <f>AF7*J7</f>
      </c>
      <c r="P7" s="84" t="str">
        <f>AG7*J7</f>
      </c>
      <c r="Q7" s="85" t="str">
        <f>P7*L7*M7*N7</f>
      </c>
      <c r="R7" s="86" t="str">
        <f>O7*K7*M7*N7</f>
      </c>
      <c r="S7" s="87" t="str">
        <f>R7-Q7</f>
      </c>
      <c r="T7" s="34" t="str">
        <f>IFERROR(INDEX('Cost_Components'!$R$2:$R$6,MATCH(E7,'Cost_Components'!$A$2:$A$6,0)),"")</f>
      </c>
      <c r="U7" s="88" t="str">
        <f>IFERROR(INDEX('Cost_Components'!$Q$2:$Q$6,MATCH(E7,'Cost_Components'!$A$2:$A$6,0)),"")</f>
      </c>
      <c r="V7" s="89" t="str">
        <f>1/(1+'Calculation_Assumptions'!$B$5)^(B7-'Calculation_Assumptions'!$B$2)</f>
      </c>
      <c r="W7" s="90" t="str">
        <f>Q7*V7</f>
      </c>
      <c r="X7" s="91" t="str">
        <f>R7*V7</f>
      </c>
      <c r="Y7" s="92" t="str">
        <f>S7*V7</f>
      </c>
      <c r="Z7" s="93" t="str">
        <f>IFERROR(INDEX('Cost_Components'!$T$2:$T$6,MATCH(E7,'Cost_Components'!$A$2:$A$6,0)),"")</f>
      </c>
      <c r="AA7" s="94" t="str">
        <f>IFERROR(INDEX('Cost_Components'!$U$2:$U$6,MATCH(E7,'Cost_Components'!$A$2:$A$6,0)),"")</f>
      </c>
      <c r="AB7" s="95" t="str">
        <f>IFERROR(INDEX('Cost_Components'!$V$2:$V$6,MATCH(E7,'Cost_Components'!$A$2:$A$6,0)),"")</f>
      </c>
      <c r="AC7" s="96" t="str">
        <f>IFERROR(INDEX('Cost_Components'!$M$2:$M$6,MATCH(E7,'Cost_Components'!$A$2:$A$6,0)),"")</f>
      </c>
      <c r="AD7" s="97" t="str">
        <f>IFERROR(INDEX('Cost_Components'!$N$2:$N$6,MATCH(E7,'Cost_Components'!$A$2:$A$6,0)),"")</f>
      </c>
      <c r="AE7" s="34" t="str">
        <f>IFERROR(INDEX('Cost_Components'!$O$2:$O$6,MATCH(E7,'Cost_Components'!$A$2:$A$6,0)),"")</f>
      </c>
      <c r="AF7" s="98" t="n">
        <v>166436073.277532</v>
      </c>
      <c r="AG7" s="99" t="n">
        <v>166415552.282846</v>
      </c>
      <c r="AH7" s="100" t="str">
        <f>IF(H7="shared-count-once",COUNTIFS($A$2:$A$131,A7,$B$2:$B$131,B7,$E$2:$E$131,E7),1)</f>
      </c>
      <c r="AI7" s="101" t="n">
        <v>298289404.664994</v>
      </c>
      <c r="AJ7" s="102" t="str">
        <f>IF(AI7=0,"",Q7/AI7)</f>
      </c>
      <c r="AK7" s="103" t="str">
        <f>IF(AI7=0,"",R7/AI7)</f>
      </c>
      <c r="AL7" s="104" t="str">
        <f>IF(AI7=0,"",S7/AI7)</f>
      </c>
      <c r="AM7" s="105" t="str">
        <f>IF(AI7=0,"",Y7/AI7)</f>
      </c>
    </row>
    <row r="8">
      <c r="A8" t="s">
        <v>115</v>
      </c>
      <c r="B8" s="73" t="n">
        <v>2031</v>
      </c>
      <c r="C8" t="s">
        <v>206</v>
      </c>
      <c r="D8"/>
      <c r="E8" s="74" t="s">
        <v>270</v>
      </c>
      <c r="F8" s="75" t="s">
        <v>271</v>
      </c>
      <c r="G8" s="76" t="s">
        <v>215</v>
      </c>
      <c r="H8" s="77" t="s">
        <v>216</v>
      </c>
      <c r="I8" s="78" t="s">
        <v>267</v>
      </c>
      <c r="J8" s="79" t="str">
        <f>IFERROR(INDEX('Cost_Components'!$K$2:$K$6,MATCH(E8,'Cost_Components'!$A$2:$A$6,0)),"")</f>
      </c>
      <c r="K8" s="106" t="n">
        <v>0.1645</v>
      </c>
      <c r="L8" s="80" t="str">
        <f>IFERROR(INDEX('Cost_Components'!$S$2:$S$6,MATCH(E8,'Cost_Components'!$A$2:$A$6,0)),"")</f>
      </c>
      <c r="M8" s="81" t="str">
        <f>IFERROR(INDEX('Cost_Components'!$L$2:$L$6,MATCH(E8,'Cost_Components'!$A$2:$A$6,0)),"")</f>
      </c>
      <c r="N8" s="82" t="str">
        <f>IFERROR(INDEX('Cost_Components'!$P$2:$P$6,MATCH(E8,'Cost_Components'!$A$2:$A$6,0)),"")</f>
      </c>
      <c r="O8" s="83" t="str">
        <f>AF8*J8</f>
      </c>
      <c r="P8" s="84" t="str">
        <f>AG8*J8</f>
      </c>
      <c r="Q8" s="85" t="str">
        <f>P8*L8*M8*N8</f>
      </c>
      <c r="R8" s="86" t="str">
        <f>O8*K8*M8*N8</f>
      </c>
      <c r="S8" s="87" t="str">
        <f>R8-Q8</f>
      </c>
      <c r="T8" s="34" t="str">
        <f>IFERROR(INDEX('Cost_Components'!$R$2:$R$6,MATCH(E8,'Cost_Components'!$A$2:$A$6,0)),"")</f>
      </c>
      <c r="U8" s="88" t="str">
        <f>IFERROR(INDEX('Cost_Components'!$Q$2:$Q$6,MATCH(E8,'Cost_Components'!$A$2:$A$6,0)),"")</f>
      </c>
      <c r="V8" s="89" t="str">
        <f>1/(1+'Calculation_Assumptions'!$B$5)^(B8-'Calculation_Assumptions'!$B$2)</f>
      </c>
      <c r="W8" s="90" t="str">
        <f>Q8*V8</f>
      </c>
      <c r="X8" s="91" t="str">
        <f>R8*V8</f>
      </c>
      <c r="Y8" s="92" t="str">
        <f>S8*V8</f>
      </c>
      <c r="Z8" s="93" t="str">
        <f>IFERROR(INDEX('Cost_Components'!$T$2:$T$6,MATCH(E8,'Cost_Components'!$A$2:$A$6,0)),"")</f>
      </c>
      <c r="AA8" s="94" t="str">
        <f>IFERROR(INDEX('Cost_Components'!$U$2:$U$6,MATCH(E8,'Cost_Components'!$A$2:$A$6,0)),"")</f>
      </c>
      <c r="AB8" s="95" t="str">
        <f>IFERROR(INDEX('Cost_Components'!$V$2:$V$6,MATCH(E8,'Cost_Components'!$A$2:$A$6,0)),"")</f>
      </c>
      <c r="AC8" s="96" t="str">
        <f>IFERROR(INDEX('Cost_Components'!$M$2:$M$6,MATCH(E8,'Cost_Components'!$A$2:$A$6,0)),"")</f>
      </c>
      <c r="AD8" s="97" t="str">
        <f>IFERROR(INDEX('Cost_Components'!$N$2:$N$6,MATCH(E8,'Cost_Components'!$A$2:$A$6,0)),"")</f>
      </c>
      <c r="AE8" s="34" t="str">
        <f>IFERROR(INDEX('Cost_Components'!$O$2:$O$6,MATCH(E8,'Cost_Components'!$A$2:$A$6,0)),"")</f>
      </c>
      <c r="AF8" s="98" t="n">
        <v>168483815.745517</v>
      </c>
      <c r="AG8" s="99" t="n">
        <v>168461285.903885</v>
      </c>
      <c r="AH8" s="100" t="str">
        <f>IF(H8="shared-count-once",COUNTIFS($A$2:$A$131,A8,$B$2:$B$131,B8,$E$2:$E$131,E8),1)</f>
      </c>
      <c r="AI8" s="101" t="n">
        <v>300119636.925519</v>
      </c>
      <c r="AJ8" s="102" t="str">
        <f>IF(AI8=0,"",Q8/AI8)</f>
      </c>
      <c r="AK8" s="103" t="str">
        <f>IF(AI8=0,"",R8/AI8)</f>
      </c>
      <c r="AL8" s="104" t="str">
        <f>IF(AI8=0,"",S8/AI8)</f>
      </c>
      <c r="AM8" s="105" t="str">
        <f>IF(AI8=0,"",Y8/AI8)</f>
      </c>
    </row>
    <row r="9">
      <c r="A9" t="s">
        <v>115</v>
      </c>
      <c r="B9" s="73" t="n">
        <v>2032</v>
      </c>
      <c r="C9" t="s">
        <v>206</v>
      </c>
      <c r="D9"/>
      <c r="E9" s="74" t="s">
        <v>270</v>
      </c>
      <c r="F9" s="75" t="s">
        <v>271</v>
      </c>
      <c r="G9" s="76" t="s">
        <v>215</v>
      </c>
      <c r="H9" s="77" t="s">
        <v>216</v>
      </c>
      <c r="I9" s="78" t="s">
        <v>267</v>
      </c>
      <c r="J9" s="79" t="str">
        <f>IFERROR(INDEX('Cost_Components'!$K$2:$K$6,MATCH(E9,'Cost_Components'!$A$2:$A$6,0)),"")</f>
      </c>
      <c r="K9" s="106" t="n">
        <v>0.1925</v>
      </c>
      <c r="L9" s="80" t="str">
        <f>IFERROR(INDEX('Cost_Components'!$S$2:$S$6,MATCH(E9,'Cost_Components'!$A$2:$A$6,0)),"")</f>
      </c>
      <c r="M9" s="81" t="str">
        <f>IFERROR(INDEX('Cost_Components'!$L$2:$L$6,MATCH(E9,'Cost_Components'!$A$2:$A$6,0)),"")</f>
      </c>
      <c r="N9" s="82" t="str">
        <f>IFERROR(INDEX('Cost_Components'!$P$2:$P$6,MATCH(E9,'Cost_Components'!$A$2:$A$6,0)),"")</f>
      </c>
      <c r="O9" s="83" t="str">
        <f>AF9*J9</f>
      </c>
      <c r="P9" s="84" t="str">
        <f>AG9*J9</f>
      </c>
      <c r="Q9" s="85" t="str">
        <f>P9*L9*M9*N9</f>
      </c>
      <c r="R9" s="86" t="str">
        <f>O9*K9*M9*N9</f>
      </c>
      <c r="S9" s="87" t="str">
        <f>R9-Q9</f>
      </c>
      <c r="T9" s="34" t="str">
        <f>IFERROR(INDEX('Cost_Components'!$R$2:$R$6,MATCH(E9,'Cost_Components'!$A$2:$A$6,0)),"")</f>
      </c>
      <c r="U9" s="88" t="str">
        <f>IFERROR(INDEX('Cost_Components'!$Q$2:$Q$6,MATCH(E9,'Cost_Components'!$A$2:$A$6,0)),"")</f>
      </c>
      <c r="V9" s="89" t="str">
        <f>1/(1+'Calculation_Assumptions'!$B$5)^(B9-'Calculation_Assumptions'!$B$2)</f>
      </c>
      <c r="W9" s="90" t="str">
        <f>Q9*V9</f>
      </c>
      <c r="X9" s="91" t="str">
        <f>R9*V9</f>
      </c>
      <c r="Y9" s="92" t="str">
        <f>S9*V9</f>
      </c>
      <c r="Z9" s="93" t="str">
        <f>IFERROR(INDEX('Cost_Components'!$T$2:$T$6,MATCH(E9,'Cost_Components'!$A$2:$A$6,0)),"")</f>
      </c>
      <c r="AA9" s="94" t="str">
        <f>IFERROR(INDEX('Cost_Components'!$U$2:$U$6,MATCH(E9,'Cost_Components'!$A$2:$A$6,0)),"")</f>
      </c>
      <c r="AB9" s="95" t="str">
        <f>IFERROR(INDEX('Cost_Components'!$V$2:$V$6,MATCH(E9,'Cost_Components'!$A$2:$A$6,0)),"")</f>
      </c>
      <c r="AC9" s="96" t="str">
        <f>IFERROR(INDEX('Cost_Components'!$M$2:$M$6,MATCH(E9,'Cost_Components'!$A$2:$A$6,0)),"")</f>
      </c>
      <c r="AD9" s="97" t="str">
        <f>IFERROR(INDEX('Cost_Components'!$N$2:$N$6,MATCH(E9,'Cost_Components'!$A$2:$A$6,0)),"")</f>
      </c>
      <c r="AE9" s="34" t="str">
        <f>IFERROR(INDEX('Cost_Components'!$O$2:$O$6,MATCH(E9,'Cost_Components'!$A$2:$A$6,0)),"")</f>
      </c>
      <c r="AF9" s="98" t="n">
        <v>170503898.910831</v>
      </c>
      <c r="AG9" s="99" t="n">
        <v>170476615.351264</v>
      </c>
      <c r="AH9" s="100" t="str">
        <f>IF(H9="shared-count-once",COUNTIFS($A$2:$A$131,A9,$B$2:$B$131,B9,$E$2:$E$131,E9),1)</f>
      </c>
      <c r="AI9" s="101" t="n">
        <v>301904628.083541</v>
      </c>
      <c r="AJ9" s="102" t="str">
        <f>IF(AI9=0,"",Q9/AI9)</f>
      </c>
      <c r="AK9" s="103" t="str">
        <f>IF(AI9=0,"",R9/AI9)</f>
      </c>
      <c r="AL9" s="104" t="str">
        <f>IF(AI9=0,"",S9/AI9)</f>
      </c>
      <c r="AM9" s="105" t="str">
        <f>IF(AI9=0,"",Y9/AI9)</f>
      </c>
    </row>
    <row r="10">
      <c r="A10" t="s">
        <v>115</v>
      </c>
      <c r="B10" s="73" t="n">
        <v>2033</v>
      </c>
      <c r="C10" t="s">
        <v>206</v>
      </c>
      <c r="D10"/>
      <c r="E10" s="74" t="s">
        <v>270</v>
      </c>
      <c r="F10" s="75" t="s">
        <v>271</v>
      </c>
      <c r="G10" s="76" t="s">
        <v>215</v>
      </c>
      <c r="H10" s="77" t="s">
        <v>216</v>
      </c>
      <c r="I10" s="78" t="s">
        <v>267</v>
      </c>
      <c r="J10" s="79" t="str">
        <f>IFERROR(INDEX('Cost_Components'!$K$2:$K$6,MATCH(E10,'Cost_Components'!$A$2:$A$6,0)),"")</f>
      </c>
      <c r="K10" s="106" t="n">
        <v>0.2205</v>
      </c>
      <c r="L10" s="80" t="str">
        <f>IFERROR(INDEX('Cost_Components'!$S$2:$S$6,MATCH(E10,'Cost_Components'!$A$2:$A$6,0)),"")</f>
      </c>
      <c r="M10" s="81" t="str">
        <f>IFERROR(INDEX('Cost_Components'!$L$2:$L$6,MATCH(E10,'Cost_Components'!$A$2:$A$6,0)),"")</f>
      </c>
      <c r="N10" s="82" t="str">
        <f>IFERROR(INDEX('Cost_Components'!$P$2:$P$6,MATCH(E10,'Cost_Components'!$A$2:$A$6,0)),"")</f>
      </c>
      <c r="O10" s="83" t="str">
        <f>AF10*J10</f>
      </c>
      <c r="P10" s="84" t="str">
        <f>AG10*J10</f>
      </c>
      <c r="Q10" s="85" t="str">
        <f>P10*L10*M10*N10</f>
      </c>
      <c r="R10" s="86" t="str">
        <f>O10*K10*M10*N10</f>
      </c>
      <c r="S10" s="87" t="str">
        <f>R10-Q10</f>
      </c>
      <c r="T10" s="34" t="str">
        <f>IFERROR(INDEX('Cost_Components'!$R$2:$R$6,MATCH(E10,'Cost_Components'!$A$2:$A$6,0)),"")</f>
      </c>
      <c r="U10" s="88" t="str">
        <f>IFERROR(INDEX('Cost_Components'!$Q$2:$Q$6,MATCH(E10,'Cost_Components'!$A$2:$A$6,0)),"")</f>
      </c>
      <c r="V10" s="89" t="str">
        <f>1/(1+'Calculation_Assumptions'!$B$5)^(B10-'Calculation_Assumptions'!$B$2)</f>
      </c>
      <c r="W10" s="90" t="str">
        <f>Q10*V10</f>
      </c>
      <c r="X10" s="91" t="str">
        <f>R10*V10</f>
      </c>
      <c r="Y10" s="92" t="str">
        <f>S10*V10</f>
      </c>
      <c r="Z10" s="93" t="str">
        <f>IFERROR(INDEX('Cost_Components'!$T$2:$T$6,MATCH(E10,'Cost_Components'!$A$2:$A$6,0)),"")</f>
      </c>
      <c r="AA10" s="94" t="str">
        <f>IFERROR(INDEX('Cost_Components'!$U$2:$U$6,MATCH(E10,'Cost_Components'!$A$2:$A$6,0)),"")</f>
      </c>
      <c r="AB10" s="95" t="str">
        <f>IFERROR(INDEX('Cost_Components'!$V$2:$V$6,MATCH(E10,'Cost_Components'!$A$2:$A$6,0)),"")</f>
      </c>
      <c r="AC10" s="96" t="str">
        <f>IFERROR(INDEX('Cost_Components'!$M$2:$M$6,MATCH(E10,'Cost_Components'!$A$2:$A$6,0)),"")</f>
      </c>
      <c r="AD10" s="97" t="str">
        <f>IFERROR(INDEX('Cost_Components'!$N$2:$N$6,MATCH(E10,'Cost_Components'!$A$2:$A$6,0)),"")</f>
      </c>
      <c r="AE10" s="34" t="str">
        <f>IFERROR(INDEX('Cost_Components'!$O$2:$O$6,MATCH(E10,'Cost_Components'!$A$2:$A$6,0)),"")</f>
      </c>
      <c r="AF10" s="98" t="n">
        <v>172498677.234076</v>
      </c>
      <c r="AG10" s="99" t="n">
        <v>172461509.841257</v>
      </c>
      <c r="AH10" s="100" t="str">
        <f>IF(H10="shared-count-once",COUNTIFS($A$2:$A$131,A10,$B$2:$B$131,B10,$E$2:$E$131,E10),1)</f>
      </c>
      <c r="AI10" s="101" t="n">
        <v>303644277.16916</v>
      </c>
      <c r="AJ10" s="102" t="str">
        <f>IF(AI10=0,"",Q10/AI10)</f>
      </c>
      <c r="AK10" s="103" t="str">
        <f>IF(AI10=0,"",R10/AI10)</f>
      </c>
      <c r="AL10" s="104" t="str">
        <f>IF(AI10=0,"",S10/AI10)</f>
      </c>
      <c r="AM10" s="105" t="str">
        <f>IF(AI10=0,"",Y10/AI10)</f>
      </c>
    </row>
    <row r="11">
      <c r="A11" t="s">
        <v>115</v>
      </c>
      <c r="B11" s="73" t="n">
        <v>2034</v>
      </c>
      <c r="C11" t="s">
        <v>206</v>
      </c>
      <c r="D11"/>
      <c r="E11" s="74" t="s">
        <v>270</v>
      </c>
      <c r="F11" s="75" t="s">
        <v>271</v>
      </c>
      <c r="G11" s="76" t="s">
        <v>215</v>
      </c>
      <c r="H11" s="77" t="s">
        <v>216</v>
      </c>
      <c r="I11" s="78" t="s">
        <v>267</v>
      </c>
      <c r="J11" s="79" t="str">
        <f>IFERROR(INDEX('Cost_Components'!$K$2:$K$6,MATCH(E11,'Cost_Components'!$A$2:$A$6,0)),"")</f>
      </c>
      <c r="K11" s="106" t="n">
        <v>0.2485</v>
      </c>
      <c r="L11" s="80" t="str">
        <f>IFERROR(INDEX('Cost_Components'!$S$2:$S$6,MATCH(E11,'Cost_Components'!$A$2:$A$6,0)),"")</f>
      </c>
      <c r="M11" s="81" t="str">
        <f>IFERROR(INDEX('Cost_Components'!$L$2:$L$6,MATCH(E11,'Cost_Components'!$A$2:$A$6,0)),"")</f>
      </c>
      <c r="N11" s="82" t="str">
        <f>IFERROR(INDEX('Cost_Components'!$P$2:$P$6,MATCH(E11,'Cost_Components'!$A$2:$A$6,0)),"")</f>
      </c>
      <c r="O11" s="83" t="str">
        <f>AF11*J11</f>
      </c>
      <c r="P11" s="84" t="str">
        <f>AG11*J11</f>
      </c>
      <c r="Q11" s="85" t="str">
        <f>P11*L11*M11*N11</f>
      </c>
      <c r="R11" s="86" t="str">
        <f>O11*K11*M11*N11</f>
      </c>
      <c r="S11" s="87" t="str">
        <f>R11-Q11</f>
      </c>
      <c r="T11" s="34" t="str">
        <f>IFERROR(INDEX('Cost_Components'!$R$2:$R$6,MATCH(E11,'Cost_Components'!$A$2:$A$6,0)),"")</f>
      </c>
      <c r="U11" s="88" t="str">
        <f>IFERROR(INDEX('Cost_Components'!$Q$2:$Q$6,MATCH(E11,'Cost_Components'!$A$2:$A$6,0)),"")</f>
      </c>
      <c r="V11" s="89" t="str">
        <f>1/(1+'Calculation_Assumptions'!$B$5)^(B11-'Calculation_Assumptions'!$B$2)</f>
      </c>
      <c r="W11" s="90" t="str">
        <f>Q11*V11</f>
      </c>
      <c r="X11" s="91" t="str">
        <f>R11*V11</f>
      </c>
      <c r="Y11" s="92" t="str">
        <f>S11*V11</f>
      </c>
      <c r="Z11" s="93" t="str">
        <f>IFERROR(INDEX('Cost_Components'!$T$2:$T$6,MATCH(E11,'Cost_Components'!$A$2:$A$6,0)),"")</f>
      </c>
      <c r="AA11" s="94" t="str">
        <f>IFERROR(INDEX('Cost_Components'!$U$2:$U$6,MATCH(E11,'Cost_Components'!$A$2:$A$6,0)),"")</f>
      </c>
      <c r="AB11" s="95" t="str">
        <f>IFERROR(INDEX('Cost_Components'!$V$2:$V$6,MATCH(E11,'Cost_Components'!$A$2:$A$6,0)),"")</f>
      </c>
      <c r="AC11" s="96" t="str">
        <f>IFERROR(INDEX('Cost_Components'!$M$2:$M$6,MATCH(E11,'Cost_Components'!$A$2:$A$6,0)),"")</f>
      </c>
      <c r="AD11" s="97" t="str">
        <f>IFERROR(INDEX('Cost_Components'!$N$2:$N$6,MATCH(E11,'Cost_Components'!$A$2:$A$6,0)),"")</f>
      </c>
      <c r="AE11" s="34" t="str">
        <f>IFERROR(INDEX('Cost_Components'!$O$2:$O$6,MATCH(E11,'Cost_Components'!$A$2:$A$6,0)),"")</f>
      </c>
      <c r="AF11" s="98" t="n">
        <v>174514289.054823</v>
      </c>
      <c r="AG11" s="99" t="n">
        <v>174461686.278167</v>
      </c>
      <c r="AH11" s="100" t="str">
        <f>IF(H11="shared-count-once",COUNTIFS($A$2:$A$131,A11,$B$2:$B$131,B11,$E$2:$E$131,E11),1)</f>
      </c>
      <c r="AI11" s="101" t="n">
        <v>305332541.184984</v>
      </c>
      <c r="AJ11" s="102" t="str">
        <f>IF(AI11=0,"",Q11/AI11)</f>
      </c>
      <c r="AK11" s="103" t="str">
        <f>IF(AI11=0,"",R11/AI11)</f>
      </c>
      <c r="AL11" s="104" t="str">
        <f>IF(AI11=0,"",S11/AI11)</f>
      </c>
      <c r="AM11" s="105" t="str">
        <f>IF(AI11=0,"",Y11/AI11)</f>
      </c>
    </row>
    <row r="12">
      <c r="A12" t="s">
        <v>115</v>
      </c>
      <c r="B12" s="73" t="n">
        <v>2035</v>
      </c>
      <c r="C12" t="s">
        <v>206</v>
      </c>
      <c r="D12"/>
      <c r="E12" s="74" t="s">
        <v>270</v>
      </c>
      <c r="F12" s="75" t="s">
        <v>271</v>
      </c>
      <c r="G12" s="76" t="s">
        <v>215</v>
      </c>
      <c r="H12" s="77" t="s">
        <v>216</v>
      </c>
      <c r="I12" s="78" t="s">
        <v>267</v>
      </c>
      <c r="J12" s="79" t="str">
        <f>IFERROR(INDEX('Cost_Components'!$K$2:$K$6,MATCH(E12,'Cost_Components'!$A$2:$A$6,0)),"")</f>
      </c>
      <c r="K12" s="106" t="n">
        <v>0.2765</v>
      </c>
      <c r="L12" s="80" t="str">
        <f>IFERROR(INDEX('Cost_Components'!$S$2:$S$6,MATCH(E12,'Cost_Components'!$A$2:$A$6,0)),"")</f>
      </c>
      <c r="M12" s="81" t="str">
        <f>IFERROR(INDEX('Cost_Components'!$L$2:$L$6,MATCH(E12,'Cost_Components'!$A$2:$A$6,0)),"")</f>
      </c>
      <c r="N12" s="82" t="str">
        <f>IFERROR(INDEX('Cost_Components'!$P$2:$P$6,MATCH(E12,'Cost_Components'!$A$2:$A$6,0)),"")</f>
      </c>
      <c r="O12" s="83" t="str">
        <f>AF12*J12</f>
      </c>
      <c r="P12" s="84" t="str">
        <f>AG12*J12</f>
      </c>
      <c r="Q12" s="85" t="str">
        <f>P12*L12*M12*N12</f>
      </c>
      <c r="R12" s="86" t="str">
        <f>O12*K12*M12*N12</f>
      </c>
      <c r="S12" s="87" t="str">
        <f>R12-Q12</f>
      </c>
      <c r="T12" s="34" t="str">
        <f>IFERROR(INDEX('Cost_Components'!$R$2:$R$6,MATCH(E12,'Cost_Components'!$A$2:$A$6,0)),"")</f>
      </c>
      <c r="U12" s="88" t="str">
        <f>IFERROR(INDEX('Cost_Components'!$Q$2:$Q$6,MATCH(E12,'Cost_Components'!$A$2:$A$6,0)),"")</f>
      </c>
      <c r="V12" s="89" t="str">
        <f>1/(1+'Calculation_Assumptions'!$B$5)^(B12-'Calculation_Assumptions'!$B$2)</f>
      </c>
      <c r="W12" s="90" t="str">
        <f>Q12*V12</f>
      </c>
      <c r="X12" s="91" t="str">
        <f>R12*V12</f>
      </c>
      <c r="Y12" s="92" t="str">
        <f>S12*V12</f>
      </c>
      <c r="Z12" s="93" t="str">
        <f>IFERROR(INDEX('Cost_Components'!$T$2:$T$6,MATCH(E12,'Cost_Components'!$A$2:$A$6,0)),"")</f>
      </c>
      <c r="AA12" s="94" t="str">
        <f>IFERROR(INDEX('Cost_Components'!$U$2:$U$6,MATCH(E12,'Cost_Components'!$A$2:$A$6,0)),"")</f>
      </c>
      <c r="AB12" s="95" t="str">
        <f>IFERROR(INDEX('Cost_Components'!$V$2:$V$6,MATCH(E12,'Cost_Components'!$A$2:$A$6,0)),"")</f>
      </c>
      <c r="AC12" s="96" t="str">
        <f>IFERROR(INDEX('Cost_Components'!$M$2:$M$6,MATCH(E12,'Cost_Components'!$A$2:$A$6,0)),"")</f>
      </c>
      <c r="AD12" s="97" t="str">
        <f>IFERROR(INDEX('Cost_Components'!$N$2:$N$6,MATCH(E12,'Cost_Components'!$A$2:$A$6,0)),"")</f>
      </c>
      <c r="AE12" s="34" t="str">
        <f>IFERROR(INDEX('Cost_Components'!$O$2:$O$6,MATCH(E12,'Cost_Components'!$A$2:$A$6,0)),"")</f>
      </c>
      <c r="AF12" s="98" t="n">
        <v>176597129.709171</v>
      </c>
      <c r="AG12" s="99" t="n">
        <v>176538766.30208</v>
      </c>
      <c r="AH12" s="100" t="str">
        <f>IF(H12="shared-count-once",COUNTIFS($A$2:$A$131,A12,$B$2:$B$131,B12,$E$2:$E$131,E12),1)</f>
      </c>
      <c r="AI12" s="101" t="n">
        <v>306964650.16712</v>
      </c>
      <c r="AJ12" s="102" t="str">
        <f>IF(AI12=0,"",Q12/AI12)</f>
      </c>
      <c r="AK12" s="103" t="str">
        <f>IF(AI12=0,"",R12/AI12)</f>
      </c>
      <c r="AL12" s="104" t="str">
        <f>IF(AI12=0,"",S12/AI12)</f>
      </c>
      <c r="AM12" s="105" t="str">
        <f>IF(AI12=0,"",Y12/AI12)</f>
      </c>
    </row>
    <row r="13">
      <c r="A13" t="s">
        <v>115</v>
      </c>
      <c r="B13" s="73" t="n">
        <v>2036</v>
      </c>
      <c r="C13" t="s">
        <v>206</v>
      </c>
      <c r="D13"/>
      <c r="E13" s="74" t="s">
        <v>270</v>
      </c>
      <c r="F13" s="75" t="s">
        <v>271</v>
      </c>
      <c r="G13" s="76" t="s">
        <v>215</v>
      </c>
      <c r="H13" s="77" t="s">
        <v>216</v>
      </c>
      <c r="I13" s="78" t="s">
        <v>267</v>
      </c>
      <c r="J13" s="79" t="str">
        <f>IFERROR(INDEX('Cost_Components'!$K$2:$K$6,MATCH(E13,'Cost_Components'!$A$2:$A$6,0)),"")</f>
      </c>
      <c r="K13" s="106" t="n">
        <v>0.3045</v>
      </c>
      <c r="L13" s="80" t="str">
        <f>IFERROR(INDEX('Cost_Components'!$S$2:$S$6,MATCH(E13,'Cost_Components'!$A$2:$A$6,0)),"")</f>
      </c>
      <c r="M13" s="81" t="str">
        <f>IFERROR(INDEX('Cost_Components'!$L$2:$L$6,MATCH(E13,'Cost_Components'!$A$2:$A$6,0)),"")</f>
      </c>
      <c r="N13" s="82" t="str">
        <f>IFERROR(INDEX('Cost_Components'!$P$2:$P$6,MATCH(E13,'Cost_Components'!$A$2:$A$6,0)),"")</f>
      </c>
      <c r="O13" s="83" t="str">
        <f>AF13*J13</f>
      </c>
      <c r="P13" s="84" t="str">
        <f>AG13*J13</f>
      </c>
      <c r="Q13" s="85" t="str">
        <f>P13*L13*M13*N13</f>
      </c>
      <c r="R13" s="86" t="str">
        <f>O13*K13*M13*N13</f>
      </c>
      <c r="S13" s="87" t="str">
        <f>R13-Q13</f>
      </c>
      <c r="T13" s="34" t="str">
        <f>IFERROR(INDEX('Cost_Components'!$R$2:$R$6,MATCH(E13,'Cost_Components'!$A$2:$A$6,0)),"")</f>
      </c>
      <c r="U13" s="88" t="str">
        <f>IFERROR(INDEX('Cost_Components'!$Q$2:$Q$6,MATCH(E13,'Cost_Components'!$A$2:$A$6,0)),"")</f>
      </c>
      <c r="V13" s="89" t="str">
        <f>1/(1+'Calculation_Assumptions'!$B$5)^(B13-'Calculation_Assumptions'!$B$2)</f>
      </c>
      <c r="W13" s="90" t="str">
        <f>Q13*V13</f>
      </c>
      <c r="X13" s="91" t="str">
        <f>R13*V13</f>
      </c>
      <c r="Y13" s="92" t="str">
        <f>S13*V13</f>
      </c>
      <c r="Z13" s="93" t="str">
        <f>IFERROR(INDEX('Cost_Components'!$T$2:$T$6,MATCH(E13,'Cost_Components'!$A$2:$A$6,0)),"")</f>
      </c>
      <c r="AA13" s="94" t="str">
        <f>IFERROR(INDEX('Cost_Components'!$U$2:$U$6,MATCH(E13,'Cost_Components'!$A$2:$A$6,0)),"")</f>
      </c>
      <c r="AB13" s="95" t="str">
        <f>IFERROR(INDEX('Cost_Components'!$V$2:$V$6,MATCH(E13,'Cost_Components'!$A$2:$A$6,0)),"")</f>
      </c>
      <c r="AC13" s="96" t="str">
        <f>IFERROR(INDEX('Cost_Components'!$M$2:$M$6,MATCH(E13,'Cost_Components'!$A$2:$A$6,0)),"")</f>
      </c>
      <c r="AD13" s="97" t="str">
        <f>IFERROR(INDEX('Cost_Components'!$N$2:$N$6,MATCH(E13,'Cost_Components'!$A$2:$A$6,0)),"")</f>
      </c>
      <c r="AE13" s="34" t="str">
        <f>IFERROR(INDEX('Cost_Components'!$O$2:$O$6,MATCH(E13,'Cost_Components'!$A$2:$A$6,0)),"")</f>
      </c>
      <c r="AF13" s="98" t="n">
        <v>178711256.262192</v>
      </c>
      <c r="AG13" s="99" t="n">
        <v>178623659.570201</v>
      </c>
      <c r="AH13" s="100" t="str">
        <f>IF(H13="shared-count-once",COUNTIFS($A$2:$A$131,A13,$B$2:$B$131,B13,$E$2:$E$131,E13),1)</f>
      </c>
      <c r="AI13" s="101" t="n">
        <v>308542769.756622</v>
      </c>
      <c r="AJ13" s="102" t="str">
        <f>IF(AI13=0,"",Q13/AI13)</f>
      </c>
      <c r="AK13" s="103" t="str">
        <f>IF(AI13=0,"",R13/AI13)</f>
      </c>
      <c r="AL13" s="104" t="str">
        <f>IF(AI13=0,"",S13/AI13)</f>
      </c>
      <c r="AM13" s="105" t="str">
        <f>IF(AI13=0,"",Y13/AI13)</f>
      </c>
    </row>
    <row r="14">
      <c r="A14" t="s">
        <v>115</v>
      </c>
      <c r="B14" s="73" t="n">
        <v>2037</v>
      </c>
      <c r="C14" t="s">
        <v>206</v>
      </c>
      <c r="D14"/>
      <c r="E14" s="74" t="s">
        <v>270</v>
      </c>
      <c r="F14" s="75" t="s">
        <v>271</v>
      </c>
      <c r="G14" s="76" t="s">
        <v>215</v>
      </c>
      <c r="H14" s="77" t="s">
        <v>216</v>
      </c>
      <c r="I14" s="78" t="s">
        <v>267</v>
      </c>
      <c r="J14" s="79" t="str">
        <f>IFERROR(INDEX('Cost_Components'!$K$2:$K$6,MATCH(E14,'Cost_Components'!$A$2:$A$6,0)),"")</f>
      </c>
      <c r="K14" s="106" t="n">
        <v>0.3325</v>
      </c>
      <c r="L14" s="80" t="str">
        <f>IFERROR(INDEX('Cost_Components'!$S$2:$S$6,MATCH(E14,'Cost_Components'!$A$2:$A$6,0)),"")</f>
      </c>
      <c r="M14" s="81" t="str">
        <f>IFERROR(INDEX('Cost_Components'!$L$2:$L$6,MATCH(E14,'Cost_Components'!$A$2:$A$6,0)),"")</f>
      </c>
      <c r="N14" s="82" t="str">
        <f>IFERROR(INDEX('Cost_Components'!$P$2:$P$6,MATCH(E14,'Cost_Components'!$A$2:$A$6,0)),"")</f>
      </c>
      <c r="O14" s="83" t="str">
        <f>AF14*J14</f>
      </c>
      <c r="P14" s="84" t="str">
        <f>AG14*J14</f>
      </c>
      <c r="Q14" s="85" t="str">
        <f>P14*L14*M14*N14</f>
      </c>
      <c r="R14" s="86" t="str">
        <f>O14*K14*M14*N14</f>
      </c>
      <c r="S14" s="87" t="str">
        <f>R14-Q14</f>
      </c>
      <c r="T14" s="34" t="str">
        <f>IFERROR(INDEX('Cost_Components'!$R$2:$R$6,MATCH(E14,'Cost_Components'!$A$2:$A$6,0)),"")</f>
      </c>
      <c r="U14" s="88" t="str">
        <f>IFERROR(INDEX('Cost_Components'!$Q$2:$Q$6,MATCH(E14,'Cost_Components'!$A$2:$A$6,0)),"")</f>
      </c>
      <c r="V14" s="89" t="str">
        <f>1/(1+'Calculation_Assumptions'!$B$5)^(B14-'Calculation_Assumptions'!$B$2)</f>
      </c>
      <c r="W14" s="90" t="str">
        <f>Q14*V14</f>
      </c>
      <c r="X14" s="91" t="str">
        <f>R14*V14</f>
      </c>
      <c r="Y14" s="92" t="str">
        <f>S14*V14</f>
      </c>
      <c r="Z14" s="93" t="str">
        <f>IFERROR(INDEX('Cost_Components'!$T$2:$T$6,MATCH(E14,'Cost_Components'!$A$2:$A$6,0)),"")</f>
      </c>
      <c r="AA14" s="94" t="str">
        <f>IFERROR(INDEX('Cost_Components'!$U$2:$U$6,MATCH(E14,'Cost_Components'!$A$2:$A$6,0)),"")</f>
      </c>
      <c r="AB14" s="95" t="str">
        <f>IFERROR(INDEX('Cost_Components'!$V$2:$V$6,MATCH(E14,'Cost_Components'!$A$2:$A$6,0)),"")</f>
      </c>
      <c r="AC14" s="96" t="str">
        <f>IFERROR(INDEX('Cost_Components'!$M$2:$M$6,MATCH(E14,'Cost_Components'!$A$2:$A$6,0)),"")</f>
      </c>
      <c r="AD14" s="97" t="str">
        <f>IFERROR(INDEX('Cost_Components'!$N$2:$N$6,MATCH(E14,'Cost_Components'!$A$2:$A$6,0)),"")</f>
      </c>
      <c r="AE14" s="34" t="str">
        <f>IFERROR(INDEX('Cost_Components'!$O$2:$O$6,MATCH(E14,'Cost_Components'!$A$2:$A$6,0)),"")</f>
      </c>
      <c r="AF14" s="98" t="n">
        <v>180862884.82821</v>
      </c>
      <c r="AG14" s="99" t="n">
        <v>180737927.453992</v>
      </c>
      <c r="AH14" s="100" t="str">
        <f>IF(H14="shared-count-once",COUNTIFS($A$2:$A$131,A14,$B$2:$B$131,B14,$E$2:$E$131,E14),1)</f>
      </c>
      <c r="AI14" s="101" t="n">
        <v>310068287.63643</v>
      </c>
      <c r="AJ14" s="102" t="str">
        <f>IF(AI14=0,"",Q14/AI14)</f>
      </c>
      <c r="AK14" s="103" t="str">
        <f>IF(AI14=0,"",R14/AI14)</f>
      </c>
      <c r="AL14" s="104" t="str">
        <f>IF(AI14=0,"",S14/AI14)</f>
      </c>
      <c r="AM14" s="105" t="str">
        <f>IF(AI14=0,"",Y14/AI14)</f>
      </c>
    </row>
    <row r="15">
      <c r="A15" t="s">
        <v>115</v>
      </c>
      <c r="B15" s="73" t="n">
        <v>2038</v>
      </c>
      <c r="C15" t="s">
        <v>206</v>
      </c>
      <c r="D15"/>
      <c r="E15" s="74" t="s">
        <v>270</v>
      </c>
      <c r="F15" s="75" t="s">
        <v>271</v>
      </c>
      <c r="G15" s="76" t="s">
        <v>215</v>
      </c>
      <c r="H15" s="77" t="s">
        <v>216</v>
      </c>
      <c r="I15" s="78" t="s">
        <v>267</v>
      </c>
      <c r="J15" s="79" t="str">
        <f>IFERROR(INDEX('Cost_Components'!$K$2:$K$6,MATCH(E15,'Cost_Components'!$A$2:$A$6,0)),"")</f>
      </c>
      <c r="K15" s="106" t="n">
        <v>0.3605</v>
      </c>
      <c r="L15" s="80" t="str">
        <f>IFERROR(INDEX('Cost_Components'!$S$2:$S$6,MATCH(E15,'Cost_Components'!$A$2:$A$6,0)),"")</f>
      </c>
      <c r="M15" s="81" t="str">
        <f>IFERROR(INDEX('Cost_Components'!$L$2:$L$6,MATCH(E15,'Cost_Components'!$A$2:$A$6,0)),"")</f>
      </c>
      <c r="N15" s="82" t="str">
        <f>IFERROR(INDEX('Cost_Components'!$P$2:$P$6,MATCH(E15,'Cost_Components'!$A$2:$A$6,0)),"")</f>
      </c>
      <c r="O15" s="83" t="str">
        <f>AF15*J15</f>
      </c>
      <c r="P15" s="84" t="str">
        <f>AG15*J15</f>
      </c>
      <c r="Q15" s="85" t="str">
        <f>P15*L15*M15*N15</f>
      </c>
      <c r="R15" s="86" t="str">
        <f>O15*K15*M15*N15</f>
      </c>
      <c r="S15" s="87" t="str">
        <f>R15-Q15</f>
      </c>
      <c r="T15" s="34" t="str">
        <f>IFERROR(INDEX('Cost_Components'!$R$2:$R$6,MATCH(E15,'Cost_Components'!$A$2:$A$6,0)),"")</f>
      </c>
      <c r="U15" s="88" t="str">
        <f>IFERROR(INDEX('Cost_Components'!$Q$2:$Q$6,MATCH(E15,'Cost_Components'!$A$2:$A$6,0)),"")</f>
      </c>
      <c r="V15" s="89" t="str">
        <f>1/(1+'Calculation_Assumptions'!$B$5)^(B15-'Calculation_Assumptions'!$B$2)</f>
      </c>
      <c r="W15" s="90" t="str">
        <f>Q15*V15</f>
      </c>
      <c r="X15" s="91" t="str">
        <f>R15*V15</f>
      </c>
      <c r="Y15" s="92" t="str">
        <f>S15*V15</f>
      </c>
      <c r="Z15" s="93" t="str">
        <f>IFERROR(INDEX('Cost_Components'!$T$2:$T$6,MATCH(E15,'Cost_Components'!$A$2:$A$6,0)),"")</f>
      </c>
      <c r="AA15" s="94" t="str">
        <f>IFERROR(INDEX('Cost_Components'!$U$2:$U$6,MATCH(E15,'Cost_Components'!$A$2:$A$6,0)),"")</f>
      </c>
      <c r="AB15" s="95" t="str">
        <f>IFERROR(INDEX('Cost_Components'!$V$2:$V$6,MATCH(E15,'Cost_Components'!$A$2:$A$6,0)),"")</f>
      </c>
      <c r="AC15" s="96" t="str">
        <f>IFERROR(INDEX('Cost_Components'!$M$2:$M$6,MATCH(E15,'Cost_Components'!$A$2:$A$6,0)),"")</f>
      </c>
      <c r="AD15" s="97" t="str">
        <f>IFERROR(INDEX('Cost_Components'!$N$2:$N$6,MATCH(E15,'Cost_Components'!$A$2:$A$6,0)),"")</f>
      </c>
      <c r="AE15" s="34" t="str">
        <f>IFERROR(INDEX('Cost_Components'!$O$2:$O$6,MATCH(E15,'Cost_Components'!$A$2:$A$6,0)),"")</f>
      </c>
      <c r="AF15" s="98" t="n">
        <v>182974826.944686</v>
      </c>
      <c r="AG15" s="99" t="n">
        <v>182803771.129387</v>
      </c>
      <c r="AH15" s="100" t="str">
        <f>IF(H15="shared-count-once",COUNTIFS($A$2:$A$131,A15,$B$2:$B$131,B15,$E$2:$E$131,E15),1)</f>
      </c>
      <c r="AI15" s="101" t="n">
        <v>311532999.13163</v>
      </c>
      <c r="AJ15" s="102" t="str">
        <f>IF(AI15=0,"",Q15/AI15)</f>
      </c>
      <c r="AK15" s="103" t="str">
        <f>IF(AI15=0,"",R15/AI15)</f>
      </c>
      <c r="AL15" s="104" t="str">
        <f>IF(AI15=0,"",S15/AI15)</f>
      </c>
      <c r="AM15" s="105" t="str">
        <f>IF(AI15=0,"",Y15/AI15)</f>
      </c>
    </row>
    <row r="16">
      <c r="A16" t="s">
        <v>115</v>
      </c>
      <c r="B16" s="73" t="n">
        <v>2039</v>
      </c>
      <c r="C16" t="s">
        <v>206</v>
      </c>
      <c r="D16"/>
      <c r="E16" s="74" t="s">
        <v>270</v>
      </c>
      <c r="F16" s="75" t="s">
        <v>271</v>
      </c>
      <c r="G16" s="76" t="s">
        <v>215</v>
      </c>
      <c r="H16" s="77" t="s">
        <v>216</v>
      </c>
      <c r="I16" s="78" t="s">
        <v>267</v>
      </c>
      <c r="J16" s="79" t="str">
        <f>IFERROR(INDEX('Cost_Components'!$K$2:$K$6,MATCH(E16,'Cost_Components'!$A$2:$A$6,0)),"")</f>
      </c>
      <c r="K16" s="106" t="n">
        <v>0.3885</v>
      </c>
      <c r="L16" s="80" t="str">
        <f>IFERROR(INDEX('Cost_Components'!$S$2:$S$6,MATCH(E16,'Cost_Components'!$A$2:$A$6,0)),"")</f>
      </c>
      <c r="M16" s="81" t="str">
        <f>IFERROR(INDEX('Cost_Components'!$L$2:$L$6,MATCH(E16,'Cost_Components'!$A$2:$A$6,0)),"")</f>
      </c>
      <c r="N16" s="82" t="str">
        <f>IFERROR(INDEX('Cost_Components'!$P$2:$P$6,MATCH(E16,'Cost_Components'!$A$2:$A$6,0)),"")</f>
      </c>
      <c r="O16" s="83" t="str">
        <f>AF16*J16</f>
      </c>
      <c r="P16" s="84" t="str">
        <f>AG16*J16</f>
      </c>
      <c r="Q16" s="85" t="str">
        <f>P16*L16*M16*N16</f>
      </c>
      <c r="R16" s="86" t="str">
        <f>O16*K16*M16*N16</f>
      </c>
      <c r="S16" s="87" t="str">
        <f>R16-Q16</f>
      </c>
      <c r="T16" s="34" t="str">
        <f>IFERROR(INDEX('Cost_Components'!$R$2:$R$6,MATCH(E16,'Cost_Components'!$A$2:$A$6,0)),"")</f>
      </c>
      <c r="U16" s="88" t="str">
        <f>IFERROR(INDEX('Cost_Components'!$Q$2:$Q$6,MATCH(E16,'Cost_Components'!$A$2:$A$6,0)),"")</f>
      </c>
      <c r="V16" s="89" t="str">
        <f>1/(1+'Calculation_Assumptions'!$B$5)^(B16-'Calculation_Assumptions'!$B$2)</f>
      </c>
      <c r="W16" s="90" t="str">
        <f>Q16*V16</f>
      </c>
      <c r="X16" s="91" t="str">
        <f>R16*V16</f>
      </c>
      <c r="Y16" s="92" t="str">
        <f>S16*V16</f>
      </c>
      <c r="Z16" s="93" t="str">
        <f>IFERROR(INDEX('Cost_Components'!$T$2:$T$6,MATCH(E16,'Cost_Components'!$A$2:$A$6,0)),"")</f>
      </c>
      <c r="AA16" s="94" t="str">
        <f>IFERROR(INDEX('Cost_Components'!$U$2:$U$6,MATCH(E16,'Cost_Components'!$A$2:$A$6,0)),"")</f>
      </c>
      <c r="AB16" s="95" t="str">
        <f>IFERROR(INDEX('Cost_Components'!$V$2:$V$6,MATCH(E16,'Cost_Components'!$A$2:$A$6,0)),"")</f>
      </c>
      <c r="AC16" s="96" t="str">
        <f>IFERROR(INDEX('Cost_Components'!$M$2:$M$6,MATCH(E16,'Cost_Components'!$A$2:$A$6,0)),"")</f>
      </c>
      <c r="AD16" s="97" t="str">
        <f>IFERROR(INDEX('Cost_Components'!$N$2:$N$6,MATCH(E16,'Cost_Components'!$A$2:$A$6,0)),"")</f>
      </c>
      <c r="AE16" s="34" t="str">
        <f>IFERROR(INDEX('Cost_Components'!$O$2:$O$6,MATCH(E16,'Cost_Components'!$A$2:$A$6,0)),"")</f>
      </c>
      <c r="AF16" s="98" t="n">
        <v>185058492.153747</v>
      </c>
      <c r="AG16" s="99" t="n">
        <v>184832385.454252</v>
      </c>
      <c r="AH16" s="100" t="str">
        <f>IF(H16="shared-count-once",COUNTIFS($A$2:$A$131,A16,$B$2:$B$131,B16,$E$2:$E$131,E16),1)</f>
      </c>
      <c r="AI16" s="101" t="n">
        <v>312936391.858479</v>
      </c>
      <c r="AJ16" s="102" t="str">
        <f>IF(AI16=0,"",Q16/AI16)</f>
      </c>
      <c r="AK16" s="103" t="str">
        <f>IF(AI16=0,"",R16/AI16)</f>
      </c>
      <c r="AL16" s="104" t="str">
        <f>IF(AI16=0,"",S16/AI16)</f>
      </c>
      <c r="AM16" s="105" t="str">
        <f>IF(AI16=0,"",Y16/AI16)</f>
      </c>
    </row>
    <row r="17">
      <c r="A17" t="s">
        <v>115</v>
      </c>
      <c r="B17" s="73" t="n">
        <v>2040</v>
      </c>
      <c r="C17" t="s">
        <v>206</v>
      </c>
      <c r="D17"/>
      <c r="E17" s="74" t="s">
        <v>270</v>
      </c>
      <c r="F17" s="75" t="s">
        <v>271</v>
      </c>
      <c r="G17" s="76" t="s">
        <v>215</v>
      </c>
      <c r="H17" s="77" t="s">
        <v>216</v>
      </c>
      <c r="I17" s="78" t="s">
        <v>267</v>
      </c>
      <c r="J17" s="79" t="str">
        <f>IFERROR(INDEX('Cost_Components'!$K$2:$K$6,MATCH(E17,'Cost_Components'!$A$2:$A$6,0)),"")</f>
      </c>
      <c r="K17" s="106" t="n">
        <v>0.4165</v>
      </c>
      <c r="L17" s="80" t="str">
        <f>IFERROR(INDEX('Cost_Components'!$S$2:$S$6,MATCH(E17,'Cost_Components'!$A$2:$A$6,0)),"")</f>
      </c>
      <c r="M17" s="81" t="str">
        <f>IFERROR(INDEX('Cost_Components'!$L$2:$L$6,MATCH(E17,'Cost_Components'!$A$2:$A$6,0)),"")</f>
      </c>
      <c r="N17" s="82" t="str">
        <f>IFERROR(INDEX('Cost_Components'!$P$2:$P$6,MATCH(E17,'Cost_Components'!$A$2:$A$6,0)),"")</f>
      </c>
      <c r="O17" s="83" t="str">
        <f>AF17*J17</f>
      </c>
      <c r="P17" s="84" t="str">
        <f>AG17*J17</f>
      </c>
      <c r="Q17" s="85" t="str">
        <f>P17*L17*M17*N17</f>
      </c>
      <c r="R17" s="86" t="str">
        <f>O17*K17*M17*N17</f>
      </c>
      <c r="S17" s="87" t="str">
        <f>R17-Q17</f>
      </c>
      <c r="T17" s="34" t="str">
        <f>IFERROR(INDEX('Cost_Components'!$R$2:$R$6,MATCH(E17,'Cost_Components'!$A$2:$A$6,0)),"")</f>
      </c>
      <c r="U17" s="88" t="str">
        <f>IFERROR(INDEX('Cost_Components'!$Q$2:$Q$6,MATCH(E17,'Cost_Components'!$A$2:$A$6,0)),"")</f>
      </c>
      <c r="V17" s="89" t="str">
        <f>1/(1+'Calculation_Assumptions'!$B$5)^(B17-'Calculation_Assumptions'!$B$2)</f>
      </c>
      <c r="W17" s="90" t="str">
        <f>Q17*V17</f>
      </c>
      <c r="X17" s="91" t="str">
        <f>R17*V17</f>
      </c>
      <c r="Y17" s="92" t="str">
        <f>S17*V17</f>
      </c>
      <c r="Z17" s="93" t="str">
        <f>IFERROR(INDEX('Cost_Components'!$T$2:$T$6,MATCH(E17,'Cost_Components'!$A$2:$A$6,0)),"")</f>
      </c>
      <c r="AA17" s="94" t="str">
        <f>IFERROR(INDEX('Cost_Components'!$U$2:$U$6,MATCH(E17,'Cost_Components'!$A$2:$A$6,0)),"")</f>
      </c>
      <c r="AB17" s="95" t="str">
        <f>IFERROR(INDEX('Cost_Components'!$V$2:$V$6,MATCH(E17,'Cost_Components'!$A$2:$A$6,0)),"")</f>
      </c>
      <c r="AC17" s="96" t="str">
        <f>IFERROR(INDEX('Cost_Components'!$M$2:$M$6,MATCH(E17,'Cost_Components'!$A$2:$A$6,0)),"")</f>
      </c>
      <c r="AD17" s="97" t="str">
        <f>IFERROR(INDEX('Cost_Components'!$N$2:$N$6,MATCH(E17,'Cost_Components'!$A$2:$A$6,0)),"")</f>
      </c>
      <c r="AE17" s="34" t="str">
        <f>IFERROR(INDEX('Cost_Components'!$O$2:$O$6,MATCH(E17,'Cost_Components'!$A$2:$A$6,0)),"")</f>
      </c>
      <c r="AF17" s="98" t="n">
        <v>187164059.901849</v>
      </c>
      <c r="AG17" s="99" t="n">
        <v>186873471.103366</v>
      </c>
      <c r="AH17" s="100" t="str">
        <f>IF(H17="shared-count-once",COUNTIFS($A$2:$A$131,A17,$B$2:$B$131,B17,$E$2:$E$131,E17),1)</f>
      </c>
      <c r="AI17" s="101" t="n">
        <v>314265537.410829</v>
      </c>
      <c r="AJ17" s="102" t="str">
        <f>IF(AI17=0,"",Q17/AI17)</f>
      </c>
      <c r="AK17" s="103" t="str">
        <f>IF(AI17=0,"",R17/AI17)</f>
      </c>
      <c r="AL17" s="104" t="str">
        <f>IF(AI17=0,"",S17/AI17)</f>
      </c>
      <c r="AM17" s="105" t="str">
        <f>IF(AI17=0,"",Y17/AI17)</f>
      </c>
    </row>
    <row r="18">
      <c r="A18" t="s">
        <v>115</v>
      </c>
      <c r="B18" s="73" t="n">
        <v>2041</v>
      </c>
      <c r="C18" t="s">
        <v>206</v>
      </c>
      <c r="D18"/>
      <c r="E18" s="74" t="s">
        <v>270</v>
      </c>
      <c r="F18" s="75" t="s">
        <v>271</v>
      </c>
      <c r="G18" s="76" t="s">
        <v>215</v>
      </c>
      <c r="H18" s="77" t="s">
        <v>216</v>
      </c>
      <c r="I18" s="78" t="s">
        <v>267</v>
      </c>
      <c r="J18" s="79" t="str">
        <f>IFERROR(INDEX('Cost_Components'!$K$2:$K$6,MATCH(E18,'Cost_Components'!$A$2:$A$6,0)),"")</f>
      </c>
      <c r="K18" s="106" t="n">
        <v>0.4165</v>
      </c>
      <c r="L18" s="80" t="str">
        <f>IFERROR(INDEX('Cost_Components'!$S$2:$S$6,MATCH(E18,'Cost_Components'!$A$2:$A$6,0)),"")</f>
      </c>
      <c r="M18" s="81" t="str">
        <f>IFERROR(INDEX('Cost_Components'!$L$2:$L$6,MATCH(E18,'Cost_Components'!$A$2:$A$6,0)),"")</f>
      </c>
      <c r="N18" s="82" t="str">
        <f>IFERROR(INDEX('Cost_Components'!$P$2:$P$6,MATCH(E18,'Cost_Components'!$A$2:$A$6,0)),"")</f>
      </c>
      <c r="O18" s="83" t="str">
        <f>AF18*J18</f>
      </c>
      <c r="P18" s="84" t="str">
        <f>AG18*J18</f>
      </c>
      <c r="Q18" s="85" t="str">
        <f>P18*L18*M18*N18</f>
      </c>
      <c r="R18" s="86" t="str">
        <f>O18*K18*M18*N18</f>
      </c>
      <c r="S18" s="87" t="str">
        <f>R18-Q18</f>
      </c>
      <c r="T18" s="34" t="str">
        <f>IFERROR(INDEX('Cost_Components'!$R$2:$R$6,MATCH(E18,'Cost_Components'!$A$2:$A$6,0)),"")</f>
      </c>
      <c r="U18" s="88" t="str">
        <f>IFERROR(INDEX('Cost_Components'!$Q$2:$Q$6,MATCH(E18,'Cost_Components'!$A$2:$A$6,0)),"")</f>
      </c>
      <c r="V18" s="89" t="str">
        <f>1/(1+'Calculation_Assumptions'!$B$5)^(B18-'Calculation_Assumptions'!$B$2)</f>
      </c>
      <c r="W18" s="90" t="str">
        <f>Q18*V18</f>
      </c>
      <c r="X18" s="91" t="str">
        <f>R18*V18</f>
      </c>
      <c r="Y18" s="92" t="str">
        <f>S18*V18</f>
      </c>
      <c r="Z18" s="93" t="str">
        <f>IFERROR(INDEX('Cost_Components'!$T$2:$T$6,MATCH(E18,'Cost_Components'!$A$2:$A$6,0)),"")</f>
      </c>
      <c r="AA18" s="94" t="str">
        <f>IFERROR(INDEX('Cost_Components'!$U$2:$U$6,MATCH(E18,'Cost_Components'!$A$2:$A$6,0)),"")</f>
      </c>
      <c r="AB18" s="95" t="str">
        <f>IFERROR(INDEX('Cost_Components'!$V$2:$V$6,MATCH(E18,'Cost_Components'!$A$2:$A$6,0)),"")</f>
      </c>
      <c r="AC18" s="96" t="str">
        <f>IFERROR(INDEX('Cost_Components'!$M$2:$M$6,MATCH(E18,'Cost_Components'!$A$2:$A$6,0)),"")</f>
      </c>
      <c r="AD18" s="97" t="str">
        <f>IFERROR(INDEX('Cost_Components'!$N$2:$N$6,MATCH(E18,'Cost_Components'!$A$2:$A$6,0)),"")</f>
      </c>
      <c r="AE18" s="34" t="str">
        <f>IFERROR(INDEX('Cost_Components'!$O$2:$O$6,MATCH(E18,'Cost_Components'!$A$2:$A$6,0)),"")</f>
      </c>
      <c r="AF18" s="98" t="n">
        <v>189355296.271455</v>
      </c>
      <c r="AG18" s="99" t="n">
        <v>188934400.22828</v>
      </c>
      <c r="AH18" s="100" t="str">
        <f>IF(H18="shared-count-once",COUNTIFS($A$2:$A$131,A18,$B$2:$B$131,B18,$E$2:$E$131,E18),1)</f>
      </c>
      <c r="AI18" s="101" t="n">
        <v>315525215.312548</v>
      </c>
      <c r="AJ18" s="102" t="str">
        <f>IF(AI18=0,"",Q18/AI18)</f>
      </c>
      <c r="AK18" s="103" t="str">
        <f>IF(AI18=0,"",R18/AI18)</f>
      </c>
      <c r="AL18" s="104" t="str">
        <f>IF(AI18=0,"",S18/AI18)</f>
      </c>
      <c r="AM18" s="105" t="str">
        <f>IF(AI18=0,"",Y18/AI18)</f>
      </c>
    </row>
    <row r="19">
      <c r="A19" t="s">
        <v>115</v>
      </c>
      <c r="B19" s="73" t="n">
        <v>2042</v>
      </c>
      <c r="C19" t="s">
        <v>206</v>
      </c>
      <c r="D19"/>
      <c r="E19" s="74" t="s">
        <v>270</v>
      </c>
      <c r="F19" s="75" t="s">
        <v>271</v>
      </c>
      <c r="G19" s="76" t="s">
        <v>215</v>
      </c>
      <c r="H19" s="77" t="s">
        <v>216</v>
      </c>
      <c r="I19" s="78" t="s">
        <v>267</v>
      </c>
      <c r="J19" s="79" t="str">
        <f>IFERROR(INDEX('Cost_Components'!$K$2:$K$6,MATCH(E19,'Cost_Components'!$A$2:$A$6,0)),"")</f>
      </c>
      <c r="K19" s="106" t="n">
        <v>0.4165</v>
      </c>
      <c r="L19" s="80" t="str">
        <f>IFERROR(INDEX('Cost_Components'!$S$2:$S$6,MATCH(E19,'Cost_Components'!$A$2:$A$6,0)),"")</f>
      </c>
      <c r="M19" s="81" t="str">
        <f>IFERROR(INDEX('Cost_Components'!$L$2:$L$6,MATCH(E19,'Cost_Components'!$A$2:$A$6,0)),"")</f>
      </c>
      <c r="N19" s="82" t="str">
        <f>IFERROR(INDEX('Cost_Components'!$P$2:$P$6,MATCH(E19,'Cost_Components'!$A$2:$A$6,0)),"")</f>
      </c>
      <c r="O19" s="83" t="str">
        <f>AF19*J19</f>
      </c>
      <c r="P19" s="84" t="str">
        <f>AG19*J19</f>
      </c>
      <c r="Q19" s="85" t="str">
        <f>P19*L19*M19*N19</f>
      </c>
      <c r="R19" s="86" t="str">
        <f>O19*K19*M19*N19</f>
      </c>
      <c r="S19" s="87" t="str">
        <f>R19-Q19</f>
      </c>
      <c r="T19" s="34" t="str">
        <f>IFERROR(INDEX('Cost_Components'!$R$2:$R$6,MATCH(E19,'Cost_Components'!$A$2:$A$6,0)),"")</f>
      </c>
      <c r="U19" s="88" t="str">
        <f>IFERROR(INDEX('Cost_Components'!$Q$2:$Q$6,MATCH(E19,'Cost_Components'!$A$2:$A$6,0)),"")</f>
      </c>
      <c r="V19" s="89" t="str">
        <f>1/(1+'Calculation_Assumptions'!$B$5)^(B19-'Calculation_Assumptions'!$B$2)</f>
      </c>
      <c r="W19" s="90" t="str">
        <f>Q19*V19</f>
      </c>
      <c r="X19" s="91" t="str">
        <f>R19*V19</f>
      </c>
      <c r="Y19" s="92" t="str">
        <f>S19*V19</f>
      </c>
      <c r="Z19" s="93" t="str">
        <f>IFERROR(INDEX('Cost_Components'!$T$2:$T$6,MATCH(E19,'Cost_Components'!$A$2:$A$6,0)),"")</f>
      </c>
      <c r="AA19" s="94" t="str">
        <f>IFERROR(INDEX('Cost_Components'!$U$2:$U$6,MATCH(E19,'Cost_Components'!$A$2:$A$6,0)),"")</f>
      </c>
      <c r="AB19" s="95" t="str">
        <f>IFERROR(INDEX('Cost_Components'!$V$2:$V$6,MATCH(E19,'Cost_Components'!$A$2:$A$6,0)),"")</f>
      </c>
      <c r="AC19" s="96" t="str">
        <f>IFERROR(INDEX('Cost_Components'!$M$2:$M$6,MATCH(E19,'Cost_Components'!$A$2:$A$6,0)),"")</f>
      </c>
      <c r="AD19" s="97" t="str">
        <f>IFERROR(INDEX('Cost_Components'!$N$2:$N$6,MATCH(E19,'Cost_Components'!$A$2:$A$6,0)),"")</f>
      </c>
      <c r="AE19" s="34" t="str">
        <f>IFERROR(INDEX('Cost_Components'!$O$2:$O$6,MATCH(E19,'Cost_Components'!$A$2:$A$6,0)),"")</f>
      </c>
      <c r="AF19" s="98" t="n">
        <v>191467042.208964</v>
      </c>
      <c r="AG19" s="99" t="n">
        <v>191020494.904652</v>
      </c>
      <c r="AH19" s="100" t="str">
        <f>IF(H19="shared-count-once",COUNTIFS($A$2:$A$131,A19,$B$2:$B$131,B19,$E$2:$E$131,E19),1)</f>
      </c>
      <c r="AI19" s="101" t="n">
        <v>316707694.211882</v>
      </c>
      <c r="AJ19" s="102" t="str">
        <f>IF(AI19=0,"",Q19/AI19)</f>
      </c>
      <c r="AK19" s="103" t="str">
        <f>IF(AI19=0,"",R19/AI19)</f>
      </c>
      <c r="AL19" s="104" t="str">
        <f>IF(AI19=0,"",S19/AI19)</f>
      </c>
      <c r="AM19" s="105" t="str">
        <f>IF(AI19=0,"",Y19/AI19)</f>
      </c>
    </row>
    <row r="20">
      <c r="A20" t="s">
        <v>115</v>
      </c>
      <c r="B20" s="73" t="n">
        <v>2043</v>
      </c>
      <c r="C20" t="s">
        <v>206</v>
      </c>
      <c r="D20"/>
      <c r="E20" s="74" t="s">
        <v>270</v>
      </c>
      <c r="F20" s="75" t="s">
        <v>271</v>
      </c>
      <c r="G20" s="76" t="s">
        <v>215</v>
      </c>
      <c r="H20" s="77" t="s">
        <v>216</v>
      </c>
      <c r="I20" s="78" t="s">
        <v>267</v>
      </c>
      <c r="J20" s="79" t="str">
        <f>IFERROR(INDEX('Cost_Components'!$K$2:$K$6,MATCH(E20,'Cost_Components'!$A$2:$A$6,0)),"")</f>
      </c>
      <c r="K20" s="106" t="n">
        <v>0.4165</v>
      </c>
      <c r="L20" s="80" t="str">
        <f>IFERROR(INDEX('Cost_Components'!$S$2:$S$6,MATCH(E20,'Cost_Components'!$A$2:$A$6,0)),"")</f>
      </c>
      <c r="M20" s="81" t="str">
        <f>IFERROR(INDEX('Cost_Components'!$L$2:$L$6,MATCH(E20,'Cost_Components'!$A$2:$A$6,0)),"")</f>
      </c>
      <c r="N20" s="82" t="str">
        <f>IFERROR(INDEX('Cost_Components'!$P$2:$P$6,MATCH(E20,'Cost_Components'!$A$2:$A$6,0)),"")</f>
      </c>
      <c r="O20" s="83" t="str">
        <f>AF20*J20</f>
      </c>
      <c r="P20" s="84" t="str">
        <f>AG20*J20</f>
      </c>
      <c r="Q20" s="85" t="str">
        <f>P20*L20*M20*N20</f>
      </c>
      <c r="R20" s="86" t="str">
        <f>O20*K20*M20*N20</f>
      </c>
      <c r="S20" s="87" t="str">
        <f>R20-Q20</f>
      </c>
      <c r="T20" s="34" t="str">
        <f>IFERROR(INDEX('Cost_Components'!$R$2:$R$6,MATCH(E20,'Cost_Components'!$A$2:$A$6,0)),"")</f>
      </c>
      <c r="U20" s="88" t="str">
        <f>IFERROR(INDEX('Cost_Components'!$Q$2:$Q$6,MATCH(E20,'Cost_Components'!$A$2:$A$6,0)),"")</f>
      </c>
      <c r="V20" s="89" t="str">
        <f>1/(1+'Calculation_Assumptions'!$B$5)^(B20-'Calculation_Assumptions'!$B$2)</f>
      </c>
      <c r="W20" s="90" t="str">
        <f>Q20*V20</f>
      </c>
      <c r="X20" s="91" t="str">
        <f>R20*V20</f>
      </c>
      <c r="Y20" s="92" t="str">
        <f>S20*V20</f>
      </c>
      <c r="Z20" s="93" t="str">
        <f>IFERROR(INDEX('Cost_Components'!$T$2:$T$6,MATCH(E20,'Cost_Components'!$A$2:$A$6,0)),"")</f>
      </c>
      <c r="AA20" s="94" t="str">
        <f>IFERROR(INDEX('Cost_Components'!$U$2:$U$6,MATCH(E20,'Cost_Components'!$A$2:$A$6,0)),"")</f>
      </c>
      <c r="AB20" s="95" t="str">
        <f>IFERROR(INDEX('Cost_Components'!$V$2:$V$6,MATCH(E20,'Cost_Components'!$A$2:$A$6,0)),"")</f>
      </c>
      <c r="AC20" s="96" t="str">
        <f>IFERROR(INDEX('Cost_Components'!$M$2:$M$6,MATCH(E20,'Cost_Components'!$A$2:$A$6,0)),"")</f>
      </c>
      <c r="AD20" s="97" t="str">
        <f>IFERROR(INDEX('Cost_Components'!$N$2:$N$6,MATCH(E20,'Cost_Components'!$A$2:$A$6,0)),"")</f>
      </c>
      <c r="AE20" s="34" t="str">
        <f>IFERROR(INDEX('Cost_Components'!$O$2:$O$6,MATCH(E20,'Cost_Components'!$A$2:$A$6,0)),"")</f>
      </c>
      <c r="AF20" s="98" t="n">
        <v>193470484.035677</v>
      </c>
      <c r="AG20" s="99" t="n">
        <v>192936206.600428</v>
      </c>
      <c r="AH20" s="100" t="str">
        <f>IF(H20="shared-count-once",COUNTIFS($A$2:$A$131,A20,$B$2:$B$131,B20,$E$2:$E$131,E20),1)</f>
      </c>
      <c r="AI20" s="101" t="n">
        <v>317814114.067152</v>
      </c>
      <c r="AJ20" s="102" t="str">
        <f>IF(AI20=0,"",Q20/AI20)</f>
      </c>
      <c r="AK20" s="103" t="str">
        <f>IF(AI20=0,"",R20/AI20)</f>
      </c>
      <c r="AL20" s="104" t="str">
        <f>IF(AI20=0,"",S20/AI20)</f>
      </c>
      <c r="AM20" s="105" t="str">
        <f>IF(AI20=0,"",Y20/AI20)</f>
      </c>
    </row>
    <row r="21">
      <c r="A21" t="s">
        <v>115</v>
      </c>
      <c r="B21" s="73" t="n">
        <v>2044</v>
      </c>
      <c r="C21" t="s">
        <v>206</v>
      </c>
      <c r="D21"/>
      <c r="E21" s="74" t="s">
        <v>270</v>
      </c>
      <c r="F21" s="75" t="s">
        <v>271</v>
      </c>
      <c r="G21" s="76" t="s">
        <v>215</v>
      </c>
      <c r="H21" s="77" t="s">
        <v>216</v>
      </c>
      <c r="I21" s="78" t="s">
        <v>267</v>
      </c>
      <c r="J21" s="79" t="str">
        <f>IFERROR(INDEX('Cost_Components'!$K$2:$K$6,MATCH(E21,'Cost_Components'!$A$2:$A$6,0)),"")</f>
      </c>
      <c r="K21" s="106" t="n">
        <v>0.4165</v>
      </c>
      <c r="L21" s="80" t="str">
        <f>IFERROR(INDEX('Cost_Components'!$S$2:$S$6,MATCH(E21,'Cost_Components'!$A$2:$A$6,0)),"")</f>
      </c>
      <c r="M21" s="81" t="str">
        <f>IFERROR(INDEX('Cost_Components'!$L$2:$L$6,MATCH(E21,'Cost_Components'!$A$2:$A$6,0)),"")</f>
      </c>
      <c r="N21" s="82" t="str">
        <f>IFERROR(INDEX('Cost_Components'!$P$2:$P$6,MATCH(E21,'Cost_Components'!$A$2:$A$6,0)),"")</f>
      </c>
      <c r="O21" s="83" t="str">
        <f>AF21*J21</f>
      </c>
      <c r="P21" s="84" t="str">
        <f>AG21*J21</f>
      </c>
      <c r="Q21" s="85" t="str">
        <f>P21*L21*M21*N21</f>
      </c>
      <c r="R21" s="86" t="str">
        <f>O21*K21*M21*N21</f>
      </c>
      <c r="S21" s="87" t="str">
        <f>R21-Q21</f>
      </c>
      <c r="T21" s="34" t="str">
        <f>IFERROR(INDEX('Cost_Components'!$R$2:$R$6,MATCH(E21,'Cost_Components'!$A$2:$A$6,0)),"")</f>
      </c>
      <c r="U21" s="88" t="str">
        <f>IFERROR(INDEX('Cost_Components'!$Q$2:$Q$6,MATCH(E21,'Cost_Components'!$A$2:$A$6,0)),"")</f>
      </c>
      <c r="V21" s="89" t="str">
        <f>1/(1+'Calculation_Assumptions'!$B$5)^(B21-'Calculation_Assumptions'!$B$2)</f>
      </c>
      <c r="W21" s="90" t="str">
        <f>Q21*V21</f>
      </c>
      <c r="X21" s="91" t="str">
        <f>R21*V21</f>
      </c>
      <c r="Y21" s="92" t="str">
        <f>S21*V21</f>
      </c>
      <c r="Z21" s="93" t="str">
        <f>IFERROR(INDEX('Cost_Components'!$T$2:$T$6,MATCH(E21,'Cost_Components'!$A$2:$A$6,0)),"")</f>
      </c>
      <c r="AA21" s="94" t="str">
        <f>IFERROR(INDEX('Cost_Components'!$U$2:$U$6,MATCH(E21,'Cost_Components'!$A$2:$A$6,0)),"")</f>
      </c>
      <c r="AB21" s="95" t="str">
        <f>IFERROR(INDEX('Cost_Components'!$V$2:$V$6,MATCH(E21,'Cost_Components'!$A$2:$A$6,0)),"")</f>
      </c>
      <c r="AC21" s="96" t="str">
        <f>IFERROR(INDEX('Cost_Components'!$M$2:$M$6,MATCH(E21,'Cost_Components'!$A$2:$A$6,0)),"")</f>
      </c>
      <c r="AD21" s="97" t="str">
        <f>IFERROR(INDEX('Cost_Components'!$N$2:$N$6,MATCH(E21,'Cost_Components'!$A$2:$A$6,0)),"")</f>
      </c>
      <c r="AE21" s="34" t="str">
        <f>IFERROR(INDEX('Cost_Components'!$O$2:$O$6,MATCH(E21,'Cost_Components'!$A$2:$A$6,0)),"")</f>
      </c>
      <c r="AF21" s="98" t="n">
        <v>195367093.935456</v>
      </c>
      <c r="AG21" s="99" t="n">
        <v>194740839.86655</v>
      </c>
      <c r="AH21" s="100" t="str">
        <f>IF(H21="shared-count-once",COUNTIFS($A$2:$A$131,A21,$B$2:$B$131,B21,$E$2:$E$131,E21),1)</f>
      </c>
      <c r="AI21" s="101" t="n">
        <v>318840890.732156</v>
      </c>
      <c r="AJ21" s="102" t="str">
        <f>IF(AI21=0,"",Q21/AI21)</f>
      </c>
      <c r="AK21" s="103" t="str">
        <f>IF(AI21=0,"",R21/AI21)</f>
      </c>
      <c r="AL21" s="104" t="str">
        <f>IF(AI21=0,"",S21/AI21)</f>
      </c>
      <c r="AM21" s="105" t="str">
        <f>IF(AI21=0,"",Y21/AI21)</f>
      </c>
    </row>
    <row r="22">
      <c r="A22" t="s">
        <v>115</v>
      </c>
      <c r="B22" s="73" t="n">
        <v>2045</v>
      </c>
      <c r="C22" t="s">
        <v>206</v>
      </c>
      <c r="D22"/>
      <c r="E22" s="74" t="s">
        <v>270</v>
      </c>
      <c r="F22" s="75" t="s">
        <v>271</v>
      </c>
      <c r="G22" s="76" t="s">
        <v>215</v>
      </c>
      <c r="H22" s="77" t="s">
        <v>216</v>
      </c>
      <c r="I22" s="78" t="s">
        <v>267</v>
      </c>
      <c r="J22" s="79" t="str">
        <f>IFERROR(INDEX('Cost_Components'!$K$2:$K$6,MATCH(E22,'Cost_Components'!$A$2:$A$6,0)),"")</f>
      </c>
      <c r="K22" s="106" t="n">
        <v>0.4165</v>
      </c>
      <c r="L22" s="80" t="str">
        <f>IFERROR(INDEX('Cost_Components'!$S$2:$S$6,MATCH(E22,'Cost_Components'!$A$2:$A$6,0)),"")</f>
      </c>
      <c r="M22" s="81" t="str">
        <f>IFERROR(INDEX('Cost_Components'!$L$2:$L$6,MATCH(E22,'Cost_Components'!$A$2:$A$6,0)),"")</f>
      </c>
      <c r="N22" s="82" t="str">
        <f>IFERROR(INDEX('Cost_Components'!$P$2:$P$6,MATCH(E22,'Cost_Components'!$A$2:$A$6,0)),"")</f>
      </c>
      <c r="O22" s="83" t="str">
        <f>AF22*J22</f>
      </c>
      <c r="P22" s="84" t="str">
        <f>AG22*J22</f>
      </c>
      <c r="Q22" s="85" t="str">
        <f>P22*L22*M22*N22</f>
      </c>
      <c r="R22" s="86" t="str">
        <f>O22*K22*M22*N22</f>
      </c>
      <c r="S22" s="87" t="str">
        <f>R22-Q22</f>
      </c>
      <c r="T22" s="34" t="str">
        <f>IFERROR(INDEX('Cost_Components'!$R$2:$R$6,MATCH(E22,'Cost_Components'!$A$2:$A$6,0)),"")</f>
      </c>
      <c r="U22" s="88" t="str">
        <f>IFERROR(INDEX('Cost_Components'!$Q$2:$Q$6,MATCH(E22,'Cost_Components'!$A$2:$A$6,0)),"")</f>
      </c>
      <c r="V22" s="89" t="str">
        <f>1/(1+'Calculation_Assumptions'!$B$5)^(B22-'Calculation_Assumptions'!$B$2)</f>
      </c>
      <c r="W22" s="90" t="str">
        <f>Q22*V22</f>
      </c>
      <c r="X22" s="91" t="str">
        <f>R22*V22</f>
      </c>
      <c r="Y22" s="92" t="str">
        <f>S22*V22</f>
      </c>
      <c r="Z22" s="93" t="str">
        <f>IFERROR(INDEX('Cost_Components'!$T$2:$T$6,MATCH(E22,'Cost_Components'!$A$2:$A$6,0)),"")</f>
      </c>
      <c r="AA22" s="94" t="str">
        <f>IFERROR(INDEX('Cost_Components'!$U$2:$U$6,MATCH(E22,'Cost_Components'!$A$2:$A$6,0)),"")</f>
      </c>
      <c r="AB22" s="95" t="str">
        <f>IFERROR(INDEX('Cost_Components'!$V$2:$V$6,MATCH(E22,'Cost_Components'!$A$2:$A$6,0)),"")</f>
      </c>
      <c r="AC22" s="96" t="str">
        <f>IFERROR(INDEX('Cost_Components'!$M$2:$M$6,MATCH(E22,'Cost_Components'!$A$2:$A$6,0)),"")</f>
      </c>
      <c r="AD22" s="97" t="str">
        <f>IFERROR(INDEX('Cost_Components'!$N$2:$N$6,MATCH(E22,'Cost_Components'!$A$2:$A$6,0)),"")</f>
      </c>
      <c r="AE22" s="34" t="str">
        <f>IFERROR(INDEX('Cost_Components'!$O$2:$O$6,MATCH(E22,'Cost_Components'!$A$2:$A$6,0)),"")</f>
      </c>
      <c r="AF22" s="98" t="n">
        <v>197135810.021916</v>
      </c>
      <c r="AG22" s="99" t="n">
        <v>196414899.064498</v>
      </c>
      <c r="AH22" s="100" t="str">
        <f>IF(H22="shared-count-once",COUNTIFS($A$2:$A$131,A22,$B$2:$B$131,B22,$E$2:$E$131,E22),1)</f>
      </c>
      <c r="AI22" s="101" t="n">
        <v>319784682.33108</v>
      </c>
      <c r="AJ22" s="102" t="str">
        <f>IF(AI22=0,"",Q22/AI22)</f>
      </c>
      <c r="AK22" s="103" t="str">
        <f>IF(AI22=0,"",R22/AI22)</f>
      </c>
      <c r="AL22" s="104" t="str">
        <f>IF(AI22=0,"",S22/AI22)</f>
      </c>
      <c r="AM22" s="105" t="str">
        <f>IF(AI22=0,"",Y22/AI22)</f>
      </c>
    </row>
    <row r="23">
      <c r="A23" t="s">
        <v>115</v>
      </c>
      <c r="B23" s="73" t="n">
        <v>2046</v>
      </c>
      <c r="C23" t="s">
        <v>206</v>
      </c>
      <c r="D23"/>
      <c r="E23" s="74" t="s">
        <v>270</v>
      </c>
      <c r="F23" s="75" t="s">
        <v>271</v>
      </c>
      <c r="G23" s="76" t="s">
        <v>215</v>
      </c>
      <c r="H23" s="77" t="s">
        <v>216</v>
      </c>
      <c r="I23" s="78" t="s">
        <v>267</v>
      </c>
      <c r="J23" s="79" t="str">
        <f>IFERROR(INDEX('Cost_Components'!$K$2:$K$6,MATCH(E23,'Cost_Components'!$A$2:$A$6,0)),"")</f>
      </c>
      <c r="K23" s="106" t="n">
        <v>0.4165</v>
      </c>
      <c r="L23" s="80" t="str">
        <f>IFERROR(INDEX('Cost_Components'!$S$2:$S$6,MATCH(E23,'Cost_Components'!$A$2:$A$6,0)),"")</f>
      </c>
      <c r="M23" s="81" t="str">
        <f>IFERROR(INDEX('Cost_Components'!$L$2:$L$6,MATCH(E23,'Cost_Components'!$A$2:$A$6,0)),"")</f>
      </c>
      <c r="N23" s="82" t="str">
        <f>IFERROR(INDEX('Cost_Components'!$P$2:$P$6,MATCH(E23,'Cost_Components'!$A$2:$A$6,0)),"")</f>
      </c>
      <c r="O23" s="83" t="str">
        <f>AF23*J23</f>
      </c>
      <c r="P23" s="84" t="str">
        <f>AG23*J23</f>
      </c>
      <c r="Q23" s="85" t="str">
        <f>P23*L23*M23*N23</f>
      </c>
      <c r="R23" s="86" t="str">
        <f>O23*K23*M23*N23</f>
      </c>
      <c r="S23" s="87" t="str">
        <f>R23-Q23</f>
      </c>
      <c r="T23" s="34" t="str">
        <f>IFERROR(INDEX('Cost_Components'!$R$2:$R$6,MATCH(E23,'Cost_Components'!$A$2:$A$6,0)),"")</f>
      </c>
      <c r="U23" s="88" t="str">
        <f>IFERROR(INDEX('Cost_Components'!$Q$2:$Q$6,MATCH(E23,'Cost_Components'!$A$2:$A$6,0)),"")</f>
      </c>
      <c r="V23" s="89" t="str">
        <f>1/(1+'Calculation_Assumptions'!$B$5)^(B23-'Calculation_Assumptions'!$B$2)</f>
      </c>
      <c r="W23" s="90" t="str">
        <f>Q23*V23</f>
      </c>
      <c r="X23" s="91" t="str">
        <f>R23*V23</f>
      </c>
      <c r="Y23" s="92" t="str">
        <f>S23*V23</f>
      </c>
      <c r="Z23" s="93" t="str">
        <f>IFERROR(INDEX('Cost_Components'!$T$2:$T$6,MATCH(E23,'Cost_Components'!$A$2:$A$6,0)),"")</f>
      </c>
      <c r="AA23" s="94" t="str">
        <f>IFERROR(INDEX('Cost_Components'!$U$2:$U$6,MATCH(E23,'Cost_Components'!$A$2:$A$6,0)),"")</f>
      </c>
      <c r="AB23" s="95" t="str">
        <f>IFERROR(INDEX('Cost_Components'!$V$2:$V$6,MATCH(E23,'Cost_Components'!$A$2:$A$6,0)),"")</f>
      </c>
      <c r="AC23" s="96" t="str">
        <f>IFERROR(INDEX('Cost_Components'!$M$2:$M$6,MATCH(E23,'Cost_Components'!$A$2:$A$6,0)),"")</f>
      </c>
      <c r="AD23" s="97" t="str">
        <f>IFERROR(INDEX('Cost_Components'!$N$2:$N$6,MATCH(E23,'Cost_Components'!$A$2:$A$6,0)),"")</f>
      </c>
      <c r="AE23" s="34" t="str">
        <f>IFERROR(INDEX('Cost_Components'!$O$2:$O$6,MATCH(E23,'Cost_Components'!$A$2:$A$6,0)),"")</f>
      </c>
      <c r="AF23" s="98" t="n">
        <v>198774504.006309</v>
      </c>
      <c r="AG23" s="99" t="n">
        <v>197983069.14574</v>
      </c>
      <c r="AH23" s="100" t="str">
        <f>IF(H23="shared-count-once",COUNTIFS($A$2:$A$131,A23,$B$2:$B$131,B23,$E$2:$E$131,E23),1)</f>
      </c>
      <c r="AI23" s="101" t="n">
        <v>320645615.981408</v>
      </c>
      <c r="AJ23" s="102" t="str">
        <f>IF(AI23=0,"",Q23/AI23)</f>
      </c>
      <c r="AK23" s="103" t="str">
        <f>IF(AI23=0,"",R23/AI23)</f>
      </c>
      <c r="AL23" s="104" t="str">
        <f>IF(AI23=0,"",S23/AI23)</f>
      </c>
      <c r="AM23" s="105" t="str">
        <f>IF(AI23=0,"",Y23/AI23)</f>
      </c>
    </row>
    <row r="24">
      <c r="A24" t="s">
        <v>115</v>
      </c>
      <c r="B24" s="73" t="n">
        <v>2047</v>
      </c>
      <c r="C24" t="s">
        <v>206</v>
      </c>
      <c r="D24"/>
      <c r="E24" s="74" t="s">
        <v>270</v>
      </c>
      <c r="F24" s="75" t="s">
        <v>271</v>
      </c>
      <c r="G24" s="76" t="s">
        <v>215</v>
      </c>
      <c r="H24" s="77" t="s">
        <v>216</v>
      </c>
      <c r="I24" s="78" t="s">
        <v>267</v>
      </c>
      <c r="J24" s="79" t="str">
        <f>IFERROR(INDEX('Cost_Components'!$K$2:$K$6,MATCH(E24,'Cost_Components'!$A$2:$A$6,0)),"")</f>
      </c>
      <c r="K24" s="106" t="n">
        <v>0.4165</v>
      </c>
      <c r="L24" s="80" t="str">
        <f>IFERROR(INDEX('Cost_Components'!$S$2:$S$6,MATCH(E24,'Cost_Components'!$A$2:$A$6,0)),"")</f>
      </c>
      <c r="M24" s="81" t="str">
        <f>IFERROR(INDEX('Cost_Components'!$L$2:$L$6,MATCH(E24,'Cost_Components'!$A$2:$A$6,0)),"")</f>
      </c>
      <c r="N24" s="82" t="str">
        <f>IFERROR(INDEX('Cost_Components'!$P$2:$P$6,MATCH(E24,'Cost_Components'!$A$2:$A$6,0)),"")</f>
      </c>
      <c r="O24" s="83" t="str">
        <f>AF24*J24</f>
      </c>
      <c r="P24" s="84" t="str">
        <f>AG24*J24</f>
      </c>
      <c r="Q24" s="85" t="str">
        <f>P24*L24*M24*N24</f>
      </c>
      <c r="R24" s="86" t="str">
        <f>O24*K24*M24*N24</f>
      </c>
      <c r="S24" s="87" t="str">
        <f>R24-Q24</f>
      </c>
      <c r="T24" s="34" t="str">
        <f>IFERROR(INDEX('Cost_Components'!$R$2:$R$6,MATCH(E24,'Cost_Components'!$A$2:$A$6,0)),"")</f>
      </c>
      <c r="U24" s="88" t="str">
        <f>IFERROR(INDEX('Cost_Components'!$Q$2:$Q$6,MATCH(E24,'Cost_Components'!$A$2:$A$6,0)),"")</f>
      </c>
      <c r="V24" s="89" t="str">
        <f>1/(1+'Calculation_Assumptions'!$B$5)^(B24-'Calculation_Assumptions'!$B$2)</f>
      </c>
      <c r="W24" s="90" t="str">
        <f>Q24*V24</f>
      </c>
      <c r="X24" s="91" t="str">
        <f>R24*V24</f>
      </c>
      <c r="Y24" s="92" t="str">
        <f>S24*V24</f>
      </c>
      <c r="Z24" s="93" t="str">
        <f>IFERROR(INDEX('Cost_Components'!$T$2:$T$6,MATCH(E24,'Cost_Components'!$A$2:$A$6,0)),"")</f>
      </c>
      <c r="AA24" s="94" t="str">
        <f>IFERROR(INDEX('Cost_Components'!$U$2:$U$6,MATCH(E24,'Cost_Components'!$A$2:$A$6,0)),"")</f>
      </c>
      <c r="AB24" s="95" t="str">
        <f>IFERROR(INDEX('Cost_Components'!$V$2:$V$6,MATCH(E24,'Cost_Components'!$A$2:$A$6,0)),"")</f>
      </c>
      <c r="AC24" s="96" t="str">
        <f>IFERROR(INDEX('Cost_Components'!$M$2:$M$6,MATCH(E24,'Cost_Components'!$A$2:$A$6,0)),"")</f>
      </c>
      <c r="AD24" s="97" t="str">
        <f>IFERROR(INDEX('Cost_Components'!$N$2:$N$6,MATCH(E24,'Cost_Components'!$A$2:$A$6,0)),"")</f>
      </c>
      <c r="AE24" s="34" t="str">
        <f>IFERROR(INDEX('Cost_Components'!$O$2:$O$6,MATCH(E24,'Cost_Components'!$A$2:$A$6,0)),"")</f>
      </c>
      <c r="AF24" s="98" t="n">
        <v>200118362.73153</v>
      </c>
      <c r="AG24" s="99" t="n">
        <v>199231676.533879</v>
      </c>
      <c r="AH24" s="100" t="str">
        <f>IF(H24="shared-count-once",COUNTIFS($A$2:$A$131,A24,$B$2:$B$131,B24,$E$2:$E$131,E24),1)</f>
      </c>
      <c r="AI24" s="101" t="n">
        <v>321429520.522875</v>
      </c>
      <c r="AJ24" s="102" t="str">
        <f>IF(AI24=0,"",Q24/AI24)</f>
      </c>
      <c r="AK24" s="103" t="str">
        <f>IF(AI24=0,"",R24/AI24)</f>
      </c>
      <c r="AL24" s="104" t="str">
        <f>IF(AI24=0,"",S24/AI24)</f>
      </c>
      <c r="AM24" s="105" t="str">
        <f>IF(AI24=0,"",Y24/AI24)</f>
      </c>
    </row>
    <row r="25">
      <c r="A25" t="s">
        <v>115</v>
      </c>
      <c r="B25" s="73" t="n">
        <v>2048</v>
      </c>
      <c r="C25" t="s">
        <v>206</v>
      </c>
      <c r="D25"/>
      <c r="E25" s="74" t="s">
        <v>270</v>
      </c>
      <c r="F25" s="75" t="s">
        <v>271</v>
      </c>
      <c r="G25" s="76" t="s">
        <v>215</v>
      </c>
      <c r="H25" s="77" t="s">
        <v>216</v>
      </c>
      <c r="I25" s="78" t="s">
        <v>267</v>
      </c>
      <c r="J25" s="79" t="str">
        <f>IFERROR(INDEX('Cost_Components'!$K$2:$K$6,MATCH(E25,'Cost_Components'!$A$2:$A$6,0)),"")</f>
      </c>
      <c r="K25" s="106" t="n">
        <v>0.4165</v>
      </c>
      <c r="L25" s="80" t="str">
        <f>IFERROR(INDEX('Cost_Components'!$S$2:$S$6,MATCH(E25,'Cost_Components'!$A$2:$A$6,0)),"")</f>
      </c>
      <c r="M25" s="81" t="str">
        <f>IFERROR(INDEX('Cost_Components'!$L$2:$L$6,MATCH(E25,'Cost_Components'!$A$2:$A$6,0)),"")</f>
      </c>
      <c r="N25" s="82" t="str">
        <f>IFERROR(INDEX('Cost_Components'!$P$2:$P$6,MATCH(E25,'Cost_Components'!$A$2:$A$6,0)),"")</f>
      </c>
      <c r="O25" s="83" t="str">
        <f>AF25*J25</f>
      </c>
      <c r="P25" s="84" t="str">
        <f>AG25*J25</f>
      </c>
      <c r="Q25" s="85" t="str">
        <f>P25*L25*M25*N25</f>
      </c>
      <c r="R25" s="86" t="str">
        <f>O25*K25*M25*N25</f>
      </c>
      <c r="S25" s="87" t="str">
        <f>R25-Q25</f>
      </c>
      <c r="T25" s="34" t="str">
        <f>IFERROR(INDEX('Cost_Components'!$R$2:$R$6,MATCH(E25,'Cost_Components'!$A$2:$A$6,0)),"")</f>
      </c>
      <c r="U25" s="88" t="str">
        <f>IFERROR(INDEX('Cost_Components'!$Q$2:$Q$6,MATCH(E25,'Cost_Components'!$A$2:$A$6,0)),"")</f>
      </c>
      <c r="V25" s="89" t="str">
        <f>1/(1+'Calculation_Assumptions'!$B$5)^(B25-'Calculation_Assumptions'!$B$2)</f>
      </c>
      <c r="W25" s="90" t="str">
        <f>Q25*V25</f>
      </c>
      <c r="X25" s="91" t="str">
        <f>R25*V25</f>
      </c>
      <c r="Y25" s="92" t="str">
        <f>S25*V25</f>
      </c>
      <c r="Z25" s="93" t="str">
        <f>IFERROR(INDEX('Cost_Components'!$T$2:$T$6,MATCH(E25,'Cost_Components'!$A$2:$A$6,0)),"")</f>
      </c>
      <c r="AA25" s="94" t="str">
        <f>IFERROR(INDEX('Cost_Components'!$U$2:$U$6,MATCH(E25,'Cost_Components'!$A$2:$A$6,0)),"")</f>
      </c>
      <c r="AB25" s="95" t="str">
        <f>IFERROR(INDEX('Cost_Components'!$V$2:$V$6,MATCH(E25,'Cost_Components'!$A$2:$A$6,0)),"")</f>
      </c>
      <c r="AC25" s="96" t="str">
        <f>IFERROR(INDEX('Cost_Components'!$M$2:$M$6,MATCH(E25,'Cost_Components'!$A$2:$A$6,0)),"")</f>
      </c>
      <c r="AD25" s="97" t="str">
        <f>IFERROR(INDEX('Cost_Components'!$N$2:$N$6,MATCH(E25,'Cost_Components'!$A$2:$A$6,0)),"")</f>
      </c>
      <c r="AE25" s="34" t="str">
        <f>IFERROR(INDEX('Cost_Components'!$O$2:$O$6,MATCH(E25,'Cost_Components'!$A$2:$A$6,0)),"")</f>
      </c>
      <c r="AF25" s="98" t="n">
        <v>201366549.663067</v>
      </c>
      <c r="AG25" s="99" t="n">
        <v>200384086.462219</v>
      </c>
      <c r="AH25" s="100" t="str">
        <f>IF(H25="shared-count-once",COUNTIFS($A$2:$A$131,A25,$B$2:$B$131,B25,$E$2:$E$131,E25),1)</f>
      </c>
      <c r="AI25" s="101" t="n">
        <v>322136832.260161</v>
      </c>
      <c r="AJ25" s="102" t="str">
        <f>IF(AI25=0,"",Q25/AI25)</f>
      </c>
      <c r="AK25" s="103" t="str">
        <f>IF(AI25=0,"",R25/AI25)</f>
      </c>
      <c r="AL25" s="104" t="str">
        <f>IF(AI25=0,"",S25/AI25)</f>
      </c>
      <c r="AM25" s="105" t="str">
        <f>IF(AI25=0,"",Y25/AI25)</f>
      </c>
    </row>
    <row r="26">
      <c r="A26" t="s">
        <v>115</v>
      </c>
      <c r="B26" s="73" t="n">
        <v>2049</v>
      </c>
      <c r="C26" t="s">
        <v>206</v>
      </c>
      <c r="D26"/>
      <c r="E26" s="74" t="s">
        <v>270</v>
      </c>
      <c r="F26" s="75" t="s">
        <v>271</v>
      </c>
      <c r="G26" s="76" t="s">
        <v>215</v>
      </c>
      <c r="H26" s="77" t="s">
        <v>216</v>
      </c>
      <c r="I26" s="78" t="s">
        <v>267</v>
      </c>
      <c r="J26" s="79" t="str">
        <f>IFERROR(INDEX('Cost_Components'!$K$2:$K$6,MATCH(E26,'Cost_Components'!$A$2:$A$6,0)),"")</f>
      </c>
      <c r="K26" s="106" t="n">
        <v>0.4165</v>
      </c>
      <c r="L26" s="80" t="str">
        <f>IFERROR(INDEX('Cost_Components'!$S$2:$S$6,MATCH(E26,'Cost_Components'!$A$2:$A$6,0)),"")</f>
      </c>
      <c r="M26" s="81" t="str">
        <f>IFERROR(INDEX('Cost_Components'!$L$2:$L$6,MATCH(E26,'Cost_Components'!$A$2:$A$6,0)),"")</f>
      </c>
      <c r="N26" s="82" t="str">
        <f>IFERROR(INDEX('Cost_Components'!$P$2:$P$6,MATCH(E26,'Cost_Components'!$A$2:$A$6,0)),"")</f>
      </c>
      <c r="O26" s="83" t="str">
        <f>AF26*J26</f>
      </c>
      <c r="P26" s="84" t="str">
        <f>AG26*J26</f>
      </c>
      <c r="Q26" s="85" t="str">
        <f>P26*L26*M26*N26</f>
      </c>
      <c r="R26" s="86" t="str">
        <f>O26*K26*M26*N26</f>
      </c>
      <c r="S26" s="87" t="str">
        <f>R26-Q26</f>
      </c>
      <c r="T26" s="34" t="str">
        <f>IFERROR(INDEX('Cost_Components'!$R$2:$R$6,MATCH(E26,'Cost_Components'!$A$2:$A$6,0)),"")</f>
      </c>
      <c r="U26" s="88" t="str">
        <f>IFERROR(INDEX('Cost_Components'!$Q$2:$Q$6,MATCH(E26,'Cost_Components'!$A$2:$A$6,0)),"")</f>
      </c>
      <c r="V26" s="89" t="str">
        <f>1/(1+'Calculation_Assumptions'!$B$5)^(B26-'Calculation_Assumptions'!$B$2)</f>
      </c>
      <c r="W26" s="90" t="str">
        <f>Q26*V26</f>
      </c>
      <c r="X26" s="91" t="str">
        <f>R26*V26</f>
      </c>
      <c r="Y26" s="92" t="str">
        <f>S26*V26</f>
      </c>
      <c r="Z26" s="93" t="str">
        <f>IFERROR(INDEX('Cost_Components'!$T$2:$T$6,MATCH(E26,'Cost_Components'!$A$2:$A$6,0)),"")</f>
      </c>
      <c r="AA26" s="94" t="str">
        <f>IFERROR(INDEX('Cost_Components'!$U$2:$U$6,MATCH(E26,'Cost_Components'!$A$2:$A$6,0)),"")</f>
      </c>
      <c r="AB26" s="95" t="str">
        <f>IFERROR(INDEX('Cost_Components'!$V$2:$V$6,MATCH(E26,'Cost_Components'!$A$2:$A$6,0)),"")</f>
      </c>
      <c r="AC26" s="96" t="str">
        <f>IFERROR(INDEX('Cost_Components'!$M$2:$M$6,MATCH(E26,'Cost_Components'!$A$2:$A$6,0)),"")</f>
      </c>
      <c r="AD26" s="97" t="str">
        <f>IFERROR(INDEX('Cost_Components'!$N$2:$N$6,MATCH(E26,'Cost_Components'!$A$2:$A$6,0)),"")</f>
      </c>
      <c r="AE26" s="34" t="str">
        <f>IFERROR(INDEX('Cost_Components'!$O$2:$O$6,MATCH(E26,'Cost_Components'!$A$2:$A$6,0)),"")</f>
      </c>
      <c r="AF26" s="98" t="n">
        <v>202557012.174681</v>
      </c>
      <c r="AG26" s="99" t="n">
        <v>201479711.500819</v>
      </c>
      <c r="AH26" s="100" t="str">
        <f>IF(H26="shared-count-once",COUNTIFS($A$2:$A$131,A26,$B$2:$B$131,B26,$E$2:$E$131,E26),1)</f>
      </c>
      <c r="AI26" s="101" t="n">
        <v>322765819.752681</v>
      </c>
      <c r="AJ26" s="102" t="str">
        <f>IF(AI26=0,"",Q26/AI26)</f>
      </c>
      <c r="AK26" s="103" t="str">
        <f>IF(AI26=0,"",R26/AI26)</f>
      </c>
      <c r="AL26" s="104" t="str">
        <f>IF(AI26=0,"",S26/AI26)</f>
      </c>
      <c r="AM26" s="105" t="str">
        <f>IF(AI26=0,"",Y26/AI26)</f>
      </c>
    </row>
    <row r="27">
      <c r="A27" t="s">
        <v>115</v>
      </c>
      <c r="B27" s="73" t="n">
        <v>2050</v>
      </c>
      <c r="C27" t="s">
        <v>206</v>
      </c>
      <c r="D27"/>
      <c r="E27" s="74" t="s">
        <v>270</v>
      </c>
      <c r="F27" s="75" t="s">
        <v>271</v>
      </c>
      <c r="G27" s="76" t="s">
        <v>215</v>
      </c>
      <c r="H27" s="77" t="s">
        <v>216</v>
      </c>
      <c r="I27" s="78" t="s">
        <v>267</v>
      </c>
      <c r="J27" s="79" t="str">
        <f>IFERROR(INDEX('Cost_Components'!$K$2:$K$6,MATCH(E27,'Cost_Components'!$A$2:$A$6,0)),"")</f>
      </c>
      <c r="K27" s="106" t="n">
        <v>0.4165</v>
      </c>
      <c r="L27" s="80" t="str">
        <f>IFERROR(INDEX('Cost_Components'!$S$2:$S$6,MATCH(E27,'Cost_Components'!$A$2:$A$6,0)),"")</f>
      </c>
      <c r="M27" s="81" t="str">
        <f>IFERROR(INDEX('Cost_Components'!$L$2:$L$6,MATCH(E27,'Cost_Components'!$A$2:$A$6,0)),"")</f>
      </c>
      <c r="N27" s="82" t="str">
        <f>IFERROR(INDEX('Cost_Components'!$P$2:$P$6,MATCH(E27,'Cost_Components'!$A$2:$A$6,0)),"")</f>
      </c>
      <c r="O27" s="83" t="str">
        <f>AF27*J27</f>
      </c>
      <c r="P27" s="84" t="str">
        <f>AG27*J27</f>
      </c>
      <c r="Q27" s="85" t="str">
        <f>P27*L27*M27*N27</f>
      </c>
      <c r="R27" s="86" t="str">
        <f>O27*K27*M27*N27</f>
      </c>
      <c r="S27" s="87" t="str">
        <f>R27-Q27</f>
      </c>
      <c r="T27" s="34" t="str">
        <f>IFERROR(INDEX('Cost_Components'!$R$2:$R$6,MATCH(E27,'Cost_Components'!$A$2:$A$6,0)),"")</f>
      </c>
      <c r="U27" s="88" t="str">
        <f>IFERROR(INDEX('Cost_Components'!$Q$2:$Q$6,MATCH(E27,'Cost_Components'!$A$2:$A$6,0)),"")</f>
      </c>
      <c r="V27" s="89" t="str">
        <f>1/(1+'Calculation_Assumptions'!$B$5)^(B27-'Calculation_Assumptions'!$B$2)</f>
      </c>
      <c r="W27" s="90" t="str">
        <f>Q27*V27</f>
      </c>
      <c r="X27" s="91" t="str">
        <f>R27*V27</f>
      </c>
      <c r="Y27" s="92" t="str">
        <f>S27*V27</f>
      </c>
      <c r="Z27" s="93" t="str">
        <f>IFERROR(INDEX('Cost_Components'!$T$2:$T$6,MATCH(E27,'Cost_Components'!$A$2:$A$6,0)),"")</f>
      </c>
      <c r="AA27" s="94" t="str">
        <f>IFERROR(INDEX('Cost_Components'!$U$2:$U$6,MATCH(E27,'Cost_Components'!$A$2:$A$6,0)),"")</f>
      </c>
      <c r="AB27" s="95" t="str">
        <f>IFERROR(INDEX('Cost_Components'!$V$2:$V$6,MATCH(E27,'Cost_Components'!$A$2:$A$6,0)),"")</f>
      </c>
      <c r="AC27" s="96" t="str">
        <f>IFERROR(INDEX('Cost_Components'!$M$2:$M$6,MATCH(E27,'Cost_Components'!$A$2:$A$6,0)),"")</f>
      </c>
      <c r="AD27" s="97" t="str">
        <f>IFERROR(INDEX('Cost_Components'!$N$2:$N$6,MATCH(E27,'Cost_Components'!$A$2:$A$6,0)),"")</f>
      </c>
      <c r="AE27" s="34" t="str">
        <f>IFERROR(INDEX('Cost_Components'!$O$2:$O$6,MATCH(E27,'Cost_Components'!$A$2:$A$6,0)),"")</f>
      </c>
      <c r="AF27" s="98" t="n">
        <v>203683833.130382</v>
      </c>
      <c r="AG27" s="99" t="n">
        <v>202479799.760483</v>
      </c>
      <c r="AH27" s="100" t="str">
        <f>IF(H27="shared-count-once",COUNTIFS($A$2:$A$131,A27,$B$2:$B$131,B27,$E$2:$E$131,E27),1)</f>
      </c>
      <c r="AI27" s="101" t="n">
        <v>323312042.563285</v>
      </c>
      <c r="AJ27" s="102" t="str">
        <f>IF(AI27=0,"",Q27/AI27)</f>
      </c>
      <c r="AK27" s="103" t="str">
        <f>IF(AI27=0,"",R27/AI27)</f>
      </c>
      <c r="AL27" s="104" t="str">
        <f>IF(AI27=0,"",S27/AI27)</f>
      </c>
      <c r="AM27" s="105" t="str">
        <f>IF(AI27=0,"",Y27/AI27)</f>
      </c>
    </row>
    <row r="28">
      <c r="A28" t="s">
        <v>115</v>
      </c>
      <c r="B28" s="73" t="n">
        <v>2025</v>
      </c>
      <c r="C28" t="s">
        <v>206</v>
      </c>
      <c r="D28"/>
      <c r="E28" s="74" t="s">
        <v>262</v>
      </c>
      <c r="F28" s="75" t="s">
        <v>263</v>
      </c>
      <c r="G28" s="76" t="s">
        <v>215</v>
      </c>
      <c r="H28" s="77" t="s">
        <v>216</v>
      </c>
      <c r="I28" s="78" t="s">
        <v>267</v>
      </c>
      <c r="J28" s="79" t="str">
        <f>IFERROR(INDEX('Cost_Components'!$K$2:$K$6,MATCH(E28,'Cost_Components'!$A$2:$A$6,0)),"")</f>
      </c>
      <c r="K28" s="106" t="n">
        <v>0.113766857372906</v>
      </c>
      <c r="L28" s="80" t="str">
        <f>IFERROR(INDEX('Cost_Components'!$S$2:$S$6,MATCH(E28,'Cost_Components'!$A$2:$A$6,0)),"")</f>
      </c>
      <c r="M28" s="81" t="str">
        <f>IFERROR(INDEX('Cost_Components'!$L$2:$L$6,MATCH(E28,'Cost_Components'!$A$2:$A$6,0)),"")</f>
      </c>
      <c r="N28" s="82" t="str">
        <f>IFERROR(INDEX('Cost_Components'!$P$2:$P$6,MATCH(E28,'Cost_Components'!$A$2:$A$6,0)),"")</f>
      </c>
      <c r="O28" s="83" t="str">
        <f>AF28*J28</f>
      </c>
      <c r="P28" s="84" t="str">
        <f>AG28*J28</f>
      </c>
      <c r="Q28" s="85" t="str">
        <f>P28*L28*M28*N28</f>
      </c>
      <c r="R28" s="86" t="str">
        <f>O28*K28*M28*N28</f>
      </c>
      <c r="S28" s="87" t="str">
        <f>R28-Q28</f>
      </c>
      <c r="T28" s="34" t="str">
        <f>IFERROR(INDEX('Cost_Components'!$R$2:$R$6,MATCH(E28,'Cost_Components'!$A$2:$A$6,0)),"")</f>
      </c>
      <c r="U28" s="88" t="str">
        <f>IFERROR(INDEX('Cost_Components'!$Q$2:$Q$6,MATCH(E28,'Cost_Components'!$A$2:$A$6,0)),"")</f>
      </c>
      <c r="V28" s="89" t="str">
        <f>1/(1+'Calculation_Assumptions'!$B$5)^(B28-'Calculation_Assumptions'!$B$2)</f>
      </c>
      <c r="W28" s="90" t="str">
        <f>Q28*V28</f>
      </c>
      <c r="X28" s="91" t="str">
        <f>R28*V28</f>
      </c>
      <c r="Y28" s="92" t="str">
        <f>S28*V28</f>
      </c>
      <c r="Z28" s="93" t="str">
        <f>IFERROR(INDEX('Cost_Components'!$T$2:$T$6,MATCH(E28,'Cost_Components'!$A$2:$A$6,0)),"")</f>
      </c>
      <c r="AA28" s="94" t="str">
        <f>IFERROR(INDEX('Cost_Components'!$U$2:$U$6,MATCH(E28,'Cost_Components'!$A$2:$A$6,0)),"")</f>
      </c>
      <c r="AB28" s="95" t="str">
        <f>IFERROR(INDEX('Cost_Components'!$V$2:$V$6,MATCH(E28,'Cost_Components'!$A$2:$A$6,0)),"")</f>
      </c>
      <c r="AC28" s="96" t="str">
        <f>IFERROR(INDEX('Cost_Components'!$M$2:$M$6,MATCH(E28,'Cost_Components'!$A$2:$A$6,0)),"")</f>
      </c>
      <c r="AD28" s="97" t="str">
        <f>IFERROR(INDEX('Cost_Components'!$N$2:$N$6,MATCH(E28,'Cost_Components'!$A$2:$A$6,0)),"")</f>
      </c>
      <c r="AE28" s="34" t="str">
        <f>IFERROR(INDEX('Cost_Components'!$O$2:$O$6,MATCH(E28,'Cost_Components'!$A$2:$A$6,0)),"")</f>
      </c>
      <c r="AF28" s="98" t="n">
        <v>155093185.780917</v>
      </c>
      <c r="AG28" s="99" t="n">
        <v>155093185.780917</v>
      </c>
      <c r="AH28" s="100" t="str">
        <f>IF(H28="shared-count-once",COUNTIFS($A$2:$A$131,A28,$B$2:$B$131,B28,$E$2:$E$131,E28),1)</f>
      </c>
      <c r="AI28" s="101" t="n">
        <v>288391907.644456</v>
      </c>
      <c r="AJ28" s="102" t="str">
        <f>IF(AI28=0,"",Q28/AI28)</f>
      </c>
      <c r="AK28" s="103" t="str">
        <f>IF(AI28=0,"",R28/AI28)</f>
      </c>
      <c r="AL28" s="104" t="str">
        <f>IF(AI28=0,"",S28/AI28)</f>
      </c>
      <c r="AM28" s="105" t="str">
        <f>IF(AI28=0,"",Y28/AI28)</f>
      </c>
    </row>
    <row r="29">
      <c r="A29" t="s">
        <v>115</v>
      </c>
      <c r="B29" s="73" t="n">
        <v>2026</v>
      </c>
      <c r="C29" t="s">
        <v>206</v>
      </c>
      <c r="D29"/>
      <c r="E29" s="74" t="s">
        <v>262</v>
      </c>
      <c r="F29" s="75" t="s">
        <v>263</v>
      </c>
      <c r="G29" s="76" t="s">
        <v>215</v>
      </c>
      <c r="H29" s="77" t="s">
        <v>216</v>
      </c>
      <c r="I29" s="78" t="s">
        <v>267</v>
      </c>
      <c r="J29" s="79" t="str">
        <f>IFERROR(INDEX('Cost_Components'!$K$2:$K$6,MATCH(E29,'Cost_Components'!$A$2:$A$6,0)),"")</f>
      </c>
      <c r="K29" s="106" t="n">
        <v>0.118313485898325</v>
      </c>
      <c r="L29" s="80" t="str">
        <f>IFERROR(INDEX('Cost_Components'!$S$2:$S$6,MATCH(E29,'Cost_Components'!$A$2:$A$6,0)),"")</f>
      </c>
      <c r="M29" s="81" t="str">
        <f>IFERROR(INDEX('Cost_Components'!$L$2:$L$6,MATCH(E29,'Cost_Components'!$A$2:$A$6,0)),"")</f>
      </c>
      <c r="N29" s="82" t="str">
        <f>IFERROR(INDEX('Cost_Components'!$P$2:$P$6,MATCH(E29,'Cost_Components'!$A$2:$A$6,0)),"")</f>
      </c>
      <c r="O29" s="83" t="str">
        <f>AF29*J29</f>
      </c>
      <c r="P29" s="84" t="str">
        <f>AG29*J29</f>
      </c>
      <c r="Q29" s="85" t="str">
        <f>P29*L29*M29*N29</f>
      </c>
      <c r="R29" s="86" t="str">
        <f>O29*K29*M29*N29</f>
      </c>
      <c r="S29" s="87" t="str">
        <f>R29-Q29</f>
      </c>
      <c r="T29" s="34" t="str">
        <f>IFERROR(INDEX('Cost_Components'!$R$2:$R$6,MATCH(E29,'Cost_Components'!$A$2:$A$6,0)),"")</f>
      </c>
      <c r="U29" s="88" t="str">
        <f>IFERROR(INDEX('Cost_Components'!$Q$2:$Q$6,MATCH(E29,'Cost_Components'!$A$2:$A$6,0)),"")</f>
      </c>
      <c r="V29" s="89" t="str">
        <f>1/(1+'Calculation_Assumptions'!$B$5)^(B29-'Calculation_Assumptions'!$B$2)</f>
      </c>
      <c r="W29" s="90" t="str">
        <f>Q29*V29</f>
      </c>
      <c r="X29" s="91" t="str">
        <f>R29*V29</f>
      </c>
      <c r="Y29" s="92" t="str">
        <f>S29*V29</f>
      </c>
      <c r="Z29" s="93" t="str">
        <f>IFERROR(INDEX('Cost_Components'!$T$2:$T$6,MATCH(E29,'Cost_Components'!$A$2:$A$6,0)),"")</f>
      </c>
      <c r="AA29" s="94" t="str">
        <f>IFERROR(INDEX('Cost_Components'!$U$2:$U$6,MATCH(E29,'Cost_Components'!$A$2:$A$6,0)),"")</f>
      </c>
      <c r="AB29" s="95" t="str">
        <f>IFERROR(INDEX('Cost_Components'!$V$2:$V$6,MATCH(E29,'Cost_Components'!$A$2:$A$6,0)),"")</f>
      </c>
      <c r="AC29" s="96" t="str">
        <f>IFERROR(INDEX('Cost_Components'!$M$2:$M$6,MATCH(E29,'Cost_Components'!$A$2:$A$6,0)),"")</f>
      </c>
      <c r="AD29" s="97" t="str">
        <f>IFERROR(INDEX('Cost_Components'!$N$2:$N$6,MATCH(E29,'Cost_Components'!$A$2:$A$6,0)),"")</f>
      </c>
      <c r="AE29" s="34" t="str">
        <f>IFERROR(INDEX('Cost_Components'!$O$2:$O$6,MATCH(E29,'Cost_Components'!$A$2:$A$6,0)),"")</f>
      </c>
      <c r="AF29" s="98" t="n">
        <v>157503828.425009</v>
      </c>
      <c r="AG29" s="99" t="n">
        <v>157503828.425009</v>
      </c>
      <c r="AH29" s="100" t="str">
        <f>IF(H29="shared-count-once",COUNTIFS($A$2:$A$131,A29,$B$2:$B$131,B29,$E$2:$E$131,E29),1)</f>
      </c>
      <c r="AI29" s="101" t="n">
        <v>290472130.233437</v>
      </c>
      <c r="AJ29" s="102" t="str">
        <f>IF(AI29=0,"",Q29/AI29)</f>
      </c>
      <c r="AK29" s="103" t="str">
        <f>IF(AI29=0,"",R29/AI29)</f>
      </c>
      <c r="AL29" s="104" t="str">
        <f>IF(AI29=0,"",S29/AI29)</f>
      </c>
      <c r="AM29" s="105" t="str">
        <f>IF(AI29=0,"",Y29/AI29)</f>
      </c>
    </row>
    <row r="30">
      <c r="A30" t="s">
        <v>115</v>
      </c>
      <c r="B30" s="73" t="n">
        <v>2027</v>
      </c>
      <c r="C30" t="s">
        <v>206</v>
      </c>
      <c r="D30"/>
      <c r="E30" s="74" t="s">
        <v>262</v>
      </c>
      <c r="F30" s="75" t="s">
        <v>263</v>
      </c>
      <c r="G30" s="76" t="s">
        <v>215</v>
      </c>
      <c r="H30" s="77" t="s">
        <v>216</v>
      </c>
      <c r="I30" s="78" t="s">
        <v>267</v>
      </c>
      <c r="J30" s="79" t="str">
        <f>IFERROR(INDEX('Cost_Components'!$K$2:$K$6,MATCH(E30,'Cost_Components'!$A$2:$A$6,0)),"")</f>
      </c>
      <c r="K30" s="106" t="n">
        <v>0.122860114423744</v>
      </c>
      <c r="L30" s="80" t="str">
        <f>IFERROR(INDEX('Cost_Components'!$S$2:$S$6,MATCH(E30,'Cost_Components'!$A$2:$A$6,0)),"")</f>
      </c>
      <c r="M30" s="81" t="str">
        <f>IFERROR(INDEX('Cost_Components'!$L$2:$L$6,MATCH(E30,'Cost_Components'!$A$2:$A$6,0)),"")</f>
      </c>
      <c r="N30" s="82" t="str">
        <f>IFERROR(INDEX('Cost_Components'!$P$2:$P$6,MATCH(E30,'Cost_Components'!$A$2:$A$6,0)),"")</f>
      </c>
      <c r="O30" s="83" t="str">
        <f>AF30*J30</f>
      </c>
      <c r="P30" s="84" t="str">
        <f>AG30*J30</f>
      </c>
      <c r="Q30" s="85" t="str">
        <f>P30*L30*M30*N30</f>
      </c>
      <c r="R30" s="86" t="str">
        <f>O30*K30*M30*N30</f>
      </c>
      <c r="S30" s="87" t="str">
        <f>R30-Q30</f>
      </c>
      <c r="T30" s="34" t="str">
        <f>IFERROR(INDEX('Cost_Components'!$R$2:$R$6,MATCH(E30,'Cost_Components'!$A$2:$A$6,0)),"")</f>
      </c>
      <c r="U30" s="88" t="str">
        <f>IFERROR(INDEX('Cost_Components'!$Q$2:$Q$6,MATCH(E30,'Cost_Components'!$A$2:$A$6,0)),"")</f>
      </c>
      <c r="V30" s="89" t="str">
        <f>1/(1+'Calculation_Assumptions'!$B$5)^(B30-'Calculation_Assumptions'!$B$2)</f>
      </c>
      <c r="W30" s="90" t="str">
        <f>Q30*V30</f>
      </c>
      <c r="X30" s="91" t="str">
        <f>R30*V30</f>
      </c>
      <c r="Y30" s="92" t="str">
        <f>S30*V30</f>
      </c>
      <c r="Z30" s="93" t="str">
        <f>IFERROR(INDEX('Cost_Components'!$T$2:$T$6,MATCH(E30,'Cost_Components'!$A$2:$A$6,0)),"")</f>
      </c>
      <c r="AA30" s="94" t="str">
        <f>IFERROR(INDEX('Cost_Components'!$U$2:$U$6,MATCH(E30,'Cost_Components'!$A$2:$A$6,0)),"")</f>
      </c>
      <c r="AB30" s="95" t="str">
        <f>IFERROR(INDEX('Cost_Components'!$V$2:$V$6,MATCH(E30,'Cost_Components'!$A$2:$A$6,0)),"")</f>
      </c>
      <c r="AC30" s="96" t="str">
        <f>IFERROR(INDEX('Cost_Components'!$M$2:$M$6,MATCH(E30,'Cost_Components'!$A$2:$A$6,0)),"")</f>
      </c>
      <c r="AD30" s="97" t="str">
        <f>IFERROR(INDEX('Cost_Components'!$N$2:$N$6,MATCH(E30,'Cost_Components'!$A$2:$A$6,0)),"")</f>
      </c>
      <c r="AE30" s="34" t="str">
        <f>IFERROR(INDEX('Cost_Components'!$O$2:$O$6,MATCH(E30,'Cost_Components'!$A$2:$A$6,0)),"")</f>
      </c>
      <c r="AF30" s="98" t="n">
        <v>159934266.566821</v>
      </c>
      <c r="AG30" s="99" t="n">
        <v>159957112.160817</v>
      </c>
      <c r="AH30" s="100" t="str">
        <f>IF(H30="shared-count-once",COUNTIFS($A$2:$A$131,A30,$B$2:$B$131,B30,$E$2:$E$131,E30),1)</f>
      </c>
      <c r="AI30" s="101" t="n">
        <v>292505080.826208</v>
      </c>
      <c r="AJ30" s="102" t="str">
        <f>IF(AI30=0,"",Q30/AI30)</f>
      </c>
      <c r="AK30" s="103" t="str">
        <f>IF(AI30=0,"",R30/AI30)</f>
      </c>
      <c r="AL30" s="104" t="str">
        <f>IF(AI30=0,"",S30/AI30)</f>
      </c>
      <c r="AM30" s="105" t="str">
        <f>IF(AI30=0,"",Y30/AI30)</f>
      </c>
    </row>
    <row r="31">
      <c r="A31" t="s">
        <v>115</v>
      </c>
      <c r="B31" s="73" t="n">
        <v>2028</v>
      </c>
      <c r="C31" t="s">
        <v>206</v>
      </c>
      <c r="D31"/>
      <c r="E31" s="74" t="s">
        <v>262</v>
      </c>
      <c r="F31" s="75" t="s">
        <v>263</v>
      </c>
      <c r="G31" s="76" t="s">
        <v>215</v>
      </c>
      <c r="H31" s="77" t="s">
        <v>216</v>
      </c>
      <c r="I31" s="78" t="s">
        <v>267</v>
      </c>
      <c r="J31" s="79" t="str">
        <f>IFERROR(INDEX('Cost_Components'!$K$2:$K$6,MATCH(E31,'Cost_Components'!$A$2:$A$6,0)),"")</f>
      </c>
      <c r="K31" s="106" t="n">
        <v>0.127406742949162</v>
      </c>
      <c r="L31" s="80" t="str">
        <f>IFERROR(INDEX('Cost_Components'!$S$2:$S$6,MATCH(E31,'Cost_Components'!$A$2:$A$6,0)),"")</f>
      </c>
      <c r="M31" s="81" t="str">
        <f>IFERROR(INDEX('Cost_Components'!$L$2:$L$6,MATCH(E31,'Cost_Components'!$A$2:$A$6,0)),"")</f>
      </c>
      <c r="N31" s="82" t="str">
        <f>IFERROR(INDEX('Cost_Components'!$P$2:$P$6,MATCH(E31,'Cost_Components'!$A$2:$A$6,0)),"")</f>
      </c>
      <c r="O31" s="83" t="str">
        <f>AF31*J31</f>
      </c>
      <c r="P31" s="84" t="str">
        <f>AG31*J31</f>
      </c>
      <c r="Q31" s="85" t="str">
        <f>P31*L31*M31*N31</f>
      </c>
      <c r="R31" s="86" t="str">
        <f>O31*K31*M31*N31</f>
      </c>
      <c r="S31" s="87" t="str">
        <f>R31-Q31</f>
      </c>
      <c r="T31" s="34" t="str">
        <f>IFERROR(INDEX('Cost_Components'!$R$2:$R$6,MATCH(E31,'Cost_Components'!$A$2:$A$6,0)),"")</f>
      </c>
      <c r="U31" s="88" t="str">
        <f>IFERROR(INDEX('Cost_Components'!$Q$2:$Q$6,MATCH(E31,'Cost_Components'!$A$2:$A$6,0)),"")</f>
      </c>
      <c r="V31" s="89" t="str">
        <f>1/(1+'Calculation_Assumptions'!$B$5)^(B31-'Calculation_Assumptions'!$B$2)</f>
      </c>
      <c r="W31" s="90" t="str">
        <f>Q31*V31</f>
      </c>
      <c r="X31" s="91" t="str">
        <f>R31*V31</f>
      </c>
      <c r="Y31" s="92" t="str">
        <f>S31*V31</f>
      </c>
      <c r="Z31" s="93" t="str">
        <f>IFERROR(INDEX('Cost_Components'!$T$2:$T$6,MATCH(E31,'Cost_Components'!$A$2:$A$6,0)),"")</f>
      </c>
      <c r="AA31" s="94" t="str">
        <f>IFERROR(INDEX('Cost_Components'!$U$2:$U$6,MATCH(E31,'Cost_Components'!$A$2:$A$6,0)),"")</f>
      </c>
      <c r="AB31" s="95" t="str">
        <f>IFERROR(INDEX('Cost_Components'!$V$2:$V$6,MATCH(E31,'Cost_Components'!$A$2:$A$6,0)),"")</f>
      </c>
      <c r="AC31" s="96" t="str">
        <f>IFERROR(INDEX('Cost_Components'!$M$2:$M$6,MATCH(E31,'Cost_Components'!$A$2:$A$6,0)),"")</f>
      </c>
      <c r="AD31" s="97" t="str">
        <f>IFERROR(INDEX('Cost_Components'!$N$2:$N$6,MATCH(E31,'Cost_Components'!$A$2:$A$6,0)),"")</f>
      </c>
      <c r="AE31" s="34" t="str">
        <f>IFERROR(INDEX('Cost_Components'!$O$2:$O$6,MATCH(E31,'Cost_Components'!$A$2:$A$6,0)),"")</f>
      </c>
      <c r="AF31" s="98" t="n">
        <v>162204801.417528</v>
      </c>
      <c r="AG31" s="99" t="n">
        <v>162204336.12618</v>
      </c>
      <c r="AH31" s="100" t="str">
        <f>IF(H31="shared-count-once",COUNTIFS($A$2:$A$131,A31,$B$2:$B$131,B31,$E$2:$E$131,E31),1)</f>
      </c>
      <c r="AI31" s="101" t="n">
        <v>294484707.921554</v>
      </c>
      <c r="AJ31" s="102" t="str">
        <f>IF(AI31=0,"",Q31/AI31)</f>
      </c>
      <c r="AK31" s="103" t="str">
        <f>IF(AI31=0,"",R31/AI31)</f>
      </c>
      <c r="AL31" s="104" t="str">
        <f>IF(AI31=0,"",S31/AI31)</f>
      </c>
      <c r="AM31" s="105" t="str">
        <f>IF(AI31=0,"",Y31/AI31)</f>
      </c>
    </row>
    <row r="32">
      <c r="A32" t="s">
        <v>115</v>
      </c>
      <c r="B32" s="73" t="n">
        <v>2029</v>
      </c>
      <c r="C32" t="s">
        <v>206</v>
      </c>
      <c r="D32"/>
      <c r="E32" s="74" t="s">
        <v>262</v>
      </c>
      <c r="F32" s="75" t="s">
        <v>263</v>
      </c>
      <c r="G32" s="76" t="s">
        <v>215</v>
      </c>
      <c r="H32" s="77" t="s">
        <v>216</v>
      </c>
      <c r="I32" s="78" t="s">
        <v>267</v>
      </c>
      <c r="J32" s="79" t="str">
        <f>IFERROR(INDEX('Cost_Components'!$K$2:$K$6,MATCH(E32,'Cost_Components'!$A$2:$A$6,0)),"")</f>
      </c>
      <c r="K32" s="106" t="n">
        <v>0.131953371474581</v>
      </c>
      <c r="L32" s="80" t="str">
        <f>IFERROR(INDEX('Cost_Components'!$S$2:$S$6,MATCH(E32,'Cost_Components'!$A$2:$A$6,0)),"")</f>
      </c>
      <c r="M32" s="81" t="str">
        <f>IFERROR(INDEX('Cost_Components'!$L$2:$L$6,MATCH(E32,'Cost_Components'!$A$2:$A$6,0)),"")</f>
      </c>
      <c r="N32" s="82" t="str">
        <f>IFERROR(INDEX('Cost_Components'!$P$2:$P$6,MATCH(E32,'Cost_Components'!$A$2:$A$6,0)),"")</f>
      </c>
      <c r="O32" s="83" t="str">
        <f>AF32*J32</f>
      </c>
      <c r="P32" s="84" t="str">
        <f>AG32*J32</f>
      </c>
      <c r="Q32" s="85" t="str">
        <f>P32*L32*M32*N32</f>
      </c>
      <c r="R32" s="86" t="str">
        <f>O32*K32*M32*N32</f>
      </c>
      <c r="S32" s="87" t="str">
        <f>R32-Q32</f>
      </c>
      <c r="T32" s="34" t="str">
        <f>IFERROR(INDEX('Cost_Components'!$R$2:$R$6,MATCH(E32,'Cost_Components'!$A$2:$A$6,0)),"")</f>
      </c>
      <c r="U32" s="88" t="str">
        <f>IFERROR(INDEX('Cost_Components'!$Q$2:$Q$6,MATCH(E32,'Cost_Components'!$A$2:$A$6,0)),"")</f>
      </c>
      <c r="V32" s="89" t="str">
        <f>1/(1+'Calculation_Assumptions'!$B$5)^(B32-'Calculation_Assumptions'!$B$2)</f>
      </c>
      <c r="W32" s="90" t="str">
        <f>Q32*V32</f>
      </c>
      <c r="X32" s="91" t="str">
        <f>R32*V32</f>
      </c>
      <c r="Y32" s="92" t="str">
        <f>S32*V32</f>
      </c>
      <c r="Z32" s="93" t="str">
        <f>IFERROR(INDEX('Cost_Components'!$T$2:$T$6,MATCH(E32,'Cost_Components'!$A$2:$A$6,0)),"")</f>
      </c>
      <c r="AA32" s="94" t="str">
        <f>IFERROR(INDEX('Cost_Components'!$U$2:$U$6,MATCH(E32,'Cost_Components'!$A$2:$A$6,0)),"")</f>
      </c>
      <c r="AB32" s="95" t="str">
        <f>IFERROR(INDEX('Cost_Components'!$V$2:$V$6,MATCH(E32,'Cost_Components'!$A$2:$A$6,0)),"")</f>
      </c>
      <c r="AC32" s="96" t="str">
        <f>IFERROR(INDEX('Cost_Components'!$M$2:$M$6,MATCH(E32,'Cost_Components'!$A$2:$A$6,0)),"")</f>
      </c>
      <c r="AD32" s="97" t="str">
        <f>IFERROR(INDEX('Cost_Components'!$N$2:$N$6,MATCH(E32,'Cost_Components'!$A$2:$A$6,0)),"")</f>
      </c>
      <c r="AE32" s="34" t="str">
        <f>IFERROR(INDEX('Cost_Components'!$O$2:$O$6,MATCH(E32,'Cost_Components'!$A$2:$A$6,0)),"")</f>
      </c>
      <c r="AF32" s="98" t="n">
        <v>164337680.327842</v>
      </c>
      <c r="AG32" s="99" t="n">
        <v>164354507.169368</v>
      </c>
      <c r="AH32" s="100" t="str">
        <f>IF(H32="shared-count-once",COUNTIFS($A$2:$A$131,A32,$B$2:$B$131,B32,$E$2:$E$131,E32),1)</f>
      </c>
      <c r="AI32" s="101" t="n">
        <v>296414030.31143</v>
      </c>
      <c r="AJ32" s="102" t="str">
        <f>IF(AI32=0,"",Q32/AI32)</f>
      </c>
      <c r="AK32" s="103" t="str">
        <f>IF(AI32=0,"",R32/AI32)</f>
      </c>
      <c r="AL32" s="104" t="str">
        <f>IF(AI32=0,"",S32/AI32)</f>
      </c>
      <c r="AM32" s="105" t="str">
        <f>IF(AI32=0,"",Y32/AI32)</f>
      </c>
    </row>
    <row r="33">
      <c r="A33" t="s">
        <v>115</v>
      </c>
      <c r="B33" s="73" t="n">
        <v>2030</v>
      </c>
      <c r="C33" t="s">
        <v>206</v>
      </c>
      <c r="D33"/>
      <c r="E33" s="74" t="s">
        <v>262</v>
      </c>
      <c r="F33" s="75" t="s">
        <v>263</v>
      </c>
      <c r="G33" s="76" t="s">
        <v>215</v>
      </c>
      <c r="H33" s="77" t="s">
        <v>216</v>
      </c>
      <c r="I33" s="78" t="s">
        <v>267</v>
      </c>
      <c r="J33" s="79" t="str">
        <f>IFERROR(INDEX('Cost_Components'!$K$2:$K$6,MATCH(E33,'Cost_Components'!$A$2:$A$6,0)),"")</f>
      </c>
      <c r="K33" s="106" t="n">
        <v>0.1365</v>
      </c>
      <c r="L33" s="80" t="str">
        <f>IFERROR(INDEX('Cost_Components'!$S$2:$S$6,MATCH(E33,'Cost_Components'!$A$2:$A$6,0)),"")</f>
      </c>
      <c r="M33" s="81" t="str">
        <f>IFERROR(INDEX('Cost_Components'!$L$2:$L$6,MATCH(E33,'Cost_Components'!$A$2:$A$6,0)),"")</f>
      </c>
      <c r="N33" s="82" t="str">
        <f>IFERROR(INDEX('Cost_Components'!$P$2:$P$6,MATCH(E33,'Cost_Components'!$A$2:$A$6,0)),"")</f>
      </c>
      <c r="O33" s="83" t="str">
        <f>AF33*J33</f>
      </c>
      <c r="P33" s="84" t="str">
        <f>AG33*J33</f>
      </c>
      <c r="Q33" s="85" t="str">
        <f>P33*L33*M33*N33</f>
      </c>
      <c r="R33" s="86" t="str">
        <f>O33*K33*M33*N33</f>
      </c>
      <c r="S33" s="87" t="str">
        <f>R33-Q33</f>
      </c>
      <c r="T33" s="34" t="str">
        <f>IFERROR(INDEX('Cost_Components'!$R$2:$R$6,MATCH(E33,'Cost_Components'!$A$2:$A$6,0)),"")</f>
      </c>
      <c r="U33" s="88" t="str">
        <f>IFERROR(INDEX('Cost_Components'!$Q$2:$Q$6,MATCH(E33,'Cost_Components'!$A$2:$A$6,0)),"")</f>
      </c>
      <c r="V33" s="89" t="str">
        <f>1/(1+'Calculation_Assumptions'!$B$5)^(B33-'Calculation_Assumptions'!$B$2)</f>
      </c>
      <c r="W33" s="90" t="str">
        <f>Q33*V33</f>
      </c>
      <c r="X33" s="91" t="str">
        <f>R33*V33</f>
      </c>
      <c r="Y33" s="92" t="str">
        <f>S33*V33</f>
      </c>
      <c r="Z33" s="93" t="str">
        <f>IFERROR(INDEX('Cost_Components'!$T$2:$T$6,MATCH(E33,'Cost_Components'!$A$2:$A$6,0)),"")</f>
      </c>
      <c r="AA33" s="94" t="str">
        <f>IFERROR(INDEX('Cost_Components'!$U$2:$U$6,MATCH(E33,'Cost_Components'!$A$2:$A$6,0)),"")</f>
      </c>
      <c r="AB33" s="95" t="str">
        <f>IFERROR(INDEX('Cost_Components'!$V$2:$V$6,MATCH(E33,'Cost_Components'!$A$2:$A$6,0)),"")</f>
      </c>
      <c r="AC33" s="96" t="str">
        <f>IFERROR(INDEX('Cost_Components'!$M$2:$M$6,MATCH(E33,'Cost_Components'!$A$2:$A$6,0)),"")</f>
      </c>
      <c r="AD33" s="97" t="str">
        <f>IFERROR(INDEX('Cost_Components'!$N$2:$N$6,MATCH(E33,'Cost_Components'!$A$2:$A$6,0)),"")</f>
      </c>
      <c r="AE33" s="34" t="str">
        <f>IFERROR(INDEX('Cost_Components'!$O$2:$O$6,MATCH(E33,'Cost_Components'!$A$2:$A$6,0)),"")</f>
      </c>
      <c r="AF33" s="98" t="n">
        <v>166436073.277532</v>
      </c>
      <c r="AG33" s="99" t="n">
        <v>166415552.282846</v>
      </c>
      <c r="AH33" s="100" t="str">
        <f>IF(H33="shared-count-once",COUNTIFS($A$2:$A$131,A33,$B$2:$B$131,B33,$E$2:$E$131,E33),1)</f>
      </c>
      <c r="AI33" s="101" t="n">
        <v>298289404.664994</v>
      </c>
      <c r="AJ33" s="102" t="str">
        <f>IF(AI33=0,"",Q33/AI33)</f>
      </c>
      <c r="AK33" s="103" t="str">
        <f>IF(AI33=0,"",R33/AI33)</f>
      </c>
      <c r="AL33" s="104" t="str">
        <f>IF(AI33=0,"",S33/AI33)</f>
      </c>
      <c r="AM33" s="105" t="str">
        <f>IF(AI33=0,"",Y33/AI33)</f>
      </c>
    </row>
    <row r="34">
      <c r="A34" t="s">
        <v>115</v>
      </c>
      <c r="B34" s="73" t="n">
        <v>2031</v>
      </c>
      <c r="C34" t="s">
        <v>206</v>
      </c>
      <c r="D34"/>
      <c r="E34" s="74" t="s">
        <v>262</v>
      </c>
      <c r="F34" s="75" t="s">
        <v>263</v>
      </c>
      <c r="G34" s="76" t="s">
        <v>215</v>
      </c>
      <c r="H34" s="77" t="s">
        <v>216</v>
      </c>
      <c r="I34" s="78" t="s">
        <v>267</v>
      </c>
      <c r="J34" s="79" t="str">
        <f>IFERROR(INDEX('Cost_Components'!$K$2:$K$6,MATCH(E34,'Cost_Components'!$A$2:$A$6,0)),"")</f>
      </c>
      <c r="K34" s="106" t="n">
        <v>0.1645</v>
      </c>
      <c r="L34" s="80" t="str">
        <f>IFERROR(INDEX('Cost_Components'!$S$2:$S$6,MATCH(E34,'Cost_Components'!$A$2:$A$6,0)),"")</f>
      </c>
      <c r="M34" s="81" t="str">
        <f>IFERROR(INDEX('Cost_Components'!$L$2:$L$6,MATCH(E34,'Cost_Components'!$A$2:$A$6,0)),"")</f>
      </c>
      <c r="N34" s="82" t="str">
        <f>IFERROR(INDEX('Cost_Components'!$P$2:$P$6,MATCH(E34,'Cost_Components'!$A$2:$A$6,0)),"")</f>
      </c>
      <c r="O34" s="83" t="str">
        <f>AF34*J34</f>
      </c>
      <c r="P34" s="84" t="str">
        <f>AG34*J34</f>
      </c>
      <c r="Q34" s="85" t="str">
        <f>P34*L34*M34*N34</f>
      </c>
      <c r="R34" s="86" t="str">
        <f>O34*K34*M34*N34</f>
      </c>
      <c r="S34" s="87" t="str">
        <f>R34-Q34</f>
      </c>
      <c r="T34" s="34" t="str">
        <f>IFERROR(INDEX('Cost_Components'!$R$2:$R$6,MATCH(E34,'Cost_Components'!$A$2:$A$6,0)),"")</f>
      </c>
      <c r="U34" s="88" t="str">
        <f>IFERROR(INDEX('Cost_Components'!$Q$2:$Q$6,MATCH(E34,'Cost_Components'!$A$2:$A$6,0)),"")</f>
      </c>
      <c r="V34" s="89" t="str">
        <f>1/(1+'Calculation_Assumptions'!$B$5)^(B34-'Calculation_Assumptions'!$B$2)</f>
      </c>
      <c r="W34" s="90" t="str">
        <f>Q34*V34</f>
      </c>
      <c r="X34" s="91" t="str">
        <f>R34*V34</f>
      </c>
      <c r="Y34" s="92" t="str">
        <f>S34*V34</f>
      </c>
      <c r="Z34" s="93" t="str">
        <f>IFERROR(INDEX('Cost_Components'!$T$2:$T$6,MATCH(E34,'Cost_Components'!$A$2:$A$6,0)),"")</f>
      </c>
      <c r="AA34" s="94" t="str">
        <f>IFERROR(INDEX('Cost_Components'!$U$2:$U$6,MATCH(E34,'Cost_Components'!$A$2:$A$6,0)),"")</f>
      </c>
      <c r="AB34" s="95" t="str">
        <f>IFERROR(INDEX('Cost_Components'!$V$2:$V$6,MATCH(E34,'Cost_Components'!$A$2:$A$6,0)),"")</f>
      </c>
      <c r="AC34" s="96" t="str">
        <f>IFERROR(INDEX('Cost_Components'!$M$2:$M$6,MATCH(E34,'Cost_Components'!$A$2:$A$6,0)),"")</f>
      </c>
      <c r="AD34" s="97" t="str">
        <f>IFERROR(INDEX('Cost_Components'!$N$2:$N$6,MATCH(E34,'Cost_Components'!$A$2:$A$6,0)),"")</f>
      </c>
      <c r="AE34" s="34" t="str">
        <f>IFERROR(INDEX('Cost_Components'!$O$2:$O$6,MATCH(E34,'Cost_Components'!$A$2:$A$6,0)),"")</f>
      </c>
      <c r="AF34" s="98" t="n">
        <v>168483815.745517</v>
      </c>
      <c r="AG34" s="99" t="n">
        <v>168461285.903885</v>
      </c>
      <c r="AH34" s="100" t="str">
        <f>IF(H34="shared-count-once",COUNTIFS($A$2:$A$131,A34,$B$2:$B$131,B34,$E$2:$E$131,E34),1)</f>
      </c>
      <c r="AI34" s="101" t="n">
        <v>300119636.925519</v>
      </c>
      <c r="AJ34" s="102" t="str">
        <f>IF(AI34=0,"",Q34/AI34)</f>
      </c>
      <c r="AK34" s="103" t="str">
        <f>IF(AI34=0,"",R34/AI34)</f>
      </c>
      <c r="AL34" s="104" t="str">
        <f>IF(AI34=0,"",S34/AI34)</f>
      </c>
      <c r="AM34" s="105" t="str">
        <f>IF(AI34=0,"",Y34/AI34)</f>
      </c>
    </row>
    <row r="35">
      <c r="A35" t="s">
        <v>115</v>
      </c>
      <c r="B35" s="73" t="n">
        <v>2032</v>
      </c>
      <c r="C35" t="s">
        <v>206</v>
      </c>
      <c r="D35"/>
      <c r="E35" s="74" t="s">
        <v>262</v>
      </c>
      <c r="F35" s="75" t="s">
        <v>263</v>
      </c>
      <c r="G35" s="76" t="s">
        <v>215</v>
      </c>
      <c r="H35" s="77" t="s">
        <v>216</v>
      </c>
      <c r="I35" s="78" t="s">
        <v>267</v>
      </c>
      <c r="J35" s="79" t="str">
        <f>IFERROR(INDEX('Cost_Components'!$K$2:$K$6,MATCH(E35,'Cost_Components'!$A$2:$A$6,0)),"")</f>
      </c>
      <c r="K35" s="106" t="n">
        <v>0.1925</v>
      </c>
      <c r="L35" s="80" t="str">
        <f>IFERROR(INDEX('Cost_Components'!$S$2:$S$6,MATCH(E35,'Cost_Components'!$A$2:$A$6,0)),"")</f>
      </c>
      <c r="M35" s="81" t="str">
        <f>IFERROR(INDEX('Cost_Components'!$L$2:$L$6,MATCH(E35,'Cost_Components'!$A$2:$A$6,0)),"")</f>
      </c>
      <c r="N35" s="82" t="str">
        <f>IFERROR(INDEX('Cost_Components'!$P$2:$P$6,MATCH(E35,'Cost_Components'!$A$2:$A$6,0)),"")</f>
      </c>
      <c r="O35" s="83" t="str">
        <f>AF35*J35</f>
      </c>
      <c r="P35" s="84" t="str">
        <f>AG35*J35</f>
      </c>
      <c r="Q35" s="85" t="str">
        <f>P35*L35*M35*N35</f>
      </c>
      <c r="R35" s="86" t="str">
        <f>O35*K35*M35*N35</f>
      </c>
      <c r="S35" s="87" t="str">
        <f>R35-Q35</f>
      </c>
      <c r="T35" s="34" t="str">
        <f>IFERROR(INDEX('Cost_Components'!$R$2:$R$6,MATCH(E35,'Cost_Components'!$A$2:$A$6,0)),"")</f>
      </c>
      <c r="U35" s="88" t="str">
        <f>IFERROR(INDEX('Cost_Components'!$Q$2:$Q$6,MATCH(E35,'Cost_Components'!$A$2:$A$6,0)),"")</f>
      </c>
      <c r="V35" s="89" t="str">
        <f>1/(1+'Calculation_Assumptions'!$B$5)^(B35-'Calculation_Assumptions'!$B$2)</f>
      </c>
      <c r="W35" s="90" t="str">
        <f>Q35*V35</f>
      </c>
      <c r="X35" s="91" t="str">
        <f>R35*V35</f>
      </c>
      <c r="Y35" s="92" t="str">
        <f>S35*V35</f>
      </c>
      <c r="Z35" s="93" t="str">
        <f>IFERROR(INDEX('Cost_Components'!$T$2:$T$6,MATCH(E35,'Cost_Components'!$A$2:$A$6,0)),"")</f>
      </c>
      <c r="AA35" s="94" t="str">
        <f>IFERROR(INDEX('Cost_Components'!$U$2:$U$6,MATCH(E35,'Cost_Components'!$A$2:$A$6,0)),"")</f>
      </c>
      <c r="AB35" s="95" t="str">
        <f>IFERROR(INDEX('Cost_Components'!$V$2:$V$6,MATCH(E35,'Cost_Components'!$A$2:$A$6,0)),"")</f>
      </c>
      <c r="AC35" s="96" t="str">
        <f>IFERROR(INDEX('Cost_Components'!$M$2:$M$6,MATCH(E35,'Cost_Components'!$A$2:$A$6,0)),"")</f>
      </c>
      <c r="AD35" s="97" t="str">
        <f>IFERROR(INDEX('Cost_Components'!$N$2:$N$6,MATCH(E35,'Cost_Components'!$A$2:$A$6,0)),"")</f>
      </c>
      <c r="AE35" s="34" t="str">
        <f>IFERROR(INDEX('Cost_Components'!$O$2:$O$6,MATCH(E35,'Cost_Components'!$A$2:$A$6,0)),"")</f>
      </c>
      <c r="AF35" s="98" t="n">
        <v>170503898.910831</v>
      </c>
      <c r="AG35" s="99" t="n">
        <v>170476615.351264</v>
      </c>
      <c r="AH35" s="100" t="str">
        <f>IF(H35="shared-count-once",COUNTIFS($A$2:$A$131,A35,$B$2:$B$131,B35,$E$2:$E$131,E35),1)</f>
      </c>
      <c r="AI35" s="101" t="n">
        <v>301904628.083541</v>
      </c>
      <c r="AJ35" s="102" t="str">
        <f>IF(AI35=0,"",Q35/AI35)</f>
      </c>
      <c r="AK35" s="103" t="str">
        <f>IF(AI35=0,"",R35/AI35)</f>
      </c>
      <c r="AL35" s="104" t="str">
        <f>IF(AI35=0,"",S35/AI35)</f>
      </c>
      <c r="AM35" s="105" t="str">
        <f>IF(AI35=0,"",Y35/AI35)</f>
      </c>
    </row>
    <row r="36">
      <c r="A36" t="s">
        <v>115</v>
      </c>
      <c r="B36" s="73" t="n">
        <v>2033</v>
      </c>
      <c r="C36" t="s">
        <v>206</v>
      </c>
      <c r="D36"/>
      <c r="E36" s="74" t="s">
        <v>262</v>
      </c>
      <c r="F36" s="75" t="s">
        <v>263</v>
      </c>
      <c r="G36" s="76" t="s">
        <v>215</v>
      </c>
      <c r="H36" s="77" t="s">
        <v>216</v>
      </c>
      <c r="I36" s="78" t="s">
        <v>267</v>
      </c>
      <c r="J36" s="79" t="str">
        <f>IFERROR(INDEX('Cost_Components'!$K$2:$K$6,MATCH(E36,'Cost_Components'!$A$2:$A$6,0)),"")</f>
      </c>
      <c r="K36" s="106" t="n">
        <v>0.2205</v>
      </c>
      <c r="L36" s="80" t="str">
        <f>IFERROR(INDEX('Cost_Components'!$S$2:$S$6,MATCH(E36,'Cost_Components'!$A$2:$A$6,0)),"")</f>
      </c>
      <c r="M36" s="81" t="str">
        <f>IFERROR(INDEX('Cost_Components'!$L$2:$L$6,MATCH(E36,'Cost_Components'!$A$2:$A$6,0)),"")</f>
      </c>
      <c r="N36" s="82" t="str">
        <f>IFERROR(INDEX('Cost_Components'!$P$2:$P$6,MATCH(E36,'Cost_Components'!$A$2:$A$6,0)),"")</f>
      </c>
      <c r="O36" s="83" t="str">
        <f>AF36*J36</f>
      </c>
      <c r="P36" s="84" t="str">
        <f>AG36*J36</f>
      </c>
      <c r="Q36" s="85" t="str">
        <f>P36*L36*M36*N36</f>
      </c>
      <c r="R36" s="86" t="str">
        <f>O36*K36*M36*N36</f>
      </c>
      <c r="S36" s="87" t="str">
        <f>R36-Q36</f>
      </c>
      <c r="T36" s="34" t="str">
        <f>IFERROR(INDEX('Cost_Components'!$R$2:$R$6,MATCH(E36,'Cost_Components'!$A$2:$A$6,0)),"")</f>
      </c>
      <c r="U36" s="88" t="str">
        <f>IFERROR(INDEX('Cost_Components'!$Q$2:$Q$6,MATCH(E36,'Cost_Components'!$A$2:$A$6,0)),"")</f>
      </c>
      <c r="V36" s="89" t="str">
        <f>1/(1+'Calculation_Assumptions'!$B$5)^(B36-'Calculation_Assumptions'!$B$2)</f>
      </c>
      <c r="W36" s="90" t="str">
        <f>Q36*V36</f>
      </c>
      <c r="X36" s="91" t="str">
        <f>R36*V36</f>
      </c>
      <c r="Y36" s="92" t="str">
        <f>S36*V36</f>
      </c>
      <c r="Z36" s="93" t="str">
        <f>IFERROR(INDEX('Cost_Components'!$T$2:$T$6,MATCH(E36,'Cost_Components'!$A$2:$A$6,0)),"")</f>
      </c>
      <c r="AA36" s="94" t="str">
        <f>IFERROR(INDEX('Cost_Components'!$U$2:$U$6,MATCH(E36,'Cost_Components'!$A$2:$A$6,0)),"")</f>
      </c>
      <c r="AB36" s="95" t="str">
        <f>IFERROR(INDEX('Cost_Components'!$V$2:$V$6,MATCH(E36,'Cost_Components'!$A$2:$A$6,0)),"")</f>
      </c>
      <c r="AC36" s="96" t="str">
        <f>IFERROR(INDEX('Cost_Components'!$M$2:$M$6,MATCH(E36,'Cost_Components'!$A$2:$A$6,0)),"")</f>
      </c>
      <c r="AD36" s="97" t="str">
        <f>IFERROR(INDEX('Cost_Components'!$N$2:$N$6,MATCH(E36,'Cost_Components'!$A$2:$A$6,0)),"")</f>
      </c>
      <c r="AE36" s="34" t="str">
        <f>IFERROR(INDEX('Cost_Components'!$O$2:$O$6,MATCH(E36,'Cost_Components'!$A$2:$A$6,0)),"")</f>
      </c>
      <c r="AF36" s="98" t="n">
        <v>172498677.234076</v>
      </c>
      <c r="AG36" s="99" t="n">
        <v>172461509.841257</v>
      </c>
      <c r="AH36" s="100" t="str">
        <f>IF(H36="shared-count-once",COUNTIFS($A$2:$A$131,A36,$B$2:$B$131,B36,$E$2:$E$131,E36),1)</f>
      </c>
      <c r="AI36" s="101" t="n">
        <v>303644277.16916</v>
      </c>
      <c r="AJ36" s="102" t="str">
        <f>IF(AI36=0,"",Q36/AI36)</f>
      </c>
      <c r="AK36" s="103" t="str">
        <f>IF(AI36=0,"",R36/AI36)</f>
      </c>
      <c r="AL36" s="104" t="str">
        <f>IF(AI36=0,"",S36/AI36)</f>
      </c>
      <c r="AM36" s="105" t="str">
        <f>IF(AI36=0,"",Y36/AI36)</f>
      </c>
    </row>
    <row r="37">
      <c r="A37" t="s">
        <v>115</v>
      </c>
      <c r="B37" s="73" t="n">
        <v>2034</v>
      </c>
      <c r="C37" t="s">
        <v>206</v>
      </c>
      <c r="D37"/>
      <c r="E37" s="74" t="s">
        <v>262</v>
      </c>
      <c r="F37" s="75" t="s">
        <v>263</v>
      </c>
      <c r="G37" s="76" t="s">
        <v>215</v>
      </c>
      <c r="H37" s="77" t="s">
        <v>216</v>
      </c>
      <c r="I37" s="78" t="s">
        <v>267</v>
      </c>
      <c r="J37" s="79" t="str">
        <f>IFERROR(INDEX('Cost_Components'!$K$2:$K$6,MATCH(E37,'Cost_Components'!$A$2:$A$6,0)),"")</f>
      </c>
      <c r="K37" s="106" t="n">
        <v>0.2485</v>
      </c>
      <c r="L37" s="80" t="str">
        <f>IFERROR(INDEX('Cost_Components'!$S$2:$S$6,MATCH(E37,'Cost_Components'!$A$2:$A$6,0)),"")</f>
      </c>
      <c r="M37" s="81" t="str">
        <f>IFERROR(INDEX('Cost_Components'!$L$2:$L$6,MATCH(E37,'Cost_Components'!$A$2:$A$6,0)),"")</f>
      </c>
      <c r="N37" s="82" t="str">
        <f>IFERROR(INDEX('Cost_Components'!$P$2:$P$6,MATCH(E37,'Cost_Components'!$A$2:$A$6,0)),"")</f>
      </c>
      <c r="O37" s="83" t="str">
        <f>AF37*J37</f>
      </c>
      <c r="P37" s="84" t="str">
        <f>AG37*J37</f>
      </c>
      <c r="Q37" s="85" t="str">
        <f>P37*L37*M37*N37</f>
      </c>
      <c r="R37" s="86" t="str">
        <f>O37*K37*M37*N37</f>
      </c>
      <c r="S37" s="87" t="str">
        <f>R37-Q37</f>
      </c>
      <c r="T37" s="34" t="str">
        <f>IFERROR(INDEX('Cost_Components'!$R$2:$R$6,MATCH(E37,'Cost_Components'!$A$2:$A$6,0)),"")</f>
      </c>
      <c r="U37" s="88" t="str">
        <f>IFERROR(INDEX('Cost_Components'!$Q$2:$Q$6,MATCH(E37,'Cost_Components'!$A$2:$A$6,0)),"")</f>
      </c>
      <c r="V37" s="89" t="str">
        <f>1/(1+'Calculation_Assumptions'!$B$5)^(B37-'Calculation_Assumptions'!$B$2)</f>
      </c>
      <c r="W37" s="90" t="str">
        <f>Q37*V37</f>
      </c>
      <c r="X37" s="91" t="str">
        <f>R37*V37</f>
      </c>
      <c r="Y37" s="92" t="str">
        <f>S37*V37</f>
      </c>
      <c r="Z37" s="93" t="str">
        <f>IFERROR(INDEX('Cost_Components'!$T$2:$T$6,MATCH(E37,'Cost_Components'!$A$2:$A$6,0)),"")</f>
      </c>
      <c r="AA37" s="94" t="str">
        <f>IFERROR(INDEX('Cost_Components'!$U$2:$U$6,MATCH(E37,'Cost_Components'!$A$2:$A$6,0)),"")</f>
      </c>
      <c r="AB37" s="95" t="str">
        <f>IFERROR(INDEX('Cost_Components'!$V$2:$V$6,MATCH(E37,'Cost_Components'!$A$2:$A$6,0)),"")</f>
      </c>
      <c r="AC37" s="96" t="str">
        <f>IFERROR(INDEX('Cost_Components'!$M$2:$M$6,MATCH(E37,'Cost_Components'!$A$2:$A$6,0)),"")</f>
      </c>
      <c r="AD37" s="97" t="str">
        <f>IFERROR(INDEX('Cost_Components'!$N$2:$N$6,MATCH(E37,'Cost_Components'!$A$2:$A$6,0)),"")</f>
      </c>
      <c r="AE37" s="34" t="str">
        <f>IFERROR(INDEX('Cost_Components'!$O$2:$O$6,MATCH(E37,'Cost_Components'!$A$2:$A$6,0)),"")</f>
      </c>
      <c r="AF37" s="98" t="n">
        <v>174514289.054823</v>
      </c>
      <c r="AG37" s="99" t="n">
        <v>174461686.278167</v>
      </c>
      <c r="AH37" s="100" t="str">
        <f>IF(H37="shared-count-once",COUNTIFS($A$2:$A$131,A37,$B$2:$B$131,B37,$E$2:$E$131,E37),1)</f>
      </c>
      <c r="AI37" s="101" t="n">
        <v>305332541.184984</v>
      </c>
      <c r="AJ37" s="102" t="str">
        <f>IF(AI37=0,"",Q37/AI37)</f>
      </c>
      <c r="AK37" s="103" t="str">
        <f>IF(AI37=0,"",R37/AI37)</f>
      </c>
      <c r="AL37" s="104" t="str">
        <f>IF(AI37=0,"",S37/AI37)</f>
      </c>
      <c r="AM37" s="105" t="str">
        <f>IF(AI37=0,"",Y37/AI37)</f>
      </c>
    </row>
    <row r="38">
      <c r="A38" t="s">
        <v>115</v>
      </c>
      <c r="B38" s="73" t="n">
        <v>2035</v>
      </c>
      <c r="C38" t="s">
        <v>206</v>
      </c>
      <c r="D38"/>
      <c r="E38" s="74" t="s">
        <v>262</v>
      </c>
      <c r="F38" s="75" t="s">
        <v>263</v>
      </c>
      <c r="G38" s="76" t="s">
        <v>215</v>
      </c>
      <c r="H38" s="77" t="s">
        <v>216</v>
      </c>
      <c r="I38" s="78" t="s">
        <v>267</v>
      </c>
      <c r="J38" s="79" t="str">
        <f>IFERROR(INDEX('Cost_Components'!$K$2:$K$6,MATCH(E38,'Cost_Components'!$A$2:$A$6,0)),"")</f>
      </c>
      <c r="K38" s="106" t="n">
        <v>0.2765</v>
      </c>
      <c r="L38" s="80" t="str">
        <f>IFERROR(INDEX('Cost_Components'!$S$2:$S$6,MATCH(E38,'Cost_Components'!$A$2:$A$6,0)),"")</f>
      </c>
      <c r="M38" s="81" t="str">
        <f>IFERROR(INDEX('Cost_Components'!$L$2:$L$6,MATCH(E38,'Cost_Components'!$A$2:$A$6,0)),"")</f>
      </c>
      <c r="N38" s="82" t="str">
        <f>IFERROR(INDEX('Cost_Components'!$P$2:$P$6,MATCH(E38,'Cost_Components'!$A$2:$A$6,0)),"")</f>
      </c>
      <c r="O38" s="83" t="str">
        <f>AF38*J38</f>
      </c>
      <c r="P38" s="84" t="str">
        <f>AG38*J38</f>
      </c>
      <c r="Q38" s="85" t="str">
        <f>P38*L38*M38*N38</f>
      </c>
      <c r="R38" s="86" t="str">
        <f>O38*K38*M38*N38</f>
      </c>
      <c r="S38" s="87" t="str">
        <f>R38-Q38</f>
      </c>
      <c r="T38" s="34" t="str">
        <f>IFERROR(INDEX('Cost_Components'!$R$2:$R$6,MATCH(E38,'Cost_Components'!$A$2:$A$6,0)),"")</f>
      </c>
      <c r="U38" s="88" t="str">
        <f>IFERROR(INDEX('Cost_Components'!$Q$2:$Q$6,MATCH(E38,'Cost_Components'!$A$2:$A$6,0)),"")</f>
      </c>
      <c r="V38" s="89" t="str">
        <f>1/(1+'Calculation_Assumptions'!$B$5)^(B38-'Calculation_Assumptions'!$B$2)</f>
      </c>
      <c r="W38" s="90" t="str">
        <f>Q38*V38</f>
      </c>
      <c r="X38" s="91" t="str">
        <f>R38*V38</f>
      </c>
      <c r="Y38" s="92" t="str">
        <f>S38*V38</f>
      </c>
      <c r="Z38" s="93" t="str">
        <f>IFERROR(INDEX('Cost_Components'!$T$2:$T$6,MATCH(E38,'Cost_Components'!$A$2:$A$6,0)),"")</f>
      </c>
      <c r="AA38" s="94" t="str">
        <f>IFERROR(INDEX('Cost_Components'!$U$2:$U$6,MATCH(E38,'Cost_Components'!$A$2:$A$6,0)),"")</f>
      </c>
      <c r="AB38" s="95" t="str">
        <f>IFERROR(INDEX('Cost_Components'!$V$2:$V$6,MATCH(E38,'Cost_Components'!$A$2:$A$6,0)),"")</f>
      </c>
      <c r="AC38" s="96" t="str">
        <f>IFERROR(INDEX('Cost_Components'!$M$2:$M$6,MATCH(E38,'Cost_Components'!$A$2:$A$6,0)),"")</f>
      </c>
      <c r="AD38" s="97" t="str">
        <f>IFERROR(INDEX('Cost_Components'!$N$2:$N$6,MATCH(E38,'Cost_Components'!$A$2:$A$6,0)),"")</f>
      </c>
      <c r="AE38" s="34" t="str">
        <f>IFERROR(INDEX('Cost_Components'!$O$2:$O$6,MATCH(E38,'Cost_Components'!$A$2:$A$6,0)),"")</f>
      </c>
      <c r="AF38" s="98" t="n">
        <v>176597129.709171</v>
      </c>
      <c r="AG38" s="99" t="n">
        <v>176538766.30208</v>
      </c>
      <c r="AH38" s="100" t="str">
        <f>IF(H38="shared-count-once",COUNTIFS($A$2:$A$131,A38,$B$2:$B$131,B38,$E$2:$E$131,E38),1)</f>
      </c>
      <c r="AI38" s="101" t="n">
        <v>306964650.16712</v>
      </c>
      <c r="AJ38" s="102" t="str">
        <f>IF(AI38=0,"",Q38/AI38)</f>
      </c>
      <c r="AK38" s="103" t="str">
        <f>IF(AI38=0,"",R38/AI38)</f>
      </c>
      <c r="AL38" s="104" t="str">
        <f>IF(AI38=0,"",S38/AI38)</f>
      </c>
      <c r="AM38" s="105" t="str">
        <f>IF(AI38=0,"",Y38/AI38)</f>
      </c>
    </row>
    <row r="39">
      <c r="A39" t="s">
        <v>115</v>
      </c>
      <c r="B39" s="73" t="n">
        <v>2036</v>
      </c>
      <c r="C39" t="s">
        <v>206</v>
      </c>
      <c r="D39"/>
      <c r="E39" s="74" t="s">
        <v>262</v>
      </c>
      <c r="F39" s="75" t="s">
        <v>263</v>
      </c>
      <c r="G39" s="76" t="s">
        <v>215</v>
      </c>
      <c r="H39" s="77" t="s">
        <v>216</v>
      </c>
      <c r="I39" s="78" t="s">
        <v>267</v>
      </c>
      <c r="J39" s="79" t="str">
        <f>IFERROR(INDEX('Cost_Components'!$K$2:$K$6,MATCH(E39,'Cost_Components'!$A$2:$A$6,0)),"")</f>
      </c>
      <c r="K39" s="106" t="n">
        <v>0.3045</v>
      </c>
      <c r="L39" s="80" t="str">
        <f>IFERROR(INDEX('Cost_Components'!$S$2:$S$6,MATCH(E39,'Cost_Components'!$A$2:$A$6,0)),"")</f>
      </c>
      <c r="M39" s="81" t="str">
        <f>IFERROR(INDEX('Cost_Components'!$L$2:$L$6,MATCH(E39,'Cost_Components'!$A$2:$A$6,0)),"")</f>
      </c>
      <c r="N39" s="82" t="str">
        <f>IFERROR(INDEX('Cost_Components'!$P$2:$P$6,MATCH(E39,'Cost_Components'!$A$2:$A$6,0)),"")</f>
      </c>
      <c r="O39" s="83" t="str">
        <f>AF39*J39</f>
      </c>
      <c r="P39" s="84" t="str">
        <f>AG39*J39</f>
      </c>
      <c r="Q39" s="85" t="str">
        <f>P39*L39*M39*N39</f>
      </c>
      <c r="R39" s="86" t="str">
        <f>O39*K39*M39*N39</f>
      </c>
      <c r="S39" s="87" t="str">
        <f>R39-Q39</f>
      </c>
      <c r="T39" s="34" t="str">
        <f>IFERROR(INDEX('Cost_Components'!$R$2:$R$6,MATCH(E39,'Cost_Components'!$A$2:$A$6,0)),"")</f>
      </c>
      <c r="U39" s="88" t="str">
        <f>IFERROR(INDEX('Cost_Components'!$Q$2:$Q$6,MATCH(E39,'Cost_Components'!$A$2:$A$6,0)),"")</f>
      </c>
      <c r="V39" s="89" t="str">
        <f>1/(1+'Calculation_Assumptions'!$B$5)^(B39-'Calculation_Assumptions'!$B$2)</f>
      </c>
      <c r="W39" s="90" t="str">
        <f>Q39*V39</f>
      </c>
      <c r="X39" s="91" t="str">
        <f>R39*V39</f>
      </c>
      <c r="Y39" s="92" t="str">
        <f>S39*V39</f>
      </c>
      <c r="Z39" s="93" t="str">
        <f>IFERROR(INDEX('Cost_Components'!$T$2:$T$6,MATCH(E39,'Cost_Components'!$A$2:$A$6,0)),"")</f>
      </c>
      <c r="AA39" s="94" t="str">
        <f>IFERROR(INDEX('Cost_Components'!$U$2:$U$6,MATCH(E39,'Cost_Components'!$A$2:$A$6,0)),"")</f>
      </c>
      <c r="AB39" s="95" t="str">
        <f>IFERROR(INDEX('Cost_Components'!$V$2:$V$6,MATCH(E39,'Cost_Components'!$A$2:$A$6,0)),"")</f>
      </c>
      <c r="AC39" s="96" t="str">
        <f>IFERROR(INDEX('Cost_Components'!$M$2:$M$6,MATCH(E39,'Cost_Components'!$A$2:$A$6,0)),"")</f>
      </c>
      <c r="AD39" s="97" t="str">
        <f>IFERROR(INDEX('Cost_Components'!$N$2:$N$6,MATCH(E39,'Cost_Components'!$A$2:$A$6,0)),"")</f>
      </c>
      <c r="AE39" s="34" t="str">
        <f>IFERROR(INDEX('Cost_Components'!$O$2:$O$6,MATCH(E39,'Cost_Components'!$A$2:$A$6,0)),"")</f>
      </c>
      <c r="AF39" s="98" t="n">
        <v>178711256.262192</v>
      </c>
      <c r="AG39" s="99" t="n">
        <v>178623659.570201</v>
      </c>
      <c r="AH39" s="100" t="str">
        <f>IF(H39="shared-count-once",COUNTIFS($A$2:$A$131,A39,$B$2:$B$131,B39,$E$2:$E$131,E39),1)</f>
      </c>
      <c r="AI39" s="101" t="n">
        <v>308542769.756622</v>
      </c>
      <c r="AJ39" s="102" t="str">
        <f>IF(AI39=0,"",Q39/AI39)</f>
      </c>
      <c r="AK39" s="103" t="str">
        <f>IF(AI39=0,"",R39/AI39)</f>
      </c>
      <c r="AL39" s="104" t="str">
        <f>IF(AI39=0,"",S39/AI39)</f>
      </c>
      <c r="AM39" s="105" t="str">
        <f>IF(AI39=0,"",Y39/AI39)</f>
      </c>
    </row>
    <row r="40">
      <c r="A40" t="s">
        <v>115</v>
      </c>
      <c r="B40" s="73" t="n">
        <v>2037</v>
      </c>
      <c r="C40" t="s">
        <v>206</v>
      </c>
      <c r="D40"/>
      <c r="E40" s="74" t="s">
        <v>262</v>
      </c>
      <c r="F40" s="75" t="s">
        <v>263</v>
      </c>
      <c r="G40" s="76" t="s">
        <v>215</v>
      </c>
      <c r="H40" s="77" t="s">
        <v>216</v>
      </c>
      <c r="I40" s="78" t="s">
        <v>267</v>
      </c>
      <c r="J40" s="79" t="str">
        <f>IFERROR(INDEX('Cost_Components'!$K$2:$K$6,MATCH(E40,'Cost_Components'!$A$2:$A$6,0)),"")</f>
      </c>
      <c r="K40" s="106" t="n">
        <v>0.3325</v>
      </c>
      <c r="L40" s="80" t="str">
        <f>IFERROR(INDEX('Cost_Components'!$S$2:$S$6,MATCH(E40,'Cost_Components'!$A$2:$A$6,0)),"")</f>
      </c>
      <c r="M40" s="81" t="str">
        <f>IFERROR(INDEX('Cost_Components'!$L$2:$L$6,MATCH(E40,'Cost_Components'!$A$2:$A$6,0)),"")</f>
      </c>
      <c r="N40" s="82" t="str">
        <f>IFERROR(INDEX('Cost_Components'!$P$2:$P$6,MATCH(E40,'Cost_Components'!$A$2:$A$6,0)),"")</f>
      </c>
      <c r="O40" s="83" t="str">
        <f>AF40*J40</f>
      </c>
      <c r="P40" s="84" t="str">
        <f>AG40*J40</f>
      </c>
      <c r="Q40" s="85" t="str">
        <f>P40*L40*M40*N40</f>
      </c>
      <c r="R40" s="86" t="str">
        <f>O40*K40*M40*N40</f>
      </c>
      <c r="S40" s="87" t="str">
        <f>R40-Q40</f>
      </c>
      <c r="T40" s="34" t="str">
        <f>IFERROR(INDEX('Cost_Components'!$R$2:$R$6,MATCH(E40,'Cost_Components'!$A$2:$A$6,0)),"")</f>
      </c>
      <c r="U40" s="88" t="str">
        <f>IFERROR(INDEX('Cost_Components'!$Q$2:$Q$6,MATCH(E40,'Cost_Components'!$A$2:$A$6,0)),"")</f>
      </c>
      <c r="V40" s="89" t="str">
        <f>1/(1+'Calculation_Assumptions'!$B$5)^(B40-'Calculation_Assumptions'!$B$2)</f>
      </c>
      <c r="W40" s="90" t="str">
        <f>Q40*V40</f>
      </c>
      <c r="X40" s="91" t="str">
        <f>R40*V40</f>
      </c>
      <c r="Y40" s="92" t="str">
        <f>S40*V40</f>
      </c>
      <c r="Z40" s="93" t="str">
        <f>IFERROR(INDEX('Cost_Components'!$T$2:$T$6,MATCH(E40,'Cost_Components'!$A$2:$A$6,0)),"")</f>
      </c>
      <c r="AA40" s="94" t="str">
        <f>IFERROR(INDEX('Cost_Components'!$U$2:$U$6,MATCH(E40,'Cost_Components'!$A$2:$A$6,0)),"")</f>
      </c>
      <c r="AB40" s="95" t="str">
        <f>IFERROR(INDEX('Cost_Components'!$V$2:$V$6,MATCH(E40,'Cost_Components'!$A$2:$A$6,0)),"")</f>
      </c>
      <c r="AC40" s="96" t="str">
        <f>IFERROR(INDEX('Cost_Components'!$M$2:$M$6,MATCH(E40,'Cost_Components'!$A$2:$A$6,0)),"")</f>
      </c>
      <c r="AD40" s="97" t="str">
        <f>IFERROR(INDEX('Cost_Components'!$N$2:$N$6,MATCH(E40,'Cost_Components'!$A$2:$A$6,0)),"")</f>
      </c>
      <c r="AE40" s="34" t="str">
        <f>IFERROR(INDEX('Cost_Components'!$O$2:$O$6,MATCH(E40,'Cost_Components'!$A$2:$A$6,0)),"")</f>
      </c>
      <c r="AF40" s="98" t="n">
        <v>180862884.82821</v>
      </c>
      <c r="AG40" s="99" t="n">
        <v>180737927.453992</v>
      </c>
      <c r="AH40" s="100" t="str">
        <f>IF(H40="shared-count-once",COUNTIFS($A$2:$A$131,A40,$B$2:$B$131,B40,$E$2:$E$131,E40),1)</f>
      </c>
      <c r="AI40" s="101" t="n">
        <v>310068287.63643</v>
      </c>
      <c r="AJ40" s="102" t="str">
        <f>IF(AI40=0,"",Q40/AI40)</f>
      </c>
      <c r="AK40" s="103" t="str">
        <f>IF(AI40=0,"",R40/AI40)</f>
      </c>
      <c r="AL40" s="104" t="str">
        <f>IF(AI40=0,"",S40/AI40)</f>
      </c>
      <c r="AM40" s="105" t="str">
        <f>IF(AI40=0,"",Y40/AI40)</f>
      </c>
    </row>
    <row r="41">
      <c r="A41" t="s">
        <v>115</v>
      </c>
      <c r="B41" s="73" t="n">
        <v>2038</v>
      </c>
      <c r="C41" t="s">
        <v>206</v>
      </c>
      <c r="D41"/>
      <c r="E41" s="74" t="s">
        <v>262</v>
      </c>
      <c r="F41" s="75" t="s">
        <v>263</v>
      </c>
      <c r="G41" s="76" t="s">
        <v>215</v>
      </c>
      <c r="H41" s="77" t="s">
        <v>216</v>
      </c>
      <c r="I41" s="78" t="s">
        <v>267</v>
      </c>
      <c r="J41" s="79" t="str">
        <f>IFERROR(INDEX('Cost_Components'!$K$2:$K$6,MATCH(E41,'Cost_Components'!$A$2:$A$6,0)),"")</f>
      </c>
      <c r="K41" s="106" t="n">
        <v>0.3605</v>
      </c>
      <c r="L41" s="80" t="str">
        <f>IFERROR(INDEX('Cost_Components'!$S$2:$S$6,MATCH(E41,'Cost_Components'!$A$2:$A$6,0)),"")</f>
      </c>
      <c r="M41" s="81" t="str">
        <f>IFERROR(INDEX('Cost_Components'!$L$2:$L$6,MATCH(E41,'Cost_Components'!$A$2:$A$6,0)),"")</f>
      </c>
      <c r="N41" s="82" t="str">
        <f>IFERROR(INDEX('Cost_Components'!$P$2:$P$6,MATCH(E41,'Cost_Components'!$A$2:$A$6,0)),"")</f>
      </c>
      <c r="O41" s="83" t="str">
        <f>AF41*J41</f>
      </c>
      <c r="P41" s="84" t="str">
        <f>AG41*J41</f>
      </c>
      <c r="Q41" s="85" t="str">
        <f>P41*L41*M41*N41</f>
      </c>
      <c r="R41" s="86" t="str">
        <f>O41*K41*M41*N41</f>
      </c>
      <c r="S41" s="87" t="str">
        <f>R41-Q41</f>
      </c>
      <c r="T41" s="34" t="str">
        <f>IFERROR(INDEX('Cost_Components'!$R$2:$R$6,MATCH(E41,'Cost_Components'!$A$2:$A$6,0)),"")</f>
      </c>
      <c r="U41" s="88" t="str">
        <f>IFERROR(INDEX('Cost_Components'!$Q$2:$Q$6,MATCH(E41,'Cost_Components'!$A$2:$A$6,0)),"")</f>
      </c>
      <c r="V41" s="89" t="str">
        <f>1/(1+'Calculation_Assumptions'!$B$5)^(B41-'Calculation_Assumptions'!$B$2)</f>
      </c>
      <c r="W41" s="90" t="str">
        <f>Q41*V41</f>
      </c>
      <c r="X41" s="91" t="str">
        <f>R41*V41</f>
      </c>
      <c r="Y41" s="92" t="str">
        <f>S41*V41</f>
      </c>
      <c r="Z41" s="93" t="str">
        <f>IFERROR(INDEX('Cost_Components'!$T$2:$T$6,MATCH(E41,'Cost_Components'!$A$2:$A$6,0)),"")</f>
      </c>
      <c r="AA41" s="94" t="str">
        <f>IFERROR(INDEX('Cost_Components'!$U$2:$U$6,MATCH(E41,'Cost_Components'!$A$2:$A$6,0)),"")</f>
      </c>
      <c r="AB41" s="95" t="str">
        <f>IFERROR(INDEX('Cost_Components'!$V$2:$V$6,MATCH(E41,'Cost_Components'!$A$2:$A$6,0)),"")</f>
      </c>
      <c r="AC41" s="96" t="str">
        <f>IFERROR(INDEX('Cost_Components'!$M$2:$M$6,MATCH(E41,'Cost_Components'!$A$2:$A$6,0)),"")</f>
      </c>
      <c r="AD41" s="97" t="str">
        <f>IFERROR(INDEX('Cost_Components'!$N$2:$N$6,MATCH(E41,'Cost_Components'!$A$2:$A$6,0)),"")</f>
      </c>
      <c r="AE41" s="34" t="str">
        <f>IFERROR(INDEX('Cost_Components'!$O$2:$O$6,MATCH(E41,'Cost_Components'!$A$2:$A$6,0)),"")</f>
      </c>
      <c r="AF41" s="98" t="n">
        <v>182974826.944686</v>
      </c>
      <c r="AG41" s="99" t="n">
        <v>182803771.129387</v>
      </c>
      <c r="AH41" s="100" t="str">
        <f>IF(H41="shared-count-once",COUNTIFS($A$2:$A$131,A41,$B$2:$B$131,B41,$E$2:$E$131,E41),1)</f>
      </c>
      <c r="AI41" s="101" t="n">
        <v>311532999.13163</v>
      </c>
      <c r="AJ41" s="102" t="str">
        <f>IF(AI41=0,"",Q41/AI41)</f>
      </c>
      <c r="AK41" s="103" t="str">
        <f>IF(AI41=0,"",R41/AI41)</f>
      </c>
      <c r="AL41" s="104" t="str">
        <f>IF(AI41=0,"",S41/AI41)</f>
      </c>
      <c r="AM41" s="105" t="str">
        <f>IF(AI41=0,"",Y41/AI41)</f>
      </c>
    </row>
    <row r="42">
      <c r="A42" t="s">
        <v>115</v>
      </c>
      <c r="B42" s="73" t="n">
        <v>2039</v>
      </c>
      <c r="C42" t="s">
        <v>206</v>
      </c>
      <c r="D42"/>
      <c r="E42" s="74" t="s">
        <v>262</v>
      </c>
      <c r="F42" s="75" t="s">
        <v>263</v>
      </c>
      <c r="G42" s="76" t="s">
        <v>215</v>
      </c>
      <c r="H42" s="77" t="s">
        <v>216</v>
      </c>
      <c r="I42" s="78" t="s">
        <v>267</v>
      </c>
      <c r="J42" s="79" t="str">
        <f>IFERROR(INDEX('Cost_Components'!$K$2:$K$6,MATCH(E42,'Cost_Components'!$A$2:$A$6,0)),"")</f>
      </c>
      <c r="K42" s="106" t="n">
        <v>0.3885</v>
      </c>
      <c r="L42" s="80" t="str">
        <f>IFERROR(INDEX('Cost_Components'!$S$2:$S$6,MATCH(E42,'Cost_Components'!$A$2:$A$6,0)),"")</f>
      </c>
      <c r="M42" s="81" t="str">
        <f>IFERROR(INDEX('Cost_Components'!$L$2:$L$6,MATCH(E42,'Cost_Components'!$A$2:$A$6,0)),"")</f>
      </c>
      <c r="N42" s="82" t="str">
        <f>IFERROR(INDEX('Cost_Components'!$P$2:$P$6,MATCH(E42,'Cost_Components'!$A$2:$A$6,0)),"")</f>
      </c>
      <c r="O42" s="83" t="str">
        <f>AF42*J42</f>
      </c>
      <c r="P42" s="84" t="str">
        <f>AG42*J42</f>
      </c>
      <c r="Q42" s="85" t="str">
        <f>P42*L42*M42*N42</f>
      </c>
      <c r="R42" s="86" t="str">
        <f>O42*K42*M42*N42</f>
      </c>
      <c r="S42" s="87" t="str">
        <f>R42-Q42</f>
      </c>
      <c r="T42" s="34" t="str">
        <f>IFERROR(INDEX('Cost_Components'!$R$2:$R$6,MATCH(E42,'Cost_Components'!$A$2:$A$6,0)),"")</f>
      </c>
      <c r="U42" s="88" t="str">
        <f>IFERROR(INDEX('Cost_Components'!$Q$2:$Q$6,MATCH(E42,'Cost_Components'!$A$2:$A$6,0)),"")</f>
      </c>
      <c r="V42" s="89" t="str">
        <f>1/(1+'Calculation_Assumptions'!$B$5)^(B42-'Calculation_Assumptions'!$B$2)</f>
      </c>
      <c r="W42" s="90" t="str">
        <f>Q42*V42</f>
      </c>
      <c r="X42" s="91" t="str">
        <f>R42*V42</f>
      </c>
      <c r="Y42" s="92" t="str">
        <f>S42*V42</f>
      </c>
      <c r="Z42" s="93" t="str">
        <f>IFERROR(INDEX('Cost_Components'!$T$2:$T$6,MATCH(E42,'Cost_Components'!$A$2:$A$6,0)),"")</f>
      </c>
      <c r="AA42" s="94" t="str">
        <f>IFERROR(INDEX('Cost_Components'!$U$2:$U$6,MATCH(E42,'Cost_Components'!$A$2:$A$6,0)),"")</f>
      </c>
      <c r="AB42" s="95" t="str">
        <f>IFERROR(INDEX('Cost_Components'!$V$2:$V$6,MATCH(E42,'Cost_Components'!$A$2:$A$6,0)),"")</f>
      </c>
      <c r="AC42" s="96" t="str">
        <f>IFERROR(INDEX('Cost_Components'!$M$2:$M$6,MATCH(E42,'Cost_Components'!$A$2:$A$6,0)),"")</f>
      </c>
      <c r="AD42" s="97" t="str">
        <f>IFERROR(INDEX('Cost_Components'!$N$2:$N$6,MATCH(E42,'Cost_Components'!$A$2:$A$6,0)),"")</f>
      </c>
      <c r="AE42" s="34" t="str">
        <f>IFERROR(INDEX('Cost_Components'!$O$2:$O$6,MATCH(E42,'Cost_Components'!$A$2:$A$6,0)),"")</f>
      </c>
      <c r="AF42" s="98" t="n">
        <v>185058492.153747</v>
      </c>
      <c r="AG42" s="99" t="n">
        <v>184832385.454252</v>
      </c>
      <c r="AH42" s="100" t="str">
        <f>IF(H42="shared-count-once",COUNTIFS($A$2:$A$131,A42,$B$2:$B$131,B42,$E$2:$E$131,E42),1)</f>
      </c>
      <c r="AI42" s="101" t="n">
        <v>312936391.858479</v>
      </c>
      <c r="AJ42" s="102" t="str">
        <f>IF(AI42=0,"",Q42/AI42)</f>
      </c>
      <c r="AK42" s="103" t="str">
        <f>IF(AI42=0,"",R42/AI42)</f>
      </c>
      <c r="AL42" s="104" t="str">
        <f>IF(AI42=0,"",S42/AI42)</f>
      </c>
      <c r="AM42" s="105" t="str">
        <f>IF(AI42=0,"",Y42/AI42)</f>
      </c>
    </row>
    <row r="43">
      <c r="A43" t="s">
        <v>115</v>
      </c>
      <c r="B43" s="73" t="n">
        <v>2040</v>
      </c>
      <c r="C43" t="s">
        <v>206</v>
      </c>
      <c r="D43"/>
      <c r="E43" s="74" t="s">
        <v>262</v>
      </c>
      <c r="F43" s="75" t="s">
        <v>263</v>
      </c>
      <c r="G43" s="76" t="s">
        <v>215</v>
      </c>
      <c r="H43" s="77" t="s">
        <v>216</v>
      </c>
      <c r="I43" s="78" t="s">
        <v>267</v>
      </c>
      <c r="J43" s="79" t="str">
        <f>IFERROR(INDEX('Cost_Components'!$K$2:$K$6,MATCH(E43,'Cost_Components'!$A$2:$A$6,0)),"")</f>
      </c>
      <c r="K43" s="106" t="n">
        <v>0.4165</v>
      </c>
      <c r="L43" s="80" t="str">
        <f>IFERROR(INDEX('Cost_Components'!$S$2:$S$6,MATCH(E43,'Cost_Components'!$A$2:$A$6,0)),"")</f>
      </c>
      <c r="M43" s="81" t="str">
        <f>IFERROR(INDEX('Cost_Components'!$L$2:$L$6,MATCH(E43,'Cost_Components'!$A$2:$A$6,0)),"")</f>
      </c>
      <c r="N43" s="82" t="str">
        <f>IFERROR(INDEX('Cost_Components'!$P$2:$P$6,MATCH(E43,'Cost_Components'!$A$2:$A$6,0)),"")</f>
      </c>
      <c r="O43" s="83" t="str">
        <f>AF43*J43</f>
      </c>
      <c r="P43" s="84" t="str">
        <f>AG43*J43</f>
      </c>
      <c r="Q43" s="85" t="str">
        <f>P43*L43*M43*N43</f>
      </c>
      <c r="R43" s="86" t="str">
        <f>O43*K43*M43*N43</f>
      </c>
      <c r="S43" s="87" t="str">
        <f>R43-Q43</f>
      </c>
      <c r="T43" s="34" t="str">
        <f>IFERROR(INDEX('Cost_Components'!$R$2:$R$6,MATCH(E43,'Cost_Components'!$A$2:$A$6,0)),"")</f>
      </c>
      <c r="U43" s="88" t="str">
        <f>IFERROR(INDEX('Cost_Components'!$Q$2:$Q$6,MATCH(E43,'Cost_Components'!$A$2:$A$6,0)),"")</f>
      </c>
      <c r="V43" s="89" t="str">
        <f>1/(1+'Calculation_Assumptions'!$B$5)^(B43-'Calculation_Assumptions'!$B$2)</f>
      </c>
      <c r="W43" s="90" t="str">
        <f>Q43*V43</f>
      </c>
      <c r="X43" s="91" t="str">
        <f>R43*V43</f>
      </c>
      <c r="Y43" s="92" t="str">
        <f>S43*V43</f>
      </c>
      <c r="Z43" s="93" t="str">
        <f>IFERROR(INDEX('Cost_Components'!$T$2:$T$6,MATCH(E43,'Cost_Components'!$A$2:$A$6,0)),"")</f>
      </c>
      <c r="AA43" s="94" t="str">
        <f>IFERROR(INDEX('Cost_Components'!$U$2:$U$6,MATCH(E43,'Cost_Components'!$A$2:$A$6,0)),"")</f>
      </c>
      <c r="AB43" s="95" t="str">
        <f>IFERROR(INDEX('Cost_Components'!$V$2:$V$6,MATCH(E43,'Cost_Components'!$A$2:$A$6,0)),"")</f>
      </c>
      <c r="AC43" s="96" t="str">
        <f>IFERROR(INDEX('Cost_Components'!$M$2:$M$6,MATCH(E43,'Cost_Components'!$A$2:$A$6,0)),"")</f>
      </c>
      <c r="AD43" s="97" t="str">
        <f>IFERROR(INDEX('Cost_Components'!$N$2:$N$6,MATCH(E43,'Cost_Components'!$A$2:$A$6,0)),"")</f>
      </c>
      <c r="AE43" s="34" t="str">
        <f>IFERROR(INDEX('Cost_Components'!$O$2:$O$6,MATCH(E43,'Cost_Components'!$A$2:$A$6,0)),"")</f>
      </c>
      <c r="AF43" s="98" t="n">
        <v>187164059.901849</v>
      </c>
      <c r="AG43" s="99" t="n">
        <v>186873471.103366</v>
      </c>
      <c r="AH43" s="100" t="str">
        <f>IF(H43="shared-count-once",COUNTIFS($A$2:$A$131,A43,$B$2:$B$131,B43,$E$2:$E$131,E43),1)</f>
      </c>
      <c r="AI43" s="101" t="n">
        <v>314265537.410829</v>
      </c>
      <c r="AJ43" s="102" t="str">
        <f>IF(AI43=0,"",Q43/AI43)</f>
      </c>
      <c r="AK43" s="103" t="str">
        <f>IF(AI43=0,"",R43/AI43)</f>
      </c>
      <c r="AL43" s="104" t="str">
        <f>IF(AI43=0,"",S43/AI43)</f>
      </c>
      <c r="AM43" s="105" t="str">
        <f>IF(AI43=0,"",Y43/AI43)</f>
      </c>
    </row>
    <row r="44">
      <c r="A44" t="s">
        <v>115</v>
      </c>
      <c r="B44" s="73" t="n">
        <v>2041</v>
      </c>
      <c r="C44" t="s">
        <v>206</v>
      </c>
      <c r="D44"/>
      <c r="E44" s="74" t="s">
        <v>262</v>
      </c>
      <c r="F44" s="75" t="s">
        <v>263</v>
      </c>
      <c r="G44" s="76" t="s">
        <v>215</v>
      </c>
      <c r="H44" s="77" t="s">
        <v>216</v>
      </c>
      <c r="I44" s="78" t="s">
        <v>267</v>
      </c>
      <c r="J44" s="79" t="str">
        <f>IFERROR(INDEX('Cost_Components'!$K$2:$K$6,MATCH(E44,'Cost_Components'!$A$2:$A$6,0)),"")</f>
      </c>
      <c r="K44" s="106" t="n">
        <v>0.4165</v>
      </c>
      <c r="L44" s="80" t="str">
        <f>IFERROR(INDEX('Cost_Components'!$S$2:$S$6,MATCH(E44,'Cost_Components'!$A$2:$A$6,0)),"")</f>
      </c>
      <c r="M44" s="81" t="str">
        <f>IFERROR(INDEX('Cost_Components'!$L$2:$L$6,MATCH(E44,'Cost_Components'!$A$2:$A$6,0)),"")</f>
      </c>
      <c r="N44" s="82" t="str">
        <f>IFERROR(INDEX('Cost_Components'!$P$2:$P$6,MATCH(E44,'Cost_Components'!$A$2:$A$6,0)),"")</f>
      </c>
      <c r="O44" s="83" t="str">
        <f>AF44*J44</f>
      </c>
      <c r="P44" s="84" t="str">
        <f>AG44*J44</f>
      </c>
      <c r="Q44" s="85" t="str">
        <f>P44*L44*M44*N44</f>
      </c>
      <c r="R44" s="86" t="str">
        <f>O44*K44*M44*N44</f>
      </c>
      <c r="S44" s="87" t="str">
        <f>R44-Q44</f>
      </c>
      <c r="T44" s="34" t="str">
        <f>IFERROR(INDEX('Cost_Components'!$R$2:$R$6,MATCH(E44,'Cost_Components'!$A$2:$A$6,0)),"")</f>
      </c>
      <c r="U44" s="88" t="str">
        <f>IFERROR(INDEX('Cost_Components'!$Q$2:$Q$6,MATCH(E44,'Cost_Components'!$A$2:$A$6,0)),"")</f>
      </c>
      <c r="V44" s="89" t="str">
        <f>1/(1+'Calculation_Assumptions'!$B$5)^(B44-'Calculation_Assumptions'!$B$2)</f>
      </c>
      <c r="W44" s="90" t="str">
        <f>Q44*V44</f>
      </c>
      <c r="X44" s="91" t="str">
        <f>R44*V44</f>
      </c>
      <c r="Y44" s="92" t="str">
        <f>S44*V44</f>
      </c>
      <c r="Z44" s="93" t="str">
        <f>IFERROR(INDEX('Cost_Components'!$T$2:$T$6,MATCH(E44,'Cost_Components'!$A$2:$A$6,0)),"")</f>
      </c>
      <c r="AA44" s="94" t="str">
        <f>IFERROR(INDEX('Cost_Components'!$U$2:$U$6,MATCH(E44,'Cost_Components'!$A$2:$A$6,0)),"")</f>
      </c>
      <c r="AB44" s="95" t="str">
        <f>IFERROR(INDEX('Cost_Components'!$V$2:$V$6,MATCH(E44,'Cost_Components'!$A$2:$A$6,0)),"")</f>
      </c>
      <c r="AC44" s="96" t="str">
        <f>IFERROR(INDEX('Cost_Components'!$M$2:$M$6,MATCH(E44,'Cost_Components'!$A$2:$A$6,0)),"")</f>
      </c>
      <c r="AD44" s="97" t="str">
        <f>IFERROR(INDEX('Cost_Components'!$N$2:$N$6,MATCH(E44,'Cost_Components'!$A$2:$A$6,0)),"")</f>
      </c>
      <c r="AE44" s="34" t="str">
        <f>IFERROR(INDEX('Cost_Components'!$O$2:$O$6,MATCH(E44,'Cost_Components'!$A$2:$A$6,0)),"")</f>
      </c>
      <c r="AF44" s="98" t="n">
        <v>189355296.271455</v>
      </c>
      <c r="AG44" s="99" t="n">
        <v>188934400.22828</v>
      </c>
      <c r="AH44" s="100" t="str">
        <f>IF(H44="shared-count-once",COUNTIFS($A$2:$A$131,A44,$B$2:$B$131,B44,$E$2:$E$131,E44),1)</f>
      </c>
      <c r="AI44" s="101" t="n">
        <v>315525215.312548</v>
      </c>
      <c r="AJ44" s="102" t="str">
        <f>IF(AI44=0,"",Q44/AI44)</f>
      </c>
      <c r="AK44" s="103" t="str">
        <f>IF(AI44=0,"",R44/AI44)</f>
      </c>
      <c r="AL44" s="104" t="str">
        <f>IF(AI44=0,"",S44/AI44)</f>
      </c>
      <c r="AM44" s="105" t="str">
        <f>IF(AI44=0,"",Y44/AI44)</f>
      </c>
    </row>
    <row r="45">
      <c r="A45" t="s">
        <v>115</v>
      </c>
      <c r="B45" s="73" t="n">
        <v>2042</v>
      </c>
      <c r="C45" t="s">
        <v>206</v>
      </c>
      <c r="D45"/>
      <c r="E45" s="74" t="s">
        <v>262</v>
      </c>
      <c r="F45" s="75" t="s">
        <v>263</v>
      </c>
      <c r="G45" s="76" t="s">
        <v>215</v>
      </c>
      <c r="H45" s="77" t="s">
        <v>216</v>
      </c>
      <c r="I45" s="78" t="s">
        <v>267</v>
      </c>
      <c r="J45" s="79" t="str">
        <f>IFERROR(INDEX('Cost_Components'!$K$2:$K$6,MATCH(E45,'Cost_Components'!$A$2:$A$6,0)),"")</f>
      </c>
      <c r="K45" s="106" t="n">
        <v>0.4165</v>
      </c>
      <c r="L45" s="80" t="str">
        <f>IFERROR(INDEX('Cost_Components'!$S$2:$S$6,MATCH(E45,'Cost_Components'!$A$2:$A$6,0)),"")</f>
      </c>
      <c r="M45" s="81" t="str">
        <f>IFERROR(INDEX('Cost_Components'!$L$2:$L$6,MATCH(E45,'Cost_Components'!$A$2:$A$6,0)),"")</f>
      </c>
      <c r="N45" s="82" t="str">
        <f>IFERROR(INDEX('Cost_Components'!$P$2:$P$6,MATCH(E45,'Cost_Components'!$A$2:$A$6,0)),"")</f>
      </c>
      <c r="O45" s="83" t="str">
        <f>AF45*J45</f>
      </c>
      <c r="P45" s="84" t="str">
        <f>AG45*J45</f>
      </c>
      <c r="Q45" s="85" t="str">
        <f>P45*L45*M45*N45</f>
      </c>
      <c r="R45" s="86" t="str">
        <f>O45*K45*M45*N45</f>
      </c>
      <c r="S45" s="87" t="str">
        <f>R45-Q45</f>
      </c>
      <c r="T45" s="34" t="str">
        <f>IFERROR(INDEX('Cost_Components'!$R$2:$R$6,MATCH(E45,'Cost_Components'!$A$2:$A$6,0)),"")</f>
      </c>
      <c r="U45" s="88" t="str">
        <f>IFERROR(INDEX('Cost_Components'!$Q$2:$Q$6,MATCH(E45,'Cost_Components'!$A$2:$A$6,0)),"")</f>
      </c>
      <c r="V45" s="89" t="str">
        <f>1/(1+'Calculation_Assumptions'!$B$5)^(B45-'Calculation_Assumptions'!$B$2)</f>
      </c>
      <c r="W45" s="90" t="str">
        <f>Q45*V45</f>
      </c>
      <c r="X45" s="91" t="str">
        <f>R45*V45</f>
      </c>
      <c r="Y45" s="92" t="str">
        <f>S45*V45</f>
      </c>
      <c r="Z45" s="93" t="str">
        <f>IFERROR(INDEX('Cost_Components'!$T$2:$T$6,MATCH(E45,'Cost_Components'!$A$2:$A$6,0)),"")</f>
      </c>
      <c r="AA45" s="94" t="str">
        <f>IFERROR(INDEX('Cost_Components'!$U$2:$U$6,MATCH(E45,'Cost_Components'!$A$2:$A$6,0)),"")</f>
      </c>
      <c r="AB45" s="95" t="str">
        <f>IFERROR(INDEX('Cost_Components'!$V$2:$V$6,MATCH(E45,'Cost_Components'!$A$2:$A$6,0)),"")</f>
      </c>
      <c r="AC45" s="96" t="str">
        <f>IFERROR(INDEX('Cost_Components'!$M$2:$M$6,MATCH(E45,'Cost_Components'!$A$2:$A$6,0)),"")</f>
      </c>
      <c r="AD45" s="97" t="str">
        <f>IFERROR(INDEX('Cost_Components'!$N$2:$N$6,MATCH(E45,'Cost_Components'!$A$2:$A$6,0)),"")</f>
      </c>
      <c r="AE45" s="34" t="str">
        <f>IFERROR(INDEX('Cost_Components'!$O$2:$O$6,MATCH(E45,'Cost_Components'!$A$2:$A$6,0)),"")</f>
      </c>
      <c r="AF45" s="98" t="n">
        <v>191467042.208964</v>
      </c>
      <c r="AG45" s="99" t="n">
        <v>191020494.904652</v>
      </c>
      <c r="AH45" s="100" t="str">
        <f>IF(H45="shared-count-once",COUNTIFS($A$2:$A$131,A45,$B$2:$B$131,B45,$E$2:$E$131,E45),1)</f>
      </c>
      <c r="AI45" s="101" t="n">
        <v>316707694.211882</v>
      </c>
      <c r="AJ45" s="102" t="str">
        <f>IF(AI45=0,"",Q45/AI45)</f>
      </c>
      <c r="AK45" s="103" t="str">
        <f>IF(AI45=0,"",R45/AI45)</f>
      </c>
      <c r="AL45" s="104" t="str">
        <f>IF(AI45=0,"",S45/AI45)</f>
      </c>
      <c r="AM45" s="105" t="str">
        <f>IF(AI45=0,"",Y45/AI45)</f>
      </c>
    </row>
    <row r="46">
      <c r="A46" t="s">
        <v>115</v>
      </c>
      <c r="B46" s="73" t="n">
        <v>2043</v>
      </c>
      <c r="C46" t="s">
        <v>206</v>
      </c>
      <c r="D46"/>
      <c r="E46" s="74" t="s">
        <v>262</v>
      </c>
      <c r="F46" s="75" t="s">
        <v>263</v>
      </c>
      <c r="G46" s="76" t="s">
        <v>215</v>
      </c>
      <c r="H46" s="77" t="s">
        <v>216</v>
      </c>
      <c r="I46" s="78" t="s">
        <v>267</v>
      </c>
      <c r="J46" s="79" t="str">
        <f>IFERROR(INDEX('Cost_Components'!$K$2:$K$6,MATCH(E46,'Cost_Components'!$A$2:$A$6,0)),"")</f>
      </c>
      <c r="K46" s="106" t="n">
        <v>0.4165</v>
      </c>
      <c r="L46" s="80" t="str">
        <f>IFERROR(INDEX('Cost_Components'!$S$2:$S$6,MATCH(E46,'Cost_Components'!$A$2:$A$6,0)),"")</f>
      </c>
      <c r="M46" s="81" t="str">
        <f>IFERROR(INDEX('Cost_Components'!$L$2:$L$6,MATCH(E46,'Cost_Components'!$A$2:$A$6,0)),"")</f>
      </c>
      <c r="N46" s="82" t="str">
        <f>IFERROR(INDEX('Cost_Components'!$P$2:$P$6,MATCH(E46,'Cost_Components'!$A$2:$A$6,0)),"")</f>
      </c>
      <c r="O46" s="83" t="str">
        <f>AF46*J46</f>
      </c>
      <c r="P46" s="84" t="str">
        <f>AG46*J46</f>
      </c>
      <c r="Q46" s="85" t="str">
        <f>P46*L46*M46*N46</f>
      </c>
      <c r="R46" s="86" t="str">
        <f>O46*K46*M46*N46</f>
      </c>
      <c r="S46" s="87" t="str">
        <f>R46-Q46</f>
      </c>
      <c r="T46" s="34" t="str">
        <f>IFERROR(INDEX('Cost_Components'!$R$2:$R$6,MATCH(E46,'Cost_Components'!$A$2:$A$6,0)),"")</f>
      </c>
      <c r="U46" s="88" t="str">
        <f>IFERROR(INDEX('Cost_Components'!$Q$2:$Q$6,MATCH(E46,'Cost_Components'!$A$2:$A$6,0)),"")</f>
      </c>
      <c r="V46" s="89" t="str">
        <f>1/(1+'Calculation_Assumptions'!$B$5)^(B46-'Calculation_Assumptions'!$B$2)</f>
      </c>
      <c r="W46" s="90" t="str">
        <f>Q46*V46</f>
      </c>
      <c r="X46" s="91" t="str">
        <f>R46*V46</f>
      </c>
      <c r="Y46" s="92" t="str">
        <f>S46*V46</f>
      </c>
      <c r="Z46" s="93" t="str">
        <f>IFERROR(INDEX('Cost_Components'!$T$2:$T$6,MATCH(E46,'Cost_Components'!$A$2:$A$6,0)),"")</f>
      </c>
      <c r="AA46" s="94" t="str">
        <f>IFERROR(INDEX('Cost_Components'!$U$2:$U$6,MATCH(E46,'Cost_Components'!$A$2:$A$6,0)),"")</f>
      </c>
      <c r="AB46" s="95" t="str">
        <f>IFERROR(INDEX('Cost_Components'!$V$2:$V$6,MATCH(E46,'Cost_Components'!$A$2:$A$6,0)),"")</f>
      </c>
      <c r="AC46" s="96" t="str">
        <f>IFERROR(INDEX('Cost_Components'!$M$2:$M$6,MATCH(E46,'Cost_Components'!$A$2:$A$6,0)),"")</f>
      </c>
      <c r="AD46" s="97" t="str">
        <f>IFERROR(INDEX('Cost_Components'!$N$2:$N$6,MATCH(E46,'Cost_Components'!$A$2:$A$6,0)),"")</f>
      </c>
      <c r="AE46" s="34" t="str">
        <f>IFERROR(INDEX('Cost_Components'!$O$2:$O$6,MATCH(E46,'Cost_Components'!$A$2:$A$6,0)),"")</f>
      </c>
      <c r="AF46" s="98" t="n">
        <v>193470484.035677</v>
      </c>
      <c r="AG46" s="99" t="n">
        <v>192936206.600428</v>
      </c>
      <c r="AH46" s="100" t="str">
        <f>IF(H46="shared-count-once",COUNTIFS($A$2:$A$131,A46,$B$2:$B$131,B46,$E$2:$E$131,E46),1)</f>
      </c>
      <c r="AI46" s="101" t="n">
        <v>317814114.067152</v>
      </c>
      <c r="AJ46" s="102" t="str">
        <f>IF(AI46=0,"",Q46/AI46)</f>
      </c>
      <c r="AK46" s="103" t="str">
        <f>IF(AI46=0,"",R46/AI46)</f>
      </c>
      <c r="AL46" s="104" t="str">
        <f>IF(AI46=0,"",S46/AI46)</f>
      </c>
      <c r="AM46" s="105" t="str">
        <f>IF(AI46=0,"",Y46/AI46)</f>
      </c>
    </row>
    <row r="47">
      <c r="A47" t="s">
        <v>115</v>
      </c>
      <c r="B47" s="73" t="n">
        <v>2044</v>
      </c>
      <c r="C47" t="s">
        <v>206</v>
      </c>
      <c r="D47"/>
      <c r="E47" s="74" t="s">
        <v>262</v>
      </c>
      <c r="F47" s="75" t="s">
        <v>263</v>
      </c>
      <c r="G47" s="76" t="s">
        <v>215</v>
      </c>
      <c r="H47" s="77" t="s">
        <v>216</v>
      </c>
      <c r="I47" s="78" t="s">
        <v>267</v>
      </c>
      <c r="J47" s="79" t="str">
        <f>IFERROR(INDEX('Cost_Components'!$K$2:$K$6,MATCH(E47,'Cost_Components'!$A$2:$A$6,0)),"")</f>
      </c>
      <c r="K47" s="106" t="n">
        <v>0.4165</v>
      </c>
      <c r="L47" s="80" t="str">
        <f>IFERROR(INDEX('Cost_Components'!$S$2:$S$6,MATCH(E47,'Cost_Components'!$A$2:$A$6,0)),"")</f>
      </c>
      <c r="M47" s="81" t="str">
        <f>IFERROR(INDEX('Cost_Components'!$L$2:$L$6,MATCH(E47,'Cost_Components'!$A$2:$A$6,0)),"")</f>
      </c>
      <c r="N47" s="82" t="str">
        <f>IFERROR(INDEX('Cost_Components'!$P$2:$P$6,MATCH(E47,'Cost_Components'!$A$2:$A$6,0)),"")</f>
      </c>
      <c r="O47" s="83" t="str">
        <f>AF47*J47</f>
      </c>
      <c r="P47" s="84" t="str">
        <f>AG47*J47</f>
      </c>
      <c r="Q47" s="85" t="str">
        <f>P47*L47*M47*N47</f>
      </c>
      <c r="R47" s="86" t="str">
        <f>O47*K47*M47*N47</f>
      </c>
      <c r="S47" s="87" t="str">
        <f>R47-Q47</f>
      </c>
      <c r="T47" s="34" t="str">
        <f>IFERROR(INDEX('Cost_Components'!$R$2:$R$6,MATCH(E47,'Cost_Components'!$A$2:$A$6,0)),"")</f>
      </c>
      <c r="U47" s="88" t="str">
        <f>IFERROR(INDEX('Cost_Components'!$Q$2:$Q$6,MATCH(E47,'Cost_Components'!$A$2:$A$6,0)),"")</f>
      </c>
      <c r="V47" s="89" t="str">
        <f>1/(1+'Calculation_Assumptions'!$B$5)^(B47-'Calculation_Assumptions'!$B$2)</f>
      </c>
      <c r="W47" s="90" t="str">
        <f>Q47*V47</f>
      </c>
      <c r="X47" s="91" t="str">
        <f>R47*V47</f>
      </c>
      <c r="Y47" s="92" t="str">
        <f>S47*V47</f>
      </c>
      <c r="Z47" s="93" t="str">
        <f>IFERROR(INDEX('Cost_Components'!$T$2:$T$6,MATCH(E47,'Cost_Components'!$A$2:$A$6,0)),"")</f>
      </c>
      <c r="AA47" s="94" t="str">
        <f>IFERROR(INDEX('Cost_Components'!$U$2:$U$6,MATCH(E47,'Cost_Components'!$A$2:$A$6,0)),"")</f>
      </c>
      <c r="AB47" s="95" t="str">
        <f>IFERROR(INDEX('Cost_Components'!$V$2:$V$6,MATCH(E47,'Cost_Components'!$A$2:$A$6,0)),"")</f>
      </c>
      <c r="AC47" s="96" t="str">
        <f>IFERROR(INDEX('Cost_Components'!$M$2:$M$6,MATCH(E47,'Cost_Components'!$A$2:$A$6,0)),"")</f>
      </c>
      <c r="AD47" s="97" t="str">
        <f>IFERROR(INDEX('Cost_Components'!$N$2:$N$6,MATCH(E47,'Cost_Components'!$A$2:$A$6,0)),"")</f>
      </c>
      <c r="AE47" s="34" t="str">
        <f>IFERROR(INDEX('Cost_Components'!$O$2:$O$6,MATCH(E47,'Cost_Components'!$A$2:$A$6,0)),"")</f>
      </c>
      <c r="AF47" s="98" t="n">
        <v>195367093.935456</v>
      </c>
      <c r="AG47" s="99" t="n">
        <v>194740839.86655</v>
      </c>
      <c r="AH47" s="100" t="str">
        <f>IF(H47="shared-count-once",COUNTIFS($A$2:$A$131,A47,$B$2:$B$131,B47,$E$2:$E$131,E47),1)</f>
      </c>
      <c r="AI47" s="101" t="n">
        <v>318840890.732156</v>
      </c>
      <c r="AJ47" s="102" t="str">
        <f>IF(AI47=0,"",Q47/AI47)</f>
      </c>
      <c r="AK47" s="103" t="str">
        <f>IF(AI47=0,"",R47/AI47)</f>
      </c>
      <c r="AL47" s="104" t="str">
        <f>IF(AI47=0,"",S47/AI47)</f>
      </c>
      <c r="AM47" s="105" t="str">
        <f>IF(AI47=0,"",Y47/AI47)</f>
      </c>
    </row>
    <row r="48">
      <c r="A48" t="s">
        <v>115</v>
      </c>
      <c r="B48" s="73" t="n">
        <v>2045</v>
      </c>
      <c r="C48" t="s">
        <v>206</v>
      </c>
      <c r="D48"/>
      <c r="E48" s="74" t="s">
        <v>262</v>
      </c>
      <c r="F48" s="75" t="s">
        <v>263</v>
      </c>
      <c r="G48" s="76" t="s">
        <v>215</v>
      </c>
      <c r="H48" s="77" t="s">
        <v>216</v>
      </c>
      <c r="I48" s="78" t="s">
        <v>267</v>
      </c>
      <c r="J48" s="79" t="str">
        <f>IFERROR(INDEX('Cost_Components'!$K$2:$K$6,MATCH(E48,'Cost_Components'!$A$2:$A$6,0)),"")</f>
      </c>
      <c r="K48" s="106" t="n">
        <v>0.4165</v>
      </c>
      <c r="L48" s="80" t="str">
        <f>IFERROR(INDEX('Cost_Components'!$S$2:$S$6,MATCH(E48,'Cost_Components'!$A$2:$A$6,0)),"")</f>
      </c>
      <c r="M48" s="81" t="str">
        <f>IFERROR(INDEX('Cost_Components'!$L$2:$L$6,MATCH(E48,'Cost_Components'!$A$2:$A$6,0)),"")</f>
      </c>
      <c r="N48" s="82" t="str">
        <f>IFERROR(INDEX('Cost_Components'!$P$2:$P$6,MATCH(E48,'Cost_Components'!$A$2:$A$6,0)),"")</f>
      </c>
      <c r="O48" s="83" t="str">
        <f>AF48*J48</f>
      </c>
      <c r="P48" s="84" t="str">
        <f>AG48*J48</f>
      </c>
      <c r="Q48" s="85" t="str">
        <f>P48*L48*M48*N48</f>
      </c>
      <c r="R48" s="86" t="str">
        <f>O48*K48*M48*N48</f>
      </c>
      <c r="S48" s="87" t="str">
        <f>R48-Q48</f>
      </c>
      <c r="T48" s="34" t="str">
        <f>IFERROR(INDEX('Cost_Components'!$R$2:$R$6,MATCH(E48,'Cost_Components'!$A$2:$A$6,0)),"")</f>
      </c>
      <c r="U48" s="88" t="str">
        <f>IFERROR(INDEX('Cost_Components'!$Q$2:$Q$6,MATCH(E48,'Cost_Components'!$A$2:$A$6,0)),"")</f>
      </c>
      <c r="V48" s="89" t="str">
        <f>1/(1+'Calculation_Assumptions'!$B$5)^(B48-'Calculation_Assumptions'!$B$2)</f>
      </c>
      <c r="W48" s="90" t="str">
        <f>Q48*V48</f>
      </c>
      <c r="X48" s="91" t="str">
        <f>R48*V48</f>
      </c>
      <c r="Y48" s="92" t="str">
        <f>S48*V48</f>
      </c>
      <c r="Z48" s="93" t="str">
        <f>IFERROR(INDEX('Cost_Components'!$T$2:$T$6,MATCH(E48,'Cost_Components'!$A$2:$A$6,0)),"")</f>
      </c>
      <c r="AA48" s="94" t="str">
        <f>IFERROR(INDEX('Cost_Components'!$U$2:$U$6,MATCH(E48,'Cost_Components'!$A$2:$A$6,0)),"")</f>
      </c>
      <c r="AB48" s="95" t="str">
        <f>IFERROR(INDEX('Cost_Components'!$V$2:$V$6,MATCH(E48,'Cost_Components'!$A$2:$A$6,0)),"")</f>
      </c>
      <c r="AC48" s="96" t="str">
        <f>IFERROR(INDEX('Cost_Components'!$M$2:$M$6,MATCH(E48,'Cost_Components'!$A$2:$A$6,0)),"")</f>
      </c>
      <c r="AD48" s="97" t="str">
        <f>IFERROR(INDEX('Cost_Components'!$N$2:$N$6,MATCH(E48,'Cost_Components'!$A$2:$A$6,0)),"")</f>
      </c>
      <c r="AE48" s="34" t="str">
        <f>IFERROR(INDEX('Cost_Components'!$O$2:$O$6,MATCH(E48,'Cost_Components'!$A$2:$A$6,0)),"")</f>
      </c>
      <c r="AF48" s="98" t="n">
        <v>197135810.021916</v>
      </c>
      <c r="AG48" s="99" t="n">
        <v>196414899.064498</v>
      </c>
      <c r="AH48" s="100" t="str">
        <f>IF(H48="shared-count-once",COUNTIFS($A$2:$A$131,A48,$B$2:$B$131,B48,$E$2:$E$131,E48),1)</f>
      </c>
      <c r="AI48" s="101" t="n">
        <v>319784682.33108</v>
      </c>
      <c r="AJ48" s="102" t="str">
        <f>IF(AI48=0,"",Q48/AI48)</f>
      </c>
      <c r="AK48" s="103" t="str">
        <f>IF(AI48=0,"",R48/AI48)</f>
      </c>
      <c r="AL48" s="104" t="str">
        <f>IF(AI48=0,"",S48/AI48)</f>
      </c>
      <c r="AM48" s="105" t="str">
        <f>IF(AI48=0,"",Y48/AI48)</f>
      </c>
    </row>
    <row r="49">
      <c r="A49" t="s">
        <v>115</v>
      </c>
      <c r="B49" s="73" t="n">
        <v>2046</v>
      </c>
      <c r="C49" t="s">
        <v>206</v>
      </c>
      <c r="D49"/>
      <c r="E49" s="74" t="s">
        <v>262</v>
      </c>
      <c r="F49" s="75" t="s">
        <v>263</v>
      </c>
      <c r="G49" s="76" t="s">
        <v>215</v>
      </c>
      <c r="H49" s="77" t="s">
        <v>216</v>
      </c>
      <c r="I49" s="78" t="s">
        <v>267</v>
      </c>
      <c r="J49" s="79" t="str">
        <f>IFERROR(INDEX('Cost_Components'!$K$2:$K$6,MATCH(E49,'Cost_Components'!$A$2:$A$6,0)),"")</f>
      </c>
      <c r="K49" s="106" t="n">
        <v>0.4165</v>
      </c>
      <c r="L49" s="80" t="str">
        <f>IFERROR(INDEX('Cost_Components'!$S$2:$S$6,MATCH(E49,'Cost_Components'!$A$2:$A$6,0)),"")</f>
      </c>
      <c r="M49" s="81" t="str">
        <f>IFERROR(INDEX('Cost_Components'!$L$2:$L$6,MATCH(E49,'Cost_Components'!$A$2:$A$6,0)),"")</f>
      </c>
      <c r="N49" s="82" t="str">
        <f>IFERROR(INDEX('Cost_Components'!$P$2:$P$6,MATCH(E49,'Cost_Components'!$A$2:$A$6,0)),"")</f>
      </c>
      <c r="O49" s="83" t="str">
        <f>AF49*J49</f>
      </c>
      <c r="P49" s="84" t="str">
        <f>AG49*J49</f>
      </c>
      <c r="Q49" s="85" t="str">
        <f>P49*L49*M49*N49</f>
      </c>
      <c r="R49" s="86" t="str">
        <f>O49*K49*M49*N49</f>
      </c>
      <c r="S49" s="87" t="str">
        <f>R49-Q49</f>
      </c>
      <c r="T49" s="34" t="str">
        <f>IFERROR(INDEX('Cost_Components'!$R$2:$R$6,MATCH(E49,'Cost_Components'!$A$2:$A$6,0)),"")</f>
      </c>
      <c r="U49" s="88" t="str">
        <f>IFERROR(INDEX('Cost_Components'!$Q$2:$Q$6,MATCH(E49,'Cost_Components'!$A$2:$A$6,0)),"")</f>
      </c>
      <c r="V49" s="89" t="str">
        <f>1/(1+'Calculation_Assumptions'!$B$5)^(B49-'Calculation_Assumptions'!$B$2)</f>
      </c>
      <c r="W49" s="90" t="str">
        <f>Q49*V49</f>
      </c>
      <c r="X49" s="91" t="str">
        <f>R49*V49</f>
      </c>
      <c r="Y49" s="92" t="str">
        <f>S49*V49</f>
      </c>
      <c r="Z49" s="93" t="str">
        <f>IFERROR(INDEX('Cost_Components'!$T$2:$T$6,MATCH(E49,'Cost_Components'!$A$2:$A$6,0)),"")</f>
      </c>
      <c r="AA49" s="94" t="str">
        <f>IFERROR(INDEX('Cost_Components'!$U$2:$U$6,MATCH(E49,'Cost_Components'!$A$2:$A$6,0)),"")</f>
      </c>
      <c r="AB49" s="95" t="str">
        <f>IFERROR(INDEX('Cost_Components'!$V$2:$V$6,MATCH(E49,'Cost_Components'!$A$2:$A$6,0)),"")</f>
      </c>
      <c r="AC49" s="96" t="str">
        <f>IFERROR(INDEX('Cost_Components'!$M$2:$M$6,MATCH(E49,'Cost_Components'!$A$2:$A$6,0)),"")</f>
      </c>
      <c r="AD49" s="97" t="str">
        <f>IFERROR(INDEX('Cost_Components'!$N$2:$N$6,MATCH(E49,'Cost_Components'!$A$2:$A$6,0)),"")</f>
      </c>
      <c r="AE49" s="34" t="str">
        <f>IFERROR(INDEX('Cost_Components'!$O$2:$O$6,MATCH(E49,'Cost_Components'!$A$2:$A$6,0)),"")</f>
      </c>
      <c r="AF49" s="98" t="n">
        <v>198774504.006309</v>
      </c>
      <c r="AG49" s="99" t="n">
        <v>197983069.14574</v>
      </c>
      <c r="AH49" s="100" t="str">
        <f>IF(H49="shared-count-once",COUNTIFS($A$2:$A$131,A49,$B$2:$B$131,B49,$E$2:$E$131,E49),1)</f>
      </c>
      <c r="AI49" s="101" t="n">
        <v>320645615.981408</v>
      </c>
      <c r="AJ49" s="102" t="str">
        <f>IF(AI49=0,"",Q49/AI49)</f>
      </c>
      <c r="AK49" s="103" t="str">
        <f>IF(AI49=0,"",R49/AI49)</f>
      </c>
      <c r="AL49" s="104" t="str">
        <f>IF(AI49=0,"",S49/AI49)</f>
      </c>
      <c r="AM49" s="105" t="str">
        <f>IF(AI49=0,"",Y49/AI49)</f>
      </c>
    </row>
    <row r="50">
      <c r="A50" t="s">
        <v>115</v>
      </c>
      <c r="B50" s="73" t="n">
        <v>2047</v>
      </c>
      <c r="C50" t="s">
        <v>206</v>
      </c>
      <c r="D50"/>
      <c r="E50" s="74" t="s">
        <v>262</v>
      </c>
      <c r="F50" s="75" t="s">
        <v>263</v>
      </c>
      <c r="G50" s="76" t="s">
        <v>215</v>
      </c>
      <c r="H50" s="77" t="s">
        <v>216</v>
      </c>
      <c r="I50" s="78" t="s">
        <v>267</v>
      </c>
      <c r="J50" s="79" t="str">
        <f>IFERROR(INDEX('Cost_Components'!$K$2:$K$6,MATCH(E50,'Cost_Components'!$A$2:$A$6,0)),"")</f>
      </c>
      <c r="K50" s="106" t="n">
        <v>0.4165</v>
      </c>
      <c r="L50" s="80" t="str">
        <f>IFERROR(INDEX('Cost_Components'!$S$2:$S$6,MATCH(E50,'Cost_Components'!$A$2:$A$6,0)),"")</f>
      </c>
      <c r="M50" s="81" t="str">
        <f>IFERROR(INDEX('Cost_Components'!$L$2:$L$6,MATCH(E50,'Cost_Components'!$A$2:$A$6,0)),"")</f>
      </c>
      <c r="N50" s="82" t="str">
        <f>IFERROR(INDEX('Cost_Components'!$P$2:$P$6,MATCH(E50,'Cost_Components'!$A$2:$A$6,0)),"")</f>
      </c>
      <c r="O50" s="83" t="str">
        <f>AF50*J50</f>
      </c>
      <c r="P50" s="84" t="str">
        <f>AG50*J50</f>
      </c>
      <c r="Q50" s="85" t="str">
        <f>P50*L50*M50*N50</f>
      </c>
      <c r="R50" s="86" t="str">
        <f>O50*K50*M50*N50</f>
      </c>
      <c r="S50" s="87" t="str">
        <f>R50-Q50</f>
      </c>
      <c r="T50" s="34" t="str">
        <f>IFERROR(INDEX('Cost_Components'!$R$2:$R$6,MATCH(E50,'Cost_Components'!$A$2:$A$6,0)),"")</f>
      </c>
      <c r="U50" s="88" t="str">
        <f>IFERROR(INDEX('Cost_Components'!$Q$2:$Q$6,MATCH(E50,'Cost_Components'!$A$2:$A$6,0)),"")</f>
      </c>
      <c r="V50" s="89" t="str">
        <f>1/(1+'Calculation_Assumptions'!$B$5)^(B50-'Calculation_Assumptions'!$B$2)</f>
      </c>
      <c r="W50" s="90" t="str">
        <f>Q50*V50</f>
      </c>
      <c r="X50" s="91" t="str">
        <f>R50*V50</f>
      </c>
      <c r="Y50" s="92" t="str">
        <f>S50*V50</f>
      </c>
      <c r="Z50" s="93" t="str">
        <f>IFERROR(INDEX('Cost_Components'!$T$2:$T$6,MATCH(E50,'Cost_Components'!$A$2:$A$6,0)),"")</f>
      </c>
      <c r="AA50" s="94" t="str">
        <f>IFERROR(INDEX('Cost_Components'!$U$2:$U$6,MATCH(E50,'Cost_Components'!$A$2:$A$6,0)),"")</f>
      </c>
      <c r="AB50" s="95" t="str">
        <f>IFERROR(INDEX('Cost_Components'!$V$2:$V$6,MATCH(E50,'Cost_Components'!$A$2:$A$6,0)),"")</f>
      </c>
      <c r="AC50" s="96" t="str">
        <f>IFERROR(INDEX('Cost_Components'!$M$2:$M$6,MATCH(E50,'Cost_Components'!$A$2:$A$6,0)),"")</f>
      </c>
      <c r="AD50" s="97" t="str">
        <f>IFERROR(INDEX('Cost_Components'!$N$2:$N$6,MATCH(E50,'Cost_Components'!$A$2:$A$6,0)),"")</f>
      </c>
      <c r="AE50" s="34" t="str">
        <f>IFERROR(INDEX('Cost_Components'!$O$2:$O$6,MATCH(E50,'Cost_Components'!$A$2:$A$6,0)),"")</f>
      </c>
      <c r="AF50" s="98" t="n">
        <v>200118362.73153</v>
      </c>
      <c r="AG50" s="99" t="n">
        <v>199231676.533879</v>
      </c>
      <c r="AH50" s="100" t="str">
        <f>IF(H50="shared-count-once",COUNTIFS($A$2:$A$131,A50,$B$2:$B$131,B50,$E$2:$E$131,E50),1)</f>
      </c>
      <c r="AI50" s="101" t="n">
        <v>321429520.522875</v>
      </c>
      <c r="AJ50" s="102" t="str">
        <f>IF(AI50=0,"",Q50/AI50)</f>
      </c>
      <c r="AK50" s="103" t="str">
        <f>IF(AI50=0,"",R50/AI50)</f>
      </c>
      <c r="AL50" s="104" t="str">
        <f>IF(AI50=0,"",S50/AI50)</f>
      </c>
      <c r="AM50" s="105" t="str">
        <f>IF(AI50=0,"",Y50/AI50)</f>
      </c>
    </row>
    <row r="51">
      <c r="A51" t="s">
        <v>115</v>
      </c>
      <c r="B51" s="73" t="n">
        <v>2048</v>
      </c>
      <c r="C51" t="s">
        <v>206</v>
      </c>
      <c r="D51"/>
      <c r="E51" s="74" t="s">
        <v>262</v>
      </c>
      <c r="F51" s="75" t="s">
        <v>263</v>
      </c>
      <c r="G51" s="76" t="s">
        <v>215</v>
      </c>
      <c r="H51" s="77" t="s">
        <v>216</v>
      </c>
      <c r="I51" s="78" t="s">
        <v>267</v>
      </c>
      <c r="J51" s="79" t="str">
        <f>IFERROR(INDEX('Cost_Components'!$K$2:$K$6,MATCH(E51,'Cost_Components'!$A$2:$A$6,0)),"")</f>
      </c>
      <c r="K51" s="106" t="n">
        <v>0.4165</v>
      </c>
      <c r="L51" s="80" t="str">
        <f>IFERROR(INDEX('Cost_Components'!$S$2:$S$6,MATCH(E51,'Cost_Components'!$A$2:$A$6,0)),"")</f>
      </c>
      <c r="M51" s="81" t="str">
        <f>IFERROR(INDEX('Cost_Components'!$L$2:$L$6,MATCH(E51,'Cost_Components'!$A$2:$A$6,0)),"")</f>
      </c>
      <c r="N51" s="82" t="str">
        <f>IFERROR(INDEX('Cost_Components'!$P$2:$P$6,MATCH(E51,'Cost_Components'!$A$2:$A$6,0)),"")</f>
      </c>
      <c r="O51" s="83" t="str">
        <f>AF51*J51</f>
      </c>
      <c r="P51" s="84" t="str">
        <f>AG51*J51</f>
      </c>
      <c r="Q51" s="85" t="str">
        <f>P51*L51*M51*N51</f>
      </c>
      <c r="R51" s="86" t="str">
        <f>O51*K51*M51*N51</f>
      </c>
      <c r="S51" s="87" t="str">
        <f>R51-Q51</f>
      </c>
      <c r="T51" s="34" t="str">
        <f>IFERROR(INDEX('Cost_Components'!$R$2:$R$6,MATCH(E51,'Cost_Components'!$A$2:$A$6,0)),"")</f>
      </c>
      <c r="U51" s="88" t="str">
        <f>IFERROR(INDEX('Cost_Components'!$Q$2:$Q$6,MATCH(E51,'Cost_Components'!$A$2:$A$6,0)),"")</f>
      </c>
      <c r="V51" s="89" t="str">
        <f>1/(1+'Calculation_Assumptions'!$B$5)^(B51-'Calculation_Assumptions'!$B$2)</f>
      </c>
      <c r="W51" s="90" t="str">
        <f>Q51*V51</f>
      </c>
      <c r="X51" s="91" t="str">
        <f>R51*V51</f>
      </c>
      <c r="Y51" s="92" t="str">
        <f>S51*V51</f>
      </c>
      <c r="Z51" s="93" t="str">
        <f>IFERROR(INDEX('Cost_Components'!$T$2:$T$6,MATCH(E51,'Cost_Components'!$A$2:$A$6,0)),"")</f>
      </c>
      <c r="AA51" s="94" t="str">
        <f>IFERROR(INDEX('Cost_Components'!$U$2:$U$6,MATCH(E51,'Cost_Components'!$A$2:$A$6,0)),"")</f>
      </c>
      <c r="AB51" s="95" t="str">
        <f>IFERROR(INDEX('Cost_Components'!$V$2:$V$6,MATCH(E51,'Cost_Components'!$A$2:$A$6,0)),"")</f>
      </c>
      <c r="AC51" s="96" t="str">
        <f>IFERROR(INDEX('Cost_Components'!$M$2:$M$6,MATCH(E51,'Cost_Components'!$A$2:$A$6,0)),"")</f>
      </c>
      <c r="AD51" s="97" t="str">
        <f>IFERROR(INDEX('Cost_Components'!$N$2:$N$6,MATCH(E51,'Cost_Components'!$A$2:$A$6,0)),"")</f>
      </c>
      <c r="AE51" s="34" t="str">
        <f>IFERROR(INDEX('Cost_Components'!$O$2:$O$6,MATCH(E51,'Cost_Components'!$A$2:$A$6,0)),"")</f>
      </c>
      <c r="AF51" s="98" t="n">
        <v>201366549.663067</v>
      </c>
      <c r="AG51" s="99" t="n">
        <v>200384086.462218</v>
      </c>
      <c r="AH51" s="100" t="str">
        <f>IF(H51="shared-count-once",COUNTIFS($A$2:$A$131,A51,$B$2:$B$131,B51,$E$2:$E$131,E51),1)</f>
      </c>
      <c r="AI51" s="101" t="n">
        <v>322136832.260161</v>
      </c>
      <c r="AJ51" s="102" t="str">
        <f>IF(AI51=0,"",Q51/AI51)</f>
      </c>
      <c r="AK51" s="103" t="str">
        <f>IF(AI51=0,"",R51/AI51)</f>
      </c>
      <c r="AL51" s="104" t="str">
        <f>IF(AI51=0,"",S51/AI51)</f>
      </c>
      <c r="AM51" s="105" t="str">
        <f>IF(AI51=0,"",Y51/AI51)</f>
      </c>
    </row>
    <row r="52">
      <c r="A52" t="s">
        <v>115</v>
      </c>
      <c r="B52" s="73" t="n">
        <v>2049</v>
      </c>
      <c r="C52" t="s">
        <v>206</v>
      </c>
      <c r="D52"/>
      <c r="E52" s="74" t="s">
        <v>262</v>
      </c>
      <c r="F52" s="75" t="s">
        <v>263</v>
      </c>
      <c r="G52" s="76" t="s">
        <v>215</v>
      </c>
      <c r="H52" s="77" t="s">
        <v>216</v>
      </c>
      <c r="I52" s="78" t="s">
        <v>267</v>
      </c>
      <c r="J52" s="79" t="str">
        <f>IFERROR(INDEX('Cost_Components'!$K$2:$K$6,MATCH(E52,'Cost_Components'!$A$2:$A$6,0)),"")</f>
      </c>
      <c r="K52" s="106" t="n">
        <v>0.4165</v>
      </c>
      <c r="L52" s="80" t="str">
        <f>IFERROR(INDEX('Cost_Components'!$S$2:$S$6,MATCH(E52,'Cost_Components'!$A$2:$A$6,0)),"")</f>
      </c>
      <c r="M52" s="81" t="str">
        <f>IFERROR(INDEX('Cost_Components'!$L$2:$L$6,MATCH(E52,'Cost_Components'!$A$2:$A$6,0)),"")</f>
      </c>
      <c r="N52" s="82" t="str">
        <f>IFERROR(INDEX('Cost_Components'!$P$2:$P$6,MATCH(E52,'Cost_Components'!$A$2:$A$6,0)),"")</f>
      </c>
      <c r="O52" s="83" t="str">
        <f>AF52*J52</f>
      </c>
      <c r="P52" s="84" t="str">
        <f>AG52*J52</f>
      </c>
      <c r="Q52" s="85" t="str">
        <f>P52*L52*M52*N52</f>
      </c>
      <c r="R52" s="86" t="str">
        <f>O52*K52*M52*N52</f>
      </c>
      <c r="S52" s="87" t="str">
        <f>R52-Q52</f>
      </c>
      <c r="T52" s="34" t="str">
        <f>IFERROR(INDEX('Cost_Components'!$R$2:$R$6,MATCH(E52,'Cost_Components'!$A$2:$A$6,0)),"")</f>
      </c>
      <c r="U52" s="88" t="str">
        <f>IFERROR(INDEX('Cost_Components'!$Q$2:$Q$6,MATCH(E52,'Cost_Components'!$A$2:$A$6,0)),"")</f>
      </c>
      <c r="V52" s="89" t="str">
        <f>1/(1+'Calculation_Assumptions'!$B$5)^(B52-'Calculation_Assumptions'!$B$2)</f>
      </c>
      <c r="W52" s="90" t="str">
        <f>Q52*V52</f>
      </c>
      <c r="X52" s="91" t="str">
        <f>R52*V52</f>
      </c>
      <c r="Y52" s="92" t="str">
        <f>S52*V52</f>
      </c>
      <c r="Z52" s="93" t="str">
        <f>IFERROR(INDEX('Cost_Components'!$T$2:$T$6,MATCH(E52,'Cost_Components'!$A$2:$A$6,0)),"")</f>
      </c>
      <c r="AA52" s="94" t="str">
        <f>IFERROR(INDEX('Cost_Components'!$U$2:$U$6,MATCH(E52,'Cost_Components'!$A$2:$A$6,0)),"")</f>
      </c>
      <c r="AB52" s="95" t="str">
        <f>IFERROR(INDEX('Cost_Components'!$V$2:$V$6,MATCH(E52,'Cost_Components'!$A$2:$A$6,0)),"")</f>
      </c>
      <c r="AC52" s="96" t="str">
        <f>IFERROR(INDEX('Cost_Components'!$M$2:$M$6,MATCH(E52,'Cost_Components'!$A$2:$A$6,0)),"")</f>
      </c>
      <c r="AD52" s="97" t="str">
        <f>IFERROR(INDEX('Cost_Components'!$N$2:$N$6,MATCH(E52,'Cost_Components'!$A$2:$A$6,0)),"")</f>
      </c>
      <c r="AE52" s="34" t="str">
        <f>IFERROR(INDEX('Cost_Components'!$O$2:$O$6,MATCH(E52,'Cost_Components'!$A$2:$A$6,0)),"")</f>
      </c>
      <c r="AF52" s="98" t="n">
        <v>202557012.174681</v>
      </c>
      <c r="AG52" s="99" t="n">
        <v>201479711.500819</v>
      </c>
      <c r="AH52" s="100" t="str">
        <f>IF(H52="shared-count-once",COUNTIFS($A$2:$A$131,A52,$B$2:$B$131,B52,$E$2:$E$131,E52),1)</f>
      </c>
      <c r="AI52" s="101" t="n">
        <v>322765819.752681</v>
      </c>
      <c r="AJ52" s="102" t="str">
        <f>IF(AI52=0,"",Q52/AI52)</f>
      </c>
      <c r="AK52" s="103" t="str">
        <f>IF(AI52=0,"",R52/AI52)</f>
      </c>
      <c r="AL52" s="104" t="str">
        <f>IF(AI52=0,"",S52/AI52)</f>
      </c>
      <c r="AM52" s="105" t="str">
        <f>IF(AI52=0,"",Y52/AI52)</f>
      </c>
    </row>
    <row r="53">
      <c r="A53" t="s">
        <v>115</v>
      </c>
      <c r="B53" s="73" t="n">
        <v>2050</v>
      </c>
      <c r="C53" t="s">
        <v>206</v>
      </c>
      <c r="D53"/>
      <c r="E53" s="74" t="s">
        <v>262</v>
      </c>
      <c r="F53" s="75" t="s">
        <v>263</v>
      </c>
      <c r="G53" s="76" t="s">
        <v>215</v>
      </c>
      <c r="H53" s="77" t="s">
        <v>216</v>
      </c>
      <c r="I53" s="78" t="s">
        <v>267</v>
      </c>
      <c r="J53" s="79" t="str">
        <f>IFERROR(INDEX('Cost_Components'!$K$2:$K$6,MATCH(E53,'Cost_Components'!$A$2:$A$6,0)),"")</f>
      </c>
      <c r="K53" s="106" t="n">
        <v>0.4165</v>
      </c>
      <c r="L53" s="80" t="str">
        <f>IFERROR(INDEX('Cost_Components'!$S$2:$S$6,MATCH(E53,'Cost_Components'!$A$2:$A$6,0)),"")</f>
      </c>
      <c r="M53" s="81" t="str">
        <f>IFERROR(INDEX('Cost_Components'!$L$2:$L$6,MATCH(E53,'Cost_Components'!$A$2:$A$6,0)),"")</f>
      </c>
      <c r="N53" s="82" t="str">
        <f>IFERROR(INDEX('Cost_Components'!$P$2:$P$6,MATCH(E53,'Cost_Components'!$A$2:$A$6,0)),"")</f>
      </c>
      <c r="O53" s="83" t="str">
        <f>AF53*J53</f>
      </c>
      <c r="P53" s="84" t="str">
        <f>AG53*J53</f>
      </c>
      <c r="Q53" s="85" t="str">
        <f>P53*L53*M53*N53</f>
      </c>
      <c r="R53" s="86" t="str">
        <f>O53*K53*M53*N53</f>
      </c>
      <c r="S53" s="87" t="str">
        <f>R53-Q53</f>
      </c>
      <c r="T53" s="34" t="str">
        <f>IFERROR(INDEX('Cost_Components'!$R$2:$R$6,MATCH(E53,'Cost_Components'!$A$2:$A$6,0)),"")</f>
      </c>
      <c r="U53" s="88" t="str">
        <f>IFERROR(INDEX('Cost_Components'!$Q$2:$Q$6,MATCH(E53,'Cost_Components'!$A$2:$A$6,0)),"")</f>
      </c>
      <c r="V53" s="89" t="str">
        <f>1/(1+'Calculation_Assumptions'!$B$5)^(B53-'Calculation_Assumptions'!$B$2)</f>
      </c>
      <c r="W53" s="90" t="str">
        <f>Q53*V53</f>
      </c>
      <c r="X53" s="91" t="str">
        <f>R53*V53</f>
      </c>
      <c r="Y53" s="92" t="str">
        <f>S53*V53</f>
      </c>
      <c r="Z53" s="93" t="str">
        <f>IFERROR(INDEX('Cost_Components'!$T$2:$T$6,MATCH(E53,'Cost_Components'!$A$2:$A$6,0)),"")</f>
      </c>
      <c r="AA53" s="94" t="str">
        <f>IFERROR(INDEX('Cost_Components'!$U$2:$U$6,MATCH(E53,'Cost_Components'!$A$2:$A$6,0)),"")</f>
      </c>
      <c r="AB53" s="95" t="str">
        <f>IFERROR(INDEX('Cost_Components'!$V$2:$V$6,MATCH(E53,'Cost_Components'!$A$2:$A$6,0)),"")</f>
      </c>
      <c r="AC53" s="96" t="str">
        <f>IFERROR(INDEX('Cost_Components'!$M$2:$M$6,MATCH(E53,'Cost_Components'!$A$2:$A$6,0)),"")</f>
      </c>
      <c r="AD53" s="97" t="str">
        <f>IFERROR(INDEX('Cost_Components'!$N$2:$N$6,MATCH(E53,'Cost_Components'!$A$2:$A$6,0)),"")</f>
      </c>
      <c r="AE53" s="34" t="str">
        <f>IFERROR(INDEX('Cost_Components'!$O$2:$O$6,MATCH(E53,'Cost_Components'!$A$2:$A$6,0)),"")</f>
      </c>
      <c r="AF53" s="98" t="n">
        <v>203683833.130382</v>
      </c>
      <c r="AG53" s="99" t="n">
        <v>202479799.760483</v>
      </c>
      <c r="AH53" s="100" t="str">
        <f>IF(H53="shared-count-once",COUNTIFS($A$2:$A$131,A53,$B$2:$B$131,B53,$E$2:$E$131,E53),1)</f>
      </c>
      <c r="AI53" s="101" t="n">
        <v>323312042.563285</v>
      </c>
      <c r="AJ53" s="102" t="str">
        <f>IF(AI53=0,"",Q53/AI53)</f>
      </c>
      <c r="AK53" s="103" t="str">
        <f>IF(AI53=0,"",R53/AI53)</f>
      </c>
      <c r="AL53" s="104" t="str">
        <f>IF(AI53=0,"",S53/AI53)</f>
      </c>
      <c r="AM53" s="105" t="str">
        <f>IF(AI53=0,"",Y53/AI53)</f>
      </c>
    </row>
    <row r="54">
      <c r="A54" t="s">
        <v>115</v>
      </c>
      <c r="B54" s="73" t="n">
        <v>2025</v>
      </c>
      <c r="C54" t="s">
        <v>231</v>
      </c>
      <c r="D54" t="s">
        <v>235</v>
      </c>
      <c r="E54" s="74" t="s">
        <v>282</v>
      </c>
      <c r="F54" s="75" t="s">
        <v>283</v>
      </c>
      <c r="G54" s="76" t="s">
        <v>232</v>
      </c>
      <c r="H54" s="77" t="s">
        <v>239</v>
      </c>
      <c r="I54" s="78" t="s">
        <v>267</v>
      </c>
      <c r="J54" s="79" t="str">
        <f>IFERROR(INDEX('Cost_Components'!$K$2:$K$6,MATCH(E54,'Cost_Components'!$A$2:$A$6,0)),"")</f>
      </c>
      <c r="K54" s="106" t="n">
        <v>0.147914612579645</v>
      </c>
      <c r="L54" s="80" t="str">
        <f>IFERROR(INDEX('Cost_Components'!$S$2:$S$6,MATCH(E54,'Cost_Components'!$A$2:$A$6,0)),"")</f>
      </c>
      <c r="M54" s="81" t="str">
        <f>IFERROR(INDEX('Cost_Components'!$L$2:$L$6,MATCH(E54,'Cost_Components'!$A$2:$A$6,0)),"")</f>
      </c>
      <c r="N54" s="82" t="str">
        <f>IFERROR(INDEX('Cost_Components'!$P$2:$P$6,MATCH(E54,'Cost_Components'!$A$2:$A$6,0)),"")</f>
      </c>
      <c r="O54" s="83" t="str">
        <f>AF54*J54</f>
      </c>
      <c r="P54" s="84" t="str">
        <f>AG54*J54</f>
      </c>
      <c r="Q54" s="85" t="str">
        <f>P54*L54*M54*N54</f>
      </c>
      <c r="R54" s="86" t="str">
        <f>O54*K54*M54*N54</f>
      </c>
      <c r="S54" s="87" t="str">
        <f>R54-Q54</f>
      </c>
      <c r="T54" s="34" t="str">
        <f>IFERROR(INDEX('Cost_Components'!$R$2:$R$6,MATCH(E54,'Cost_Components'!$A$2:$A$6,0)),"")</f>
      </c>
      <c r="U54" s="88" t="str">
        <f>IFERROR(INDEX('Cost_Components'!$Q$2:$Q$6,MATCH(E54,'Cost_Components'!$A$2:$A$6,0)),"")</f>
      </c>
      <c r="V54" s="89" t="str">
        <f>1/(1+'Calculation_Assumptions'!$B$5)^(B54-'Calculation_Assumptions'!$B$2)</f>
      </c>
      <c r="W54" s="90" t="str">
        <f>Q54*V54</f>
      </c>
      <c r="X54" s="91" t="str">
        <f>R54*V54</f>
      </c>
      <c r="Y54" s="92" t="str">
        <f>S54*V54</f>
      </c>
      <c r="Z54" s="93" t="str">
        <f>IFERROR(INDEX('Cost_Components'!$T$2:$T$6,MATCH(E54,'Cost_Components'!$A$2:$A$6,0)),"")</f>
      </c>
      <c r="AA54" s="94" t="str">
        <f>IFERROR(INDEX('Cost_Components'!$U$2:$U$6,MATCH(E54,'Cost_Components'!$A$2:$A$6,0)),"")</f>
      </c>
      <c r="AB54" s="95" t="str">
        <f>IFERROR(INDEX('Cost_Components'!$V$2:$V$6,MATCH(E54,'Cost_Components'!$A$2:$A$6,0)),"")</f>
      </c>
      <c r="AC54" s="96" t="str">
        <f>IFERROR(INDEX('Cost_Components'!$M$2:$M$6,MATCH(E54,'Cost_Components'!$A$2:$A$6,0)),"")</f>
      </c>
      <c r="AD54" s="97" t="str">
        <f>IFERROR(INDEX('Cost_Components'!$N$2:$N$6,MATCH(E54,'Cost_Components'!$A$2:$A$6,0)),"")</f>
      </c>
      <c r="AE54" s="34" t="str">
        <f>IFERROR(INDEX('Cost_Components'!$O$2:$O$6,MATCH(E54,'Cost_Components'!$A$2:$A$6,0)),"")</f>
      </c>
      <c r="AF54" s="98" t="n">
        <v>155093185.780917</v>
      </c>
      <c r="AG54" s="99" t="n">
        <v>155093185.780917</v>
      </c>
      <c r="AH54" s="100" t="str">
        <f>IF(H54="shared-count-once",COUNTIFS($A$2:$A$131,A54,$B$2:$B$131,B54,$E$2:$E$131,E54),1)</f>
      </c>
      <c r="AI54" s="101" t="n">
        <v>288391907.644456</v>
      </c>
      <c r="AJ54" s="102" t="str">
        <f>IF(AI54=0,"",Q54/AI54)</f>
      </c>
      <c r="AK54" s="103" t="str">
        <f>IF(AI54=0,"",R54/AI54)</f>
      </c>
      <c r="AL54" s="104" t="str">
        <f>IF(AI54=0,"",S54/AI54)</f>
      </c>
      <c r="AM54" s="105" t="str">
        <f>IF(AI54=0,"",Y54/AI54)</f>
      </c>
    </row>
    <row r="55">
      <c r="A55" t="s">
        <v>115</v>
      </c>
      <c r="B55" s="73" t="n">
        <v>2026</v>
      </c>
      <c r="C55" t="s">
        <v>231</v>
      </c>
      <c r="D55" t="s">
        <v>235</v>
      </c>
      <c r="E55" s="74" t="s">
        <v>282</v>
      </c>
      <c r="F55" s="75" t="s">
        <v>283</v>
      </c>
      <c r="G55" s="76" t="s">
        <v>232</v>
      </c>
      <c r="H55" s="77" t="s">
        <v>239</v>
      </c>
      <c r="I55" s="78" t="s">
        <v>267</v>
      </c>
      <c r="J55" s="79" t="str">
        <f>IFERROR(INDEX('Cost_Components'!$K$2:$K$6,MATCH(E55,'Cost_Components'!$A$2:$A$6,0)),"")</f>
      </c>
      <c r="K55" s="106" t="n">
        <v>0.148533459802127</v>
      </c>
      <c r="L55" s="80" t="str">
        <f>IFERROR(INDEX('Cost_Components'!$S$2:$S$6,MATCH(E55,'Cost_Components'!$A$2:$A$6,0)),"")</f>
      </c>
      <c r="M55" s="81" t="str">
        <f>IFERROR(INDEX('Cost_Components'!$L$2:$L$6,MATCH(E55,'Cost_Components'!$A$2:$A$6,0)),"")</f>
      </c>
      <c r="N55" s="82" t="str">
        <f>IFERROR(INDEX('Cost_Components'!$P$2:$P$6,MATCH(E55,'Cost_Components'!$A$2:$A$6,0)),"")</f>
      </c>
      <c r="O55" s="83" t="str">
        <f>AF55*J55</f>
      </c>
      <c r="P55" s="84" t="str">
        <f>AG55*J55</f>
      </c>
      <c r="Q55" s="85" t="str">
        <f>P55*L55*M55*N55</f>
      </c>
      <c r="R55" s="86" t="str">
        <f>O55*K55*M55*N55</f>
      </c>
      <c r="S55" s="87" t="str">
        <f>R55-Q55</f>
      </c>
      <c r="T55" s="34" t="str">
        <f>IFERROR(INDEX('Cost_Components'!$R$2:$R$6,MATCH(E55,'Cost_Components'!$A$2:$A$6,0)),"")</f>
      </c>
      <c r="U55" s="88" t="str">
        <f>IFERROR(INDEX('Cost_Components'!$Q$2:$Q$6,MATCH(E55,'Cost_Components'!$A$2:$A$6,0)),"")</f>
      </c>
      <c r="V55" s="89" t="str">
        <f>1/(1+'Calculation_Assumptions'!$B$5)^(B55-'Calculation_Assumptions'!$B$2)</f>
      </c>
      <c r="W55" s="90" t="str">
        <f>Q55*V55</f>
      </c>
      <c r="X55" s="91" t="str">
        <f>R55*V55</f>
      </c>
      <c r="Y55" s="92" t="str">
        <f>S55*V55</f>
      </c>
      <c r="Z55" s="93" t="str">
        <f>IFERROR(INDEX('Cost_Components'!$T$2:$T$6,MATCH(E55,'Cost_Components'!$A$2:$A$6,0)),"")</f>
      </c>
      <c r="AA55" s="94" t="str">
        <f>IFERROR(INDEX('Cost_Components'!$U$2:$U$6,MATCH(E55,'Cost_Components'!$A$2:$A$6,0)),"")</f>
      </c>
      <c r="AB55" s="95" t="str">
        <f>IFERROR(INDEX('Cost_Components'!$V$2:$V$6,MATCH(E55,'Cost_Components'!$A$2:$A$6,0)),"")</f>
      </c>
      <c r="AC55" s="96" t="str">
        <f>IFERROR(INDEX('Cost_Components'!$M$2:$M$6,MATCH(E55,'Cost_Components'!$A$2:$A$6,0)),"")</f>
      </c>
      <c r="AD55" s="97" t="str">
        <f>IFERROR(INDEX('Cost_Components'!$N$2:$N$6,MATCH(E55,'Cost_Components'!$A$2:$A$6,0)),"")</f>
      </c>
      <c r="AE55" s="34" t="str">
        <f>IFERROR(INDEX('Cost_Components'!$O$2:$O$6,MATCH(E55,'Cost_Components'!$A$2:$A$6,0)),"")</f>
      </c>
      <c r="AF55" s="98" t="n">
        <v>157503828.425009</v>
      </c>
      <c r="AG55" s="99" t="n">
        <v>157503828.425009</v>
      </c>
      <c r="AH55" s="100" t="str">
        <f>IF(H55="shared-count-once",COUNTIFS($A$2:$A$131,A55,$B$2:$B$131,B55,$E$2:$E$131,E55),1)</f>
      </c>
      <c r="AI55" s="101" t="n">
        <v>290472130.233437</v>
      </c>
      <c r="AJ55" s="102" t="str">
        <f>IF(AI55=0,"",Q55/AI55)</f>
      </c>
      <c r="AK55" s="103" t="str">
        <f>IF(AI55=0,"",R55/AI55)</f>
      </c>
      <c r="AL55" s="104" t="str">
        <f>IF(AI55=0,"",S55/AI55)</f>
      </c>
      <c r="AM55" s="105" t="str">
        <f>IF(AI55=0,"",Y55/AI55)</f>
      </c>
    </row>
    <row r="56">
      <c r="A56" t="s">
        <v>115</v>
      </c>
      <c r="B56" s="73" t="n">
        <v>2027</v>
      </c>
      <c r="C56" t="s">
        <v>231</v>
      </c>
      <c r="D56" t="s">
        <v>235</v>
      </c>
      <c r="E56" s="74" t="s">
        <v>282</v>
      </c>
      <c r="F56" s="75" t="s">
        <v>283</v>
      </c>
      <c r="G56" s="76" t="s">
        <v>232</v>
      </c>
      <c r="H56" s="77" t="s">
        <v>239</v>
      </c>
      <c r="I56" s="78" t="s">
        <v>267</v>
      </c>
      <c r="J56" s="79" t="str">
        <f>IFERROR(INDEX('Cost_Components'!$K$2:$K$6,MATCH(E56,'Cost_Components'!$A$2:$A$6,0)),"")</f>
      </c>
      <c r="K56" s="106" t="n">
        <v>0.149152307024609</v>
      </c>
      <c r="L56" s="80" t="str">
        <f>IFERROR(INDEX('Cost_Components'!$S$2:$S$6,MATCH(E56,'Cost_Components'!$A$2:$A$6,0)),"")</f>
      </c>
      <c r="M56" s="81" t="str">
        <f>IFERROR(INDEX('Cost_Components'!$L$2:$L$6,MATCH(E56,'Cost_Components'!$A$2:$A$6,0)),"")</f>
      </c>
      <c r="N56" s="82" t="str">
        <f>IFERROR(INDEX('Cost_Components'!$P$2:$P$6,MATCH(E56,'Cost_Components'!$A$2:$A$6,0)),"")</f>
      </c>
      <c r="O56" s="83" t="str">
        <f>AF56*J56</f>
      </c>
      <c r="P56" s="84" t="str">
        <f>AG56*J56</f>
      </c>
      <c r="Q56" s="85" t="str">
        <f>P56*L56*M56*N56</f>
      </c>
      <c r="R56" s="86" t="str">
        <f>O56*K56*M56*N56</f>
      </c>
      <c r="S56" s="87" t="str">
        <f>R56-Q56</f>
      </c>
      <c r="T56" s="34" t="str">
        <f>IFERROR(INDEX('Cost_Components'!$R$2:$R$6,MATCH(E56,'Cost_Components'!$A$2:$A$6,0)),"")</f>
      </c>
      <c r="U56" s="88" t="str">
        <f>IFERROR(INDEX('Cost_Components'!$Q$2:$Q$6,MATCH(E56,'Cost_Components'!$A$2:$A$6,0)),"")</f>
      </c>
      <c r="V56" s="89" t="str">
        <f>1/(1+'Calculation_Assumptions'!$B$5)^(B56-'Calculation_Assumptions'!$B$2)</f>
      </c>
      <c r="W56" s="90" t="str">
        <f>Q56*V56</f>
      </c>
      <c r="X56" s="91" t="str">
        <f>R56*V56</f>
      </c>
      <c r="Y56" s="92" t="str">
        <f>S56*V56</f>
      </c>
      <c r="Z56" s="93" t="str">
        <f>IFERROR(INDEX('Cost_Components'!$T$2:$T$6,MATCH(E56,'Cost_Components'!$A$2:$A$6,0)),"")</f>
      </c>
      <c r="AA56" s="94" t="str">
        <f>IFERROR(INDEX('Cost_Components'!$U$2:$U$6,MATCH(E56,'Cost_Components'!$A$2:$A$6,0)),"")</f>
      </c>
      <c r="AB56" s="95" t="str">
        <f>IFERROR(INDEX('Cost_Components'!$V$2:$V$6,MATCH(E56,'Cost_Components'!$A$2:$A$6,0)),"")</f>
      </c>
      <c r="AC56" s="96" t="str">
        <f>IFERROR(INDEX('Cost_Components'!$M$2:$M$6,MATCH(E56,'Cost_Components'!$A$2:$A$6,0)),"")</f>
      </c>
      <c r="AD56" s="97" t="str">
        <f>IFERROR(INDEX('Cost_Components'!$N$2:$N$6,MATCH(E56,'Cost_Components'!$A$2:$A$6,0)),"")</f>
      </c>
      <c r="AE56" s="34" t="str">
        <f>IFERROR(INDEX('Cost_Components'!$O$2:$O$6,MATCH(E56,'Cost_Components'!$A$2:$A$6,0)),"")</f>
      </c>
      <c r="AF56" s="98" t="n">
        <v>159934266.566821</v>
      </c>
      <c r="AG56" s="99" t="n">
        <v>159957112.160817</v>
      </c>
      <c r="AH56" s="100" t="str">
        <f>IF(H56="shared-count-once",COUNTIFS($A$2:$A$131,A56,$B$2:$B$131,B56,$E$2:$E$131,E56),1)</f>
      </c>
      <c r="AI56" s="101" t="n">
        <v>292505080.826208</v>
      </c>
      <c r="AJ56" s="102" t="str">
        <f>IF(AI56=0,"",Q56/AI56)</f>
      </c>
      <c r="AK56" s="103" t="str">
        <f>IF(AI56=0,"",R56/AI56)</f>
      </c>
      <c r="AL56" s="104" t="str">
        <f>IF(AI56=0,"",S56/AI56)</f>
      </c>
      <c r="AM56" s="105" t="str">
        <f>IF(AI56=0,"",Y56/AI56)</f>
      </c>
    </row>
    <row r="57">
      <c r="A57" t="s">
        <v>115</v>
      </c>
      <c r="B57" s="73" t="n">
        <v>2028</v>
      </c>
      <c r="C57" t="s">
        <v>231</v>
      </c>
      <c r="D57" t="s">
        <v>235</v>
      </c>
      <c r="E57" s="74" t="s">
        <v>282</v>
      </c>
      <c r="F57" s="75" t="s">
        <v>283</v>
      </c>
      <c r="G57" s="76" t="s">
        <v>232</v>
      </c>
      <c r="H57" s="77" t="s">
        <v>239</v>
      </c>
      <c r="I57" s="78" t="s">
        <v>267</v>
      </c>
      <c r="J57" s="79" t="str">
        <f>IFERROR(INDEX('Cost_Components'!$K$2:$K$6,MATCH(E57,'Cost_Components'!$A$2:$A$6,0)),"")</f>
      </c>
      <c r="K57" s="106" t="n">
        <v>0.149771154247091</v>
      </c>
      <c r="L57" s="80" t="str">
        <f>IFERROR(INDEX('Cost_Components'!$S$2:$S$6,MATCH(E57,'Cost_Components'!$A$2:$A$6,0)),"")</f>
      </c>
      <c r="M57" s="81" t="str">
        <f>IFERROR(INDEX('Cost_Components'!$L$2:$L$6,MATCH(E57,'Cost_Components'!$A$2:$A$6,0)),"")</f>
      </c>
      <c r="N57" s="82" t="str">
        <f>IFERROR(INDEX('Cost_Components'!$P$2:$P$6,MATCH(E57,'Cost_Components'!$A$2:$A$6,0)),"")</f>
      </c>
      <c r="O57" s="83" t="str">
        <f>AF57*J57</f>
      </c>
      <c r="P57" s="84" t="str">
        <f>AG57*J57</f>
      </c>
      <c r="Q57" s="85" t="str">
        <f>P57*L57*M57*N57</f>
      </c>
      <c r="R57" s="86" t="str">
        <f>O57*K57*M57*N57</f>
      </c>
      <c r="S57" s="87" t="str">
        <f>R57-Q57</f>
      </c>
      <c r="T57" s="34" t="str">
        <f>IFERROR(INDEX('Cost_Components'!$R$2:$R$6,MATCH(E57,'Cost_Components'!$A$2:$A$6,0)),"")</f>
      </c>
      <c r="U57" s="88" t="str">
        <f>IFERROR(INDEX('Cost_Components'!$Q$2:$Q$6,MATCH(E57,'Cost_Components'!$A$2:$A$6,0)),"")</f>
      </c>
      <c r="V57" s="89" t="str">
        <f>1/(1+'Calculation_Assumptions'!$B$5)^(B57-'Calculation_Assumptions'!$B$2)</f>
      </c>
      <c r="W57" s="90" t="str">
        <f>Q57*V57</f>
      </c>
      <c r="X57" s="91" t="str">
        <f>R57*V57</f>
      </c>
      <c r="Y57" s="92" t="str">
        <f>S57*V57</f>
      </c>
      <c r="Z57" s="93" t="str">
        <f>IFERROR(INDEX('Cost_Components'!$T$2:$T$6,MATCH(E57,'Cost_Components'!$A$2:$A$6,0)),"")</f>
      </c>
      <c r="AA57" s="94" t="str">
        <f>IFERROR(INDEX('Cost_Components'!$U$2:$U$6,MATCH(E57,'Cost_Components'!$A$2:$A$6,0)),"")</f>
      </c>
      <c r="AB57" s="95" t="str">
        <f>IFERROR(INDEX('Cost_Components'!$V$2:$V$6,MATCH(E57,'Cost_Components'!$A$2:$A$6,0)),"")</f>
      </c>
      <c r="AC57" s="96" t="str">
        <f>IFERROR(INDEX('Cost_Components'!$M$2:$M$6,MATCH(E57,'Cost_Components'!$A$2:$A$6,0)),"")</f>
      </c>
      <c r="AD57" s="97" t="str">
        <f>IFERROR(INDEX('Cost_Components'!$N$2:$N$6,MATCH(E57,'Cost_Components'!$A$2:$A$6,0)),"")</f>
      </c>
      <c r="AE57" s="34" t="str">
        <f>IFERROR(INDEX('Cost_Components'!$O$2:$O$6,MATCH(E57,'Cost_Components'!$A$2:$A$6,0)),"")</f>
      </c>
      <c r="AF57" s="98" t="n">
        <v>162204801.417528</v>
      </c>
      <c r="AG57" s="99" t="n">
        <v>162204336.12618</v>
      </c>
      <c r="AH57" s="100" t="str">
        <f>IF(H57="shared-count-once",COUNTIFS($A$2:$A$131,A57,$B$2:$B$131,B57,$E$2:$E$131,E57),1)</f>
      </c>
      <c r="AI57" s="101" t="n">
        <v>294484707.921554</v>
      </c>
      <c r="AJ57" s="102" t="str">
        <f>IF(AI57=0,"",Q57/AI57)</f>
      </c>
      <c r="AK57" s="103" t="str">
        <f>IF(AI57=0,"",R57/AI57)</f>
      </c>
      <c r="AL57" s="104" t="str">
        <f>IF(AI57=0,"",S57/AI57)</f>
      </c>
      <c r="AM57" s="105" t="str">
        <f>IF(AI57=0,"",Y57/AI57)</f>
      </c>
    </row>
    <row r="58">
      <c r="A58" t="s">
        <v>115</v>
      </c>
      <c r="B58" s="73" t="n">
        <v>2029</v>
      </c>
      <c r="C58" t="s">
        <v>231</v>
      </c>
      <c r="D58" t="s">
        <v>235</v>
      </c>
      <c r="E58" s="74" t="s">
        <v>282</v>
      </c>
      <c r="F58" s="75" t="s">
        <v>283</v>
      </c>
      <c r="G58" s="76" t="s">
        <v>232</v>
      </c>
      <c r="H58" s="77" t="s">
        <v>239</v>
      </c>
      <c r="I58" s="78" t="s">
        <v>267</v>
      </c>
      <c r="J58" s="79" t="str">
        <f>IFERROR(INDEX('Cost_Components'!$K$2:$K$6,MATCH(E58,'Cost_Components'!$A$2:$A$6,0)),"")</f>
      </c>
      <c r="K58" s="106" t="n">
        <v>0.150390001469573</v>
      </c>
      <c r="L58" s="80" t="str">
        <f>IFERROR(INDEX('Cost_Components'!$S$2:$S$6,MATCH(E58,'Cost_Components'!$A$2:$A$6,0)),"")</f>
      </c>
      <c r="M58" s="81" t="str">
        <f>IFERROR(INDEX('Cost_Components'!$L$2:$L$6,MATCH(E58,'Cost_Components'!$A$2:$A$6,0)),"")</f>
      </c>
      <c r="N58" s="82" t="str">
        <f>IFERROR(INDEX('Cost_Components'!$P$2:$P$6,MATCH(E58,'Cost_Components'!$A$2:$A$6,0)),"")</f>
      </c>
      <c r="O58" s="83" t="str">
        <f>AF58*J58</f>
      </c>
      <c r="P58" s="84" t="str">
        <f>AG58*J58</f>
      </c>
      <c r="Q58" s="85" t="str">
        <f>P58*L58*M58*N58</f>
      </c>
      <c r="R58" s="86" t="str">
        <f>O58*K58*M58*N58</f>
      </c>
      <c r="S58" s="87" t="str">
        <f>R58-Q58</f>
      </c>
      <c r="T58" s="34" t="str">
        <f>IFERROR(INDEX('Cost_Components'!$R$2:$R$6,MATCH(E58,'Cost_Components'!$A$2:$A$6,0)),"")</f>
      </c>
      <c r="U58" s="88" t="str">
        <f>IFERROR(INDEX('Cost_Components'!$Q$2:$Q$6,MATCH(E58,'Cost_Components'!$A$2:$A$6,0)),"")</f>
      </c>
      <c r="V58" s="89" t="str">
        <f>1/(1+'Calculation_Assumptions'!$B$5)^(B58-'Calculation_Assumptions'!$B$2)</f>
      </c>
      <c r="W58" s="90" t="str">
        <f>Q58*V58</f>
      </c>
      <c r="X58" s="91" t="str">
        <f>R58*V58</f>
      </c>
      <c r="Y58" s="92" t="str">
        <f>S58*V58</f>
      </c>
      <c r="Z58" s="93" t="str">
        <f>IFERROR(INDEX('Cost_Components'!$T$2:$T$6,MATCH(E58,'Cost_Components'!$A$2:$A$6,0)),"")</f>
      </c>
      <c r="AA58" s="94" t="str">
        <f>IFERROR(INDEX('Cost_Components'!$U$2:$U$6,MATCH(E58,'Cost_Components'!$A$2:$A$6,0)),"")</f>
      </c>
      <c r="AB58" s="95" t="str">
        <f>IFERROR(INDEX('Cost_Components'!$V$2:$V$6,MATCH(E58,'Cost_Components'!$A$2:$A$6,0)),"")</f>
      </c>
      <c r="AC58" s="96" t="str">
        <f>IFERROR(INDEX('Cost_Components'!$M$2:$M$6,MATCH(E58,'Cost_Components'!$A$2:$A$6,0)),"")</f>
      </c>
      <c r="AD58" s="97" t="str">
        <f>IFERROR(INDEX('Cost_Components'!$N$2:$N$6,MATCH(E58,'Cost_Components'!$A$2:$A$6,0)),"")</f>
      </c>
      <c r="AE58" s="34" t="str">
        <f>IFERROR(INDEX('Cost_Components'!$O$2:$O$6,MATCH(E58,'Cost_Components'!$A$2:$A$6,0)),"")</f>
      </c>
      <c r="AF58" s="98" t="n">
        <v>164337680.327842</v>
      </c>
      <c r="AG58" s="99" t="n">
        <v>164354507.169368</v>
      </c>
      <c r="AH58" s="100" t="str">
        <f>IF(H58="shared-count-once",COUNTIFS($A$2:$A$131,A58,$B$2:$B$131,B58,$E$2:$E$131,E58),1)</f>
      </c>
      <c r="AI58" s="101" t="n">
        <v>296414030.31143</v>
      </c>
      <c r="AJ58" s="102" t="str">
        <f>IF(AI58=0,"",Q58/AI58)</f>
      </c>
      <c r="AK58" s="103" t="str">
        <f>IF(AI58=0,"",R58/AI58)</f>
      </c>
      <c r="AL58" s="104" t="str">
        <f>IF(AI58=0,"",S58/AI58)</f>
      </c>
      <c r="AM58" s="105" t="str">
        <f>IF(AI58=0,"",Y58/AI58)</f>
      </c>
    </row>
    <row r="59">
      <c r="A59" t="s">
        <v>115</v>
      </c>
      <c r="B59" s="73" t="n">
        <v>2030</v>
      </c>
      <c r="C59" t="s">
        <v>231</v>
      </c>
      <c r="D59" t="s">
        <v>235</v>
      </c>
      <c r="E59" s="74" t="s">
        <v>282</v>
      </c>
      <c r="F59" s="75" t="s">
        <v>283</v>
      </c>
      <c r="G59" s="76" t="s">
        <v>232</v>
      </c>
      <c r="H59" s="77" t="s">
        <v>239</v>
      </c>
      <c r="I59" s="78" t="s">
        <v>267</v>
      </c>
      <c r="J59" s="79" t="str">
        <f>IFERROR(INDEX('Cost_Components'!$K$2:$K$6,MATCH(E59,'Cost_Components'!$A$2:$A$6,0)),"")</f>
      </c>
      <c r="K59" s="106" t="n">
        <v>0.151008848692055</v>
      </c>
      <c r="L59" s="80" t="str">
        <f>IFERROR(INDEX('Cost_Components'!$S$2:$S$6,MATCH(E59,'Cost_Components'!$A$2:$A$6,0)),"")</f>
      </c>
      <c r="M59" s="81" t="str">
        <f>IFERROR(INDEX('Cost_Components'!$L$2:$L$6,MATCH(E59,'Cost_Components'!$A$2:$A$6,0)),"")</f>
      </c>
      <c r="N59" s="82" t="str">
        <f>IFERROR(INDEX('Cost_Components'!$P$2:$P$6,MATCH(E59,'Cost_Components'!$A$2:$A$6,0)),"")</f>
      </c>
      <c r="O59" s="83" t="str">
        <f>AF59*J59</f>
      </c>
      <c r="P59" s="84" t="str">
        <f>AG59*J59</f>
      </c>
      <c r="Q59" s="85" t="str">
        <f>P59*L59*M59*N59</f>
      </c>
      <c r="R59" s="86" t="str">
        <f>O59*K59*M59*N59</f>
      </c>
      <c r="S59" s="87" t="str">
        <f>R59-Q59</f>
      </c>
      <c r="T59" s="34" t="str">
        <f>IFERROR(INDEX('Cost_Components'!$R$2:$R$6,MATCH(E59,'Cost_Components'!$A$2:$A$6,0)),"")</f>
      </c>
      <c r="U59" s="88" t="str">
        <f>IFERROR(INDEX('Cost_Components'!$Q$2:$Q$6,MATCH(E59,'Cost_Components'!$A$2:$A$6,0)),"")</f>
      </c>
      <c r="V59" s="89" t="str">
        <f>1/(1+'Calculation_Assumptions'!$B$5)^(B59-'Calculation_Assumptions'!$B$2)</f>
      </c>
      <c r="W59" s="90" t="str">
        <f>Q59*V59</f>
      </c>
      <c r="X59" s="91" t="str">
        <f>R59*V59</f>
      </c>
      <c r="Y59" s="92" t="str">
        <f>S59*V59</f>
      </c>
      <c r="Z59" s="93" t="str">
        <f>IFERROR(INDEX('Cost_Components'!$T$2:$T$6,MATCH(E59,'Cost_Components'!$A$2:$A$6,0)),"")</f>
      </c>
      <c r="AA59" s="94" t="str">
        <f>IFERROR(INDEX('Cost_Components'!$U$2:$U$6,MATCH(E59,'Cost_Components'!$A$2:$A$6,0)),"")</f>
      </c>
      <c r="AB59" s="95" t="str">
        <f>IFERROR(INDEX('Cost_Components'!$V$2:$V$6,MATCH(E59,'Cost_Components'!$A$2:$A$6,0)),"")</f>
      </c>
      <c r="AC59" s="96" t="str">
        <f>IFERROR(INDEX('Cost_Components'!$M$2:$M$6,MATCH(E59,'Cost_Components'!$A$2:$A$6,0)),"")</f>
      </c>
      <c r="AD59" s="97" t="str">
        <f>IFERROR(INDEX('Cost_Components'!$N$2:$N$6,MATCH(E59,'Cost_Components'!$A$2:$A$6,0)),"")</f>
      </c>
      <c r="AE59" s="34" t="str">
        <f>IFERROR(INDEX('Cost_Components'!$O$2:$O$6,MATCH(E59,'Cost_Components'!$A$2:$A$6,0)),"")</f>
      </c>
      <c r="AF59" s="98" t="n">
        <v>166436073.277532</v>
      </c>
      <c r="AG59" s="99" t="n">
        <v>166415552.282846</v>
      </c>
      <c r="AH59" s="100" t="str">
        <f>IF(H59="shared-count-once",COUNTIFS($A$2:$A$131,A59,$B$2:$B$131,B59,$E$2:$E$131,E59),1)</f>
      </c>
      <c r="AI59" s="101" t="n">
        <v>298289404.664994</v>
      </c>
      <c r="AJ59" s="102" t="str">
        <f>IF(AI59=0,"",Q59/AI59)</f>
      </c>
      <c r="AK59" s="103" t="str">
        <f>IF(AI59=0,"",R59/AI59)</f>
      </c>
      <c r="AL59" s="104" t="str">
        <f>IF(AI59=0,"",S59/AI59)</f>
      </c>
      <c r="AM59" s="105" t="str">
        <f>IF(AI59=0,"",Y59/AI59)</f>
      </c>
    </row>
    <row r="60">
      <c r="A60" t="s">
        <v>115</v>
      </c>
      <c r="B60" s="73" t="n">
        <v>2031</v>
      </c>
      <c r="C60" t="s">
        <v>231</v>
      </c>
      <c r="D60" t="s">
        <v>235</v>
      </c>
      <c r="E60" s="74" t="s">
        <v>282</v>
      </c>
      <c r="F60" s="75" t="s">
        <v>283</v>
      </c>
      <c r="G60" s="76" t="s">
        <v>232</v>
      </c>
      <c r="H60" s="77" t="s">
        <v>239</v>
      </c>
      <c r="I60" s="78" t="s">
        <v>267</v>
      </c>
      <c r="J60" s="79" t="str">
        <f>IFERROR(INDEX('Cost_Components'!$K$2:$K$6,MATCH(E60,'Cost_Components'!$A$2:$A$6,0)),"")</f>
      </c>
      <c r="K60" s="106" t="n">
        <v>0.177557963822849</v>
      </c>
      <c r="L60" s="80" t="str">
        <f>IFERROR(INDEX('Cost_Components'!$S$2:$S$6,MATCH(E60,'Cost_Components'!$A$2:$A$6,0)),"")</f>
      </c>
      <c r="M60" s="81" t="str">
        <f>IFERROR(INDEX('Cost_Components'!$L$2:$L$6,MATCH(E60,'Cost_Components'!$A$2:$A$6,0)),"")</f>
      </c>
      <c r="N60" s="82" t="str">
        <f>IFERROR(INDEX('Cost_Components'!$P$2:$P$6,MATCH(E60,'Cost_Components'!$A$2:$A$6,0)),"")</f>
      </c>
      <c r="O60" s="83" t="str">
        <f>AF60*J60</f>
      </c>
      <c r="P60" s="84" t="str">
        <f>AG60*J60</f>
      </c>
      <c r="Q60" s="85" t="str">
        <f>P60*L60*M60*N60</f>
      </c>
      <c r="R60" s="86" t="str">
        <f>O60*K60*M60*N60</f>
      </c>
      <c r="S60" s="87" t="str">
        <f>R60-Q60</f>
      </c>
      <c r="T60" s="34" t="str">
        <f>IFERROR(INDEX('Cost_Components'!$R$2:$R$6,MATCH(E60,'Cost_Components'!$A$2:$A$6,0)),"")</f>
      </c>
      <c r="U60" s="88" t="str">
        <f>IFERROR(INDEX('Cost_Components'!$Q$2:$Q$6,MATCH(E60,'Cost_Components'!$A$2:$A$6,0)),"")</f>
      </c>
      <c r="V60" s="89" t="str">
        <f>1/(1+'Calculation_Assumptions'!$B$5)^(B60-'Calculation_Assumptions'!$B$2)</f>
      </c>
      <c r="W60" s="90" t="str">
        <f>Q60*V60</f>
      </c>
      <c r="X60" s="91" t="str">
        <f>R60*V60</f>
      </c>
      <c r="Y60" s="92" t="str">
        <f>S60*V60</f>
      </c>
      <c r="Z60" s="93" t="str">
        <f>IFERROR(INDEX('Cost_Components'!$T$2:$T$6,MATCH(E60,'Cost_Components'!$A$2:$A$6,0)),"")</f>
      </c>
      <c r="AA60" s="94" t="str">
        <f>IFERROR(INDEX('Cost_Components'!$U$2:$U$6,MATCH(E60,'Cost_Components'!$A$2:$A$6,0)),"")</f>
      </c>
      <c r="AB60" s="95" t="str">
        <f>IFERROR(INDEX('Cost_Components'!$V$2:$V$6,MATCH(E60,'Cost_Components'!$A$2:$A$6,0)),"")</f>
      </c>
      <c r="AC60" s="96" t="str">
        <f>IFERROR(INDEX('Cost_Components'!$M$2:$M$6,MATCH(E60,'Cost_Components'!$A$2:$A$6,0)),"")</f>
      </c>
      <c r="AD60" s="97" t="str">
        <f>IFERROR(INDEX('Cost_Components'!$N$2:$N$6,MATCH(E60,'Cost_Components'!$A$2:$A$6,0)),"")</f>
      </c>
      <c r="AE60" s="34" t="str">
        <f>IFERROR(INDEX('Cost_Components'!$O$2:$O$6,MATCH(E60,'Cost_Components'!$A$2:$A$6,0)),"")</f>
      </c>
      <c r="AF60" s="98" t="n">
        <v>168483815.745517</v>
      </c>
      <c r="AG60" s="99" t="n">
        <v>168461285.903885</v>
      </c>
      <c r="AH60" s="100" t="str">
        <f>IF(H60="shared-count-once",COUNTIFS($A$2:$A$131,A60,$B$2:$B$131,B60,$E$2:$E$131,E60),1)</f>
      </c>
      <c r="AI60" s="101" t="n">
        <v>300119636.925519</v>
      </c>
      <c r="AJ60" s="102" t="str">
        <f>IF(AI60=0,"",Q60/AI60)</f>
      </c>
      <c r="AK60" s="103" t="str">
        <f>IF(AI60=0,"",R60/AI60)</f>
      </c>
      <c r="AL60" s="104" t="str">
        <f>IF(AI60=0,"",S60/AI60)</f>
      </c>
      <c r="AM60" s="105" t="str">
        <f>IF(AI60=0,"",Y60/AI60)</f>
      </c>
    </row>
    <row r="61">
      <c r="A61" t="s">
        <v>115</v>
      </c>
      <c r="B61" s="73" t="n">
        <v>2032</v>
      </c>
      <c r="C61" t="s">
        <v>231</v>
      </c>
      <c r="D61" t="s">
        <v>235</v>
      </c>
      <c r="E61" s="74" t="s">
        <v>282</v>
      </c>
      <c r="F61" s="75" t="s">
        <v>283</v>
      </c>
      <c r="G61" s="76" t="s">
        <v>232</v>
      </c>
      <c r="H61" s="77" t="s">
        <v>239</v>
      </c>
      <c r="I61" s="78" t="s">
        <v>267</v>
      </c>
      <c r="J61" s="79" t="str">
        <f>IFERROR(INDEX('Cost_Components'!$K$2:$K$6,MATCH(E61,'Cost_Components'!$A$2:$A$6,0)),"")</f>
      </c>
      <c r="K61" s="106" t="n">
        <v>0.204107078953644</v>
      </c>
      <c r="L61" s="80" t="str">
        <f>IFERROR(INDEX('Cost_Components'!$S$2:$S$6,MATCH(E61,'Cost_Components'!$A$2:$A$6,0)),"")</f>
      </c>
      <c r="M61" s="81" t="str">
        <f>IFERROR(INDEX('Cost_Components'!$L$2:$L$6,MATCH(E61,'Cost_Components'!$A$2:$A$6,0)),"")</f>
      </c>
      <c r="N61" s="82" t="str">
        <f>IFERROR(INDEX('Cost_Components'!$P$2:$P$6,MATCH(E61,'Cost_Components'!$A$2:$A$6,0)),"")</f>
      </c>
      <c r="O61" s="83" t="str">
        <f>AF61*J61</f>
      </c>
      <c r="P61" s="84" t="str">
        <f>AG61*J61</f>
      </c>
      <c r="Q61" s="85" t="str">
        <f>P61*L61*M61*N61</f>
      </c>
      <c r="R61" s="86" t="str">
        <f>O61*K61*M61*N61</f>
      </c>
      <c r="S61" s="87" t="str">
        <f>R61-Q61</f>
      </c>
      <c r="T61" s="34" t="str">
        <f>IFERROR(INDEX('Cost_Components'!$R$2:$R$6,MATCH(E61,'Cost_Components'!$A$2:$A$6,0)),"")</f>
      </c>
      <c r="U61" s="88" t="str">
        <f>IFERROR(INDEX('Cost_Components'!$Q$2:$Q$6,MATCH(E61,'Cost_Components'!$A$2:$A$6,0)),"")</f>
      </c>
      <c r="V61" s="89" t="str">
        <f>1/(1+'Calculation_Assumptions'!$B$5)^(B61-'Calculation_Assumptions'!$B$2)</f>
      </c>
      <c r="W61" s="90" t="str">
        <f>Q61*V61</f>
      </c>
      <c r="X61" s="91" t="str">
        <f>R61*V61</f>
      </c>
      <c r="Y61" s="92" t="str">
        <f>S61*V61</f>
      </c>
      <c r="Z61" s="93" t="str">
        <f>IFERROR(INDEX('Cost_Components'!$T$2:$T$6,MATCH(E61,'Cost_Components'!$A$2:$A$6,0)),"")</f>
      </c>
      <c r="AA61" s="94" t="str">
        <f>IFERROR(INDEX('Cost_Components'!$U$2:$U$6,MATCH(E61,'Cost_Components'!$A$2:$A$6,0)),"")</f>
      </c>
      <c r="AB61" s="95" t="str">
        <f>IFERROR(INDEX('Cost_Components'!$V$2:$V$6,MATCH(E61,'Cost_Components'!$A$2:$A$6,0)),"")</f>
      </c>
      <c r="AC61" s="96" t="str">
        <f>IFERROR(INDEX('Cost_Components'!$M$2:$M$6,MATCH(E61,'Cost_Components'!$A$2:$A$6,0)),"")</f>
      </c>
      <c r="AD61" s="97" t="str">
        <f>IFERROR(INDEX('Cost_Components'!$N$2:$N$6,MATCH(E61,'Cost_Components'!$A$2:$A$6,0)),"")</f>
      </c>
      <c r="AE61" s="34" t="str">
        <f>IFERROR(INDEX('Cost_Components'!$O$2:$O$6,MATCH(E61,'Cost_Components'!$A$2:$A$6,0)),"")</f>
      </c>
      <c r="AF61" s="98" t="n">
        <v>170503898.910831</v>
      </c>
      <c r="AG61" s="99" t="n">
        <v>170476615.351264</v>
      </c>
      <c r="AH61" s="100" t="str">
        <f>IF(H61="shared-count-once",COUNTIFS($A$2:$A$131,A61,$B$2:$B$131,B61,$E$2:$E$131,E61),1)</f>
      </c>
      <c r="AI61" s="101" t="n">
        <v>301904628.083541</v>
      </c>
      <c r="AJ61" s="102" t="str">
        <f>IF(AI61=0,"",Q61/AI61)</f>
      </c>
      <c r="AK61" s="103" t="str">
        <f>IF(AI61=0,"",R61/AI61)</f>
      </c>
      <c r="AL61" s="104" t="str">
        <f>IF(AI61=0,"",S61/AI61)</f>
      </c>
      <c r="AM61" s="105" t="str">
        <f>IF(AI61=0,"",Y61/AI61)</f>
      </c>
    </row>
    <row r="62">
      <c r="A62" t="s">
        <v>115</v>
      </c>
      <c r="B62" s="73" t="n">
        <v>2033</v>
      </c>
      <c r="C62" t="s">
        <v>231</v>
      </c>
      <c r="D62" t="s">
        <v>235</v>
      </c>
      <c r="E62" s="74" t="s">
        <v>282</v>
      </c>
      <c r="F62" s="75" t="s">
        <v>283</v>
      </c>
      <c r="G62" s="76" t="s">
        <v>232</v>
      </c>
      <c r="H62" s="77" t="s">
        <v>239</v>
      </c>
      <c r="I62" s="78" t="s">
        <v>267</v>
      </c>
      <c r="J62" s="79" t="str">
        <f>IFERROR(INDEX('Cost_Components'!$K$2:$K$6,MATCH(E62,'Cost_Components'!$A$2:$A$6,0)),"")</f>
      </c>
      <c r="K62" s="106" t="n">
        <v>0.230656194084438</v>
      </c>
      <c r="L62" s="80" t="str">
        <f>IFERROR(INDEX('Cost_Components'!$S$2:$S$6,MATCH(E62,'Cost_Components'!$A$2:$A$6,0)),"")</f>
      </c>
      <c r="M62" s="81" t="str">
        <f>IFERROR(INDEX('Cost_Components'!$L$2:$L$6,MATCH(E62,'Cost_Components'!$A$2:$A$6,0)),"")</f>
      </c>
      <c r="N62" s="82" t="str">
        <f>IFERROR(INDEX('Cost_Components'!$P$2:$P$6,MATCH(E62,'Cost_Components'!$A$2:$A$6,0)),"")</f>
      </c>
      <c r="O62" s="83" t="str">
        <f>AF62*J62</f>
      </c>
      <c r="P62" s="84" t="str">
        <f>AG62*J62</f>
      </c>
      <c r="Q62" s="85" t="str">
        <f>P62*L62*M62*N62</f>
      </c>
      <c r="R62" s="86" t="str">
        <f>O62*K62*M62*N62</f>
      </c>
      <c r="S62" s="87" t="str">
        <f>R62-Q62</f>
      </c>
      <c r="T62" s="34" t="str">
        <f>IFERROR(INDEX('Cost_Components'!$R$2:$R$6,MATCH(E62,'Cost_Components'!$A$2:$A$6,0)),"")</f>
      </c>
      <c r="U62" s="88" t="str">
        <f>IFERROR(INDEX('Cost_Components'!$Q$2:$Q$6,MATCH(E62,'Cost_Components'!$A$2:$A$6,0)),"")</f>
      </c>
      <c r="V62" s="89" t="str">
        <f>1/(1+'Calculation_Assumptions'!$B$5)^(B62-'Calculation_Assumptions'!$B$2)</f>
      </c>
      <c r="W62" s="90" t="str">
        <f>Q62*V62</f>
      </c>
      <c r="X62" s="91" t="str">
        <f>R62*V62</f>
      </c>
      <c r="Y62" s="92" t="str">
        <f>S62*V62</f>
      </c>
      <c r="Z62" s="93" t="str">
        <f>IFERROR(INDEX('Cost_Components'!$T$2:$T$6,MATCH(E62,'Cost_Components'!$A$2:$A$6,0)),"")</f>
      </c>
      <c r="AA62" s="94" t="str">
        <f>IFERROR(INDEX('Cost_Components'!$U$2:$U$6,MATCH(E62,'Cost_Components'!$A$2:$A$6,0)),"")</f>
      </c>
      <c r="AB62" s="95" t="str">
        <f>IFERROR(INDEX('Cost_Components'!$V$2:$V$6,MATCH(E62,'Cost_Components'!$A$2:$A$6,0)),"")</f>
      </c>
      <c r="AC62" s="96" t="str">
        <f>IFERROR(INDEX('Cost_Components'!$M$2:$M$6,MATCH(E62,'Cost_Components'!$A$2:$A$6,0)),"")</f>
      </c>
      <c r="AD62" s="97" t="str">
        <f>IFERROR(INDEX('Cost_Components'!$N$2:$N$6,MATCH(E62,'Cost_Components'!$A$2:$A$6,0)),"")</f>
      </c>
      <c r="AE62" s="34" t="str">
        <f>IFERROR(INDEX('Cost_Components'!$O$2:$O$6,MATCH(E62,'Cost_Components'!$A$2:$A$6,0)),"")</f>
      </c>
      <c r="AF62" s="98" t="n">
        <v>172498677.234076</v>
      </c>
      <c r="AG62" s="99" t="n">
        <v>172461509.841257</v>
      </c>
      <c r="AH62" s="100" t="str">
        <f>IF(H62="shared-count-once",COUNTIFS($A$2:$A$131,A62,$B$2:$B$131,B62,$E$2:$E$131,E62),1)</f>
      </c>
      <c r="AI62" s="101" t="n">
        <v>303644277.16916</v>
      </c>
      <c r="AJ62" s="102" t="str">
        <f>IF(AI62=0,"",Q62/AI62)</f>
      </c>
      <c r="AK62" s="103" t="str">
        <f>IF(AI62=0,"",R62/AI62)</f>
      </c>
      <c r="AL62" s="104" t="str">
        <f>IF(AI62=0,"",S62/AI62)</f>
      </c>
      <c r="AM62" s="105" t="str">
        <f>IF(AI62=0,"",Y62/AI62)</f>
      </c>
    </row>
    <row r="63">
      <c r="A63" t="s">
        <v>115</v>
      </c>
      <c r="B63" s="73" t="n">
        <v>2034</v>
      </c>
      <c r="C63" t="s">
        <v>231</v>
      </c>
      <c r="D63" t="s">
        <v>235</v>
      </c>
      <c r="E63" s="74" t="s">
        <v>282</v>
      </c>
      <c r="F63" s="75" t="s">
        <v>283</v>
      </c>
      <c r="G63" s="76" t="s">
        <v>232</v>
      </c>
      <c r="H63" s="77" t="s">
        <v>239</v>
      </c>
      <c r="I63" s="78" t="s">
        <v>267</v>
      </c>
      <c r="J63" s="79" t="str">
        <f>IFERROR(INDEX('Cost_Components'!$K$2:$K$6,MATCH(E63,'Cost_Components'!$A$2:$A$6,0)),"")</f>
      </c>
      <c r="K63" s="106" t="n">
        <v>0.257205309215233</v>
      </c>
      <c r="L63" s="80" t="str">
        <f>IFERROR(INDEX('Cost_Components'!$S$2:$S$6,MATCH(E63,'Cost_Components'!$A$2:$A$6,0)),"")</f>
      </c>
      <c r="M63" s="81" t="str">
        <f>IFERROR(INDEX('Cost_Components'!$L$2:$L$6,MATCH(E63,'Cost_Components'!$A$2:$A$6,0)),"")</f>
      </c>
      <c r="N63" s="82" t="str">
        <f>IFERROR(INDEX('Cost_Components'!$P$2:$P$6,MATCH(E63,'Cost_Components'!$A$2:$A$6,0)),"")</f>
      </c>
      <c r="O63" s="83" t="str">
        <f>AF63*J63</f>
      </c>
      <c r="P63" s="84" t="str">
        <f>AG63*J63</f>
      </c>
      <c r="Q63" s="85" t="str">
        <f>P63*L63*M63*N63</f>
      </c>
      <c r="R63" s="86" t="str">
        <f>O63*K63*M63*N63</f>
      </c>
      <c r="S63" s="87" t="str">
        <f>R63-Q63</f>
      </c>
      <c r="T63" s="34" t="str">
        <f>IFERROR(INDEX('Cost_Components'!$R$2:$R$6,MATCH(E63,'Cost_Components'!$A$2:$A$6,0)),"")</f>
      </c>
      <c r="U63" s="88" t="str">
        <f>IFERROR(INDEX('Cost_Components'!$Q$2:$Q$6,MATCH(E63,'Cost_Components'!$A$2:$A$6,0)),"")</f>
      </c>
      <c r="V63" s="89" t="str">
        <f>1/(1+'Calculation_Assumptions'!$B$5)^(B63-'Calculation_Assumptions'!$B$2)</f>
      </c>
      <c r="W63" s="90" t="str">
        <f>Q63*V63</f>
      </c>
      <c r="X63" s="91" t="str">
        <f>R63*V63</f>
      </c>
      <c r="Y63" s="92" t="str">
        <f>S63*V63</f>
      </c>
      <c r="Z63" s="93" t="str">
        <f>IFERROR(INDEX('Cost_Components'!$T$2:$T$6,MATCH(E63,'Cost_Components'!$A$2:$A$6,0)),"")</f>
      </c>
      <c r="AA63" s="94" t="str">
        <f>IFERROR(INDEX('Cost_Components'!$U$2:$U$6,MATCH(E63,'Cost_Components'!$A$2:$A$6,0)),"")</f>
      </c>
      <c r="AB63" s="95" t="str">
        <f>IFERROR(INDEX('Cost_Components'!$V$2:$V$6,MATCH(E63,'Cost_Components'!$A$2:$A$6,0)),"")</f>
      </c>
      <c r="AC63" s="96" t="str">
        <f>IFERROR(INDEX('Cost_Components'!$M$2:$M$6,MATCH(E63,'Cost_Components'!$A$2:$A$6,0)),"")</f>
      </c>
      <c r="AD63" s="97" t="str">
        <f>IFERROR(INDEX('Cost_Components'!$N$2:$N$6,MATCH(E63,'Cost_Components'!$A$2:$A$6,0)),"")</f>
      </c>
      <c r="AE63" s="34" t="str">
        <f>IFERROR(INDEX('Cost_Components'!$O$2:$O$6,MATCH(E63,'Cost_Components'!$A$2:$A$6,0)),"")</f>
      </c>
      <c r="AF63" s="98" t="n">
        <v>174514289.054823</v>
      </c>
      <c r="AG63" s="99" t="n">
        <v>174461686.278167</v>
      </c>
      <c r="AH63" s="100" t="str">
        <f>IF(H63="shared-count-once",COUNTIFS($A$2:$A$131,A63,$B$2:$B$131,B63,$E$2:$E$131,E63),1)</f>
      </c>
      <c r="AI63" s="101" t="n">
        <v>305332541.184984</v>
      </c>
      <c r="AJ63" s="102" t="str">
        <f>IF(AI63=0,"",Q63/AI63)</f>
      </c>
      <c r="AK63" s="103" t="str">
        <f>IF(AI63=0,"",R63/AI63)</f>
      </c>
      <c r="AL63" s="104" t="str">
        <f>IF(AI63=0,"",S63/AI63)</f>
      </c>
      <c r="AM63" s="105" t="str">
        <f>IF(AI63=0,"",Y63/AI63)</f>
      </c>
    </row>
    <row r="64">
      <c r="A64" t="s">
        <v>115</v>
      </c>
      <c r="B64" s="73" t="n">
        <v>2035</v>
      </c>
      <c r="C64" t="s">
        <v>231</v>
      </c>
      <c r="D64" t="s">
        <v>235</v>
      </c>
      <c r="E64" s="74" t="s">
        <v>282</v>
      </c>
      <c r="F64" s="75" t="s">
        <v>283</v>
      </c>
      <c r="G64" s="76" t="s">
        <v>232</v>
      </c>
      <c r="H64" s="77" t="s">
        <v>239</v>
      </c>
      <c r="I64" s="78" t="s">
        <v>267</v>
      </c>
      <c r="J64" s="79" t="str">
        <f>IFERROR(INDEX('Cost_Components'!$K$2:$K$6,MATCH(E64,'Cost_Components'!$A$2:$A$6,0)),"")</f>
      </c>
      <c r="K64" s="106" t="n">
        <v>0.283754424346027</v>
      </c>
      <c r="L64" s="80" t="str">
        <f>IFERROR(INDEX('Cost_Components'!$S$2:$S$6,MATCH(E64,'Cost_Components'!$A$2:$A$6,0)),"")</f>
      </c>
      <c r="M64" s="81" t="str">
        <f>IFERROR(INDEX('Cost_Components'!$L$2:$L$6,MATCH(E64,'Cost_Components'!$A$2:$A$6,0)),"")</f>
      </c>
      <c r="N64" s="82" t="str">
        <f>IFERROR(INDEX('Cost_Components'!$P$2:$P$6,MATCH(E64,'Cost_Components'!$A$2:$A$6,0)),"")</f>
      </c>
      <c r="O64" s="83" t="str">
        <f>AF64*J64</f>
      </c>
      <c r="P64" s="84" t="str">
        <f>AG64*J64</f>
      </c>
      <c r="Q64" s="85" t="str">
        <f>P64*L64*M64*N64</f>
      </c>
      <c r="R64" s="86" t="str">
        <f>O64*K64*M64*N64</f>
      </c>
      <c r="S64" s="87" t="str">
        <f>R64-Q64</f>
      </c>
      <c r="T64" s="34" t="str">
        <f>IFERROR(INDEX('Cost_Components'!$R$2:$R$6,MATCH(E64,'Cost_Components'!$A$2:$A$6,0)),"")</f>
      </c>
      <c r="U64" s="88" t="str">
        <f>IFERROR(INDEX('Cost_Components'!$Q$2:$Q$6,MATCH(E64,'Cost_Components'!$A$2:$A$6,0)),"")</f>
      </c>
      <c r="V64" s="89" t="str">
        <f>1/(1+'Calculation_Assumptions'!$B$5)^(B64-'Calculation_Assumptions'!$B$2)</f>
      </c>
      <c r="W64" s="90" t="str">
        <f>Q64*V64</f>
      </c>
      <c r="X64" s="91" t="str">
        <f>R64*V64</f>
      </c>
      <c r="Y64" s="92" t="str">
        <f>S64*V64</f>
      </c>
      <c r="Z64" s="93" t="str">
        <f>IFERROR(INDEX('Cost_Components'!$T$2:$T$6,MATCH(E64,'Cost_Components'!$A$2:$A$6,0)),"")</f>
      </c>
      <c r="AA64" s="94" t="str">
        <f>IFERROR(INDEX('Cost_Components'!$U$2:$U$6,MATCH(E64,'Cost_Components'!$A$2:$A$6,0)),"")</f>
      </c>
      <c r="AB64" s="95" t="str">
        <f>IFERROR(INDEX('Cost_Components'!$V$2:$V$6,MATCH(E64,'Cost_Components'!$A$2:$A$6,0)),"")</f>
      </c>
      <c r="AC64" s="96" t="str">
        <f>IFERROR(INDEX('Cost_Components'!$M$2:$M$6,MATCH(E64,'Cost_Components'!$A$2:$A$6,0)),"")</f>
      </c>
      <c r="AD64" s="97" t="str">
        <f>IFERROR(INDEX('Cost_Components'!$N$2:$N$6,MATCH(E64,'Cost_Components'!$A$2:$A$6,0)),"")</f>
      </c>
      <c r="AE64" s="34" t="str">
        <f>IFERROR(INDEX('Cost_Components'!$O$2:$O$6,MATCH(E64,'Cost_Components'!$A$2:$A$6,0)),"")</f>
      </c>
      <c r="AF64" s="98" t="n">
        <v>176597129.709171</v>
      </c>
      <c r="AG64" s="99" t="n">
        <v>176538766.30208</v>
      </c>
      <c r="AH64" s="100" t="str">
        <f>IF(H64="shared-count-once",COUNTIFS($A$2:$A$131,A64,$B$2:$B$131,B64,$E$2:$E$131,E64),1)</f>
      </c>
      <c r="AI64" s="101" t="n">
        <v>306964650.16712</v>
      </c>
      <c r="AJ64" s="102" t="str">
        <f>IF(AI64=0,"",Q64/AI64)</f>
      </c>
      <c r="AK64" s="103" t="str">
        <f>IF(AI64=0,"",R64/AI64)</f>
      </c>
      <c r="AL64" s="104" t="str">
        <f>IF(AI64=0,"",S64/AI64)</f>
      </c>
      <c r="AM64" s="105" t="str">
        <f>IF(AI64=0,"",Y64/AI64)</f>
      </c>
    </row>
    <row r="65">
      <c r="A65" t="s">
        <v>115</v>
      </c>
      <c r="B65" s="73" t="n">
        <v>2036</v>
      </c>
      <c r="C65" t="s">
        <v>231</v>
      </c>
      <c r="D65" t="s">
        <v>235</v>
      </c>
      <c r="E65" s="74" t="s">
        <v>282</v>
      </c>
      <c r="F65" s="75" t="s">
        <v>283</v>
      </c>
      <c r="G65" s="76" t="s">
        <v>232</v>
      </c>
      <c r="H65" s="77" t="s">
        <v>239</v>
      </c>
      <c r="I65" s="78" t="s">
        <v>267</v>
      </c>
      <c r="J65" s="79" t="str">
        <f>IFERROR(INDEX('Cost_Components'!$K$2:$K$6,MATCH(E65,'Cost_Components'!$A$2:$A$6,0)),"")</f>
      </c>
      <c r="K65" s="106" t="n">
        <v>0.310303539476822</v>
      </c>
      <c r="L65" s="80" t="str">
        <f>IFERROR(INDEX('Cost_Components'!$S$2:$S$6,MATCH(E65,'Cost_Components'!$A$2:$A$6,0)),"")</f>
      </c>
      <c r="M65" s="81" t="str">
        <f>IFERROR(INDEX('Cost_Components'!$L$2:$L$6,MATCH(E65,'Cost_Components'!$A$2:$A$6,0)),"")</f>
      </c>
      <c r="N65" s="82" t="str">
        <f>IFERROR(INDEX('Cost_Components'!$P$2:$P$6,MATCH(E65,'Cost_Components'!$A$2:$A$6,0)),"")</f>
      </c>
      <c r="O65" s="83" t="str">
        <f>AF65*J65</f>
      </c>
      <c r="P65" s="84" t="str">
        <f>AG65*J65</f>
      </c>
      <c r="Q65" s="85" t="str">
        <f>P65*L65*M65*N65</f>
      </c>
      <c r="R65" s="86" t="str">
        <f>O65*K65*M65*N65</f>
      </c>
      <c r="S65" s="87" t="str">
        <f>R65-Q65</f>
      </c>
      <c r="T65" s="34" t="str">
        <f>IFERROR(INDEX('Cost_Components'!$R$2:$R$6,MATCH(E65,'Cost_Components'!$A$2:$A$6,0)),"")</f>
      </c>
      <c r="U65" s="88" t="str">
        <f>IFERROR(INDEX('Cost_Components'!$Q$2:$Q$6,MATCH(E65,'Cost_Components'!$A$2:$A$6,0)),"")</f>
      </c>
      <c r="V65" s="89" t="str">
        <f>1/(1+'Calculation_Assumptions'!$B$5)^(B65-'Calculation_Assumptions'!$B$2)</f>
      </c>
      <c r="W65" s="90" t="str">
        <f>Q65*V65</f>
      </c>
      <c r="X65" s="91" t="str">
        <f>R65*V65</f>
      </c>
      <c r="Y65" s="92" t="str">
        <f>S65*V65</f>
      </c>
      <c r="Z65" s="93" t="str">
        <f>IFERROR(INDEX('Cost_Components'!$T$2:$T$6,MATCH(E65,'Cost_Components'!$A$2:$A$6,0)),"")</f>
      </c>
      <c r="AA65" s="94" t="str">
        <f>IFERROR(INDEX('Cost_Components'!$U$2:$U$6,MATCH(E65,'Cost_Components'!$A$2:$A$6,0)),"")</f>
      </c>
      <c r="AB65" s="95" t="str">
        <f>IFERROR(INDEX('Cost_Components'!$V$2:$V$6,MATCH(E65,'Cost_Components'!$A$2:$A$6,0)),"")</f>
      </c>
      <c r="AC65" s="96" t="str">
        <f>IFERROR(INDEX('Cost_Components'!$M$2:$M$6,MATCH(E65,'Cost_Components'!$A$2:$A$6,0)),"")</f>
      </c>
      <c r="AD65" s="97" t="str">
        <f>IFERROR(INDEX('Cost_Components'!$N$2:$N$6,MATCH(E65,'Cost_Components'!$A$2:$A$6,0)),"")</f>
      </c>
      <c r="AE65" s="34" t="str">
        <f>IFERROR(INDEX('Cost_Components'!$O$2:$O$6,MATCH(E65,'Cost_Components'!$A$2:$A$6,0)),"")</f>
      </c>
      <c r="AF65" s="98" t="n">
        <v>178711256.262192</v>
      </c>
      <c r="AG65" s="99" t="n">
        <v>178623659.570201</v>
      </c>
      <c r="AH65" s="100" t="str">
        <f>IF(H65="shared-count-once",COUNTIFS($A$2:$A$131,A65,$B$2:$B$131,B65,$E$2:$E$131,E65),1)</f>
      </c>
      <c r="AI65" s="101" t="n">
        <v>308542769.756622</v>
      </c>
      <c r="AJ65" s="102" t="str">
        <f>IF(AI65=0,"",Q65/AI65)</f>
      </c>
      <c r="AK65" s="103" t="str">
        <f>IF(AI65=0,"",R65/AI65)</f>
      </c>
      <c r="AL65" s="104" t="str">
        <f>IF(AI65=0,"",S65/AI65)</f>
      </c>
      <c r="AM65" s="105" t="str">
        <f>IF(AI65=0,"",Y65/AI65)</f>
      </c>
    </row>
    <row r="66">
      <c r="A66" t="s">
        <v>115</v>
      </c>
      <c r="B66" s="73" t="n">
        <v>2037</v>
      </c>
      <c r="C66" t="s">
        <v>231</v>
      </c>
      <c r="D66" t="s">
        <v>235</v>
      </c>
      <c r="E66" s="74" t="s">
        <v>282</v>
      </c>
      <c r="F66" s="75" t="s">
        <v>283</v>
      </c>
      <c r="G66" s="76" t="s">
        <v>232</v>
      </c>
      <c r="H66" s="77" t="s">
        <v>239</v>
      </c>
      <c r="I66" s="78" t="s">
        <v>267</v>
      </c>
      <c r="J66" s="79" t="str">
        <f>IFERROR(INDEX('Cost_Components'!$K$2:$K$6,MATCH(E66,'Cost_Components'!$A$2:$A$6,0)),"")</f>
      </c>
      <c r="K66" s="106" t="n">
        <v>0.336852654607616</v>
      </c>
      <c r="L66" s="80" t="str">
        <f>IFERROR(INDEX('Cost_Components'!$S$2:$S$6,MATCH(E66,'Cost_Components'!$A$2:$A$6,0)),"")</f>
      </c>
      <c r="M66" s="81" t="str">
        <f>IFERROR(INDEX('Cost_Components'!$L$2:$L$6,MATCH(E66,'Cost_Components'!$A$2:$A$6,0)),"")</f>
      </c>
      <c r="N66" s="82" t="str">
        <f>IFERROR(INDEX('Cost_Components'!$P$2:$P$6,MATCH(E66,'Cost_Components'!$A$2:$A$6,0)),"")</f>
      </c>
      <c r="O66" s="83" t="str">
        <f>AF66*J66</f>
      </c>
      <c r="P66" s="84" t="str">
        <f>AG66*J66</f>
      </c>
      <c r="Q66" s="85" t="str">
        <f>P66*L66*M66*N66</f>
      </c>
      <c r="R66" s="86" t="str">
        <f>O66*K66*M66*N66</f>
      </c>
      <c r="S66" s="87" t="str">
        <f>R66-Q66</f>
      </c>
      <c r="T66" s="34" t="str">
        <f>IFERROR(INDEX('Cost_Components'!$R$2:$R$6,MATCH(E66,'Cost_Components'!$A$2:$A$6,0)),"")</f>
      </c>
      <c r="U66" s="88" t="str">
        <f>IFERROR(INDEX('Cost_Components'!$Q$2:$Q$6,MATCH(E66,'Cost_Components'!$A$2:$A$6,0)),"")</f>
      </c>
      <c r="V66" s="89" t="str">
        <f>1/(1+'Calculation_Assumptions'!$B$5)^(B66-'Calculation_Assumptions'!$B$2)</f>
      </c>
      <c r="W66" s="90" t="str">
        <f>Q66*V66</f>
      </c>
      <c r="X66" s="91" t="str">
        <f>R66*V66</f>
      </c>
      <c r="Y66" s="92" t="str">
        <f>S66*V66</f>
      </c>
      <c r="Z66" s="93" t="str">
        <f>IFERROR(INDEX('Cost_Components'!$T$2:$T$6,MATCH(E66,'Cost_Components'!$A$2:$A$6,0)),"")</f>
      </c>
      <c r="AA66" s="94" t="str">
        <f>IFERROR(INDEX('Cost_Components'!$U$2:$U$6,MATCH(E66,'Cost_Components'!$A$2:$A$6,0)),"")</f>
      </c>
      <c r="AB66" s="95" t="str">
        <f>IFERROR(INDEX('Cost_Components'!$V$2:$V$6,MATCH(E66,'Cost_Components'!$A$2:$A$6,0)),"")</f>
      </c>
      <c r="AC66" s="96" t="str">
        <f>IFERROR(INDEX('Cost_Components'!$M$2:$M$6,MATCH(E66,'Cost_Components'!$A$2:$A$6,0)),"")</f>
      </c>
      <c r="AD66" s="97" t="str">
        <f>IFERROR(INDEX('Cost_Components'!$N$2:$N$6,MATCH(E66,'Cost_Components'!$A$2:$A$6,0)),"")</f>
      </c>
      <c r="AE66" s="34" t="str">
        <f>IFERROR(INDEX('Cost_Components'!$O$2:$O$6,MATCH(E66,'Cost_Components'!$A$2:$A$6,0)),"")</f>
      </c>
      <c r="AF66" s="98" t="n">
        <v>180862884.82821</v>
      </c>
      <c r="AG66" s="99" t="n">
        <v>180737927.453992</v>
      </c>
      <c r="AH66" s="100" t="str">
        <f>IF(H66="shared-count-once",COUNTIFS($A$2:$A$131,A66,$B$2:$B$131,B66,$E$2:$E$131,E66),1)</f>
      </c>
      <c r="AI66" s="101" t="n">
        <v>310068287.63643</v>
      </c>
      <c r="AJ66" s="102" t="str">
        <f>IF(AI66=0,"",Q66/AI66)</f>
      </c>
      <c r="AK66" s="103" t="str">
        <f>IF(AI66=0,"",R66/AI66)</f>
      </c>
      <c r="AL66" s="104" t="str">
        <f>IF(AI66=0,"",S66/AI66)</f>
      </c>
      <c r="AM66" s="105" t="str">
        <f>IF(AI66=0,"",Y66/AI66)</f>
      </c>
    </row>
    <row r="67">
      <c r="A67" t="s">
        <v>115</v>
      </c>
      <c r="B67" s="73" t="n">
        <v>2038</v>
      </c>
      <c r="C67" t="s">
        <v>231</v>
      </c>
      <c r="D67" t="s">
        <v>235</v>
      </c>
      <c r="E67" s="74" t="s">
        <v>282</v>
      </c>
      <c r="F67" s="75" t="s">
        <v>283</v>
      </c>
      <c r="G67" s="76" t="s">
        <v>232</v>
      </c>
      <c r="H67" s="77" t="s">
        <v>239</v>
      </c>
      <c r="I67" s="78" t="s">
        <v>267</v>
      </c>
      <c r="J67" s="79" t="str">
        <f>IFERROR(INDEX('Cost_Components'!$K$2:$K$6,MATCH(E67,'Cost_Components'!$A$2:$A$6,0)),"")</f>
      </c>
      <c r="K67" s="106" t="n">
        <v>0.363401769738411</v>
      </c>
      <c r="L67" s="80" t="str">
        <f>IFERROR(INDEX('Cost_Components'!$S$2:$S$6,MATCH(E67,'Cost_Components'!$A$2:$A$6,0)),"")</f>
      </c>
      <c r="M67" s="81" t="str">
        <f>IFERROR(INDEX('Cost_Components'!$L$2:$L$6,MATCH(E67,'Cost_Components'!$A$2:$A$6,0)),"")</f>
      </c>
      <c r="N67" s="82" t="str">
        <f>IFERROR(INDEX('Cost_Components'!$P$2:$P$6,MATCH(E67,'Cost_Components'!$A$2:$A$6,0)),"")</f>
      </c>
      <c r="O67" s="83" t="str">
        <f>AF67*J67</f>
      </c>
      <c r="P67" s="84" t="str">
        <f>AG67*J67</f>
      </c>
      <c r="Q67" s="85" t="str">
        <f>P67*L67*M67*N67</f>
      </c>
      <c r="R67" s="86" t="str">
        <f>O67*K67*M67*N67</f>
      </c>
      <c r="S67" s="87" t="str">
        <f>R67-Q67</f>
      </c>
      <c r="T67" s="34" t="str">
        <f>IFERROR(INDEX('Cost_Components'!$R$2:$R$6,MATCH(E67,'Cost_Components'!$A$2:$A$6,0)),"")</f>
      </c>
      <c r="U67" s="88" t="str">
        <f>IFERROR(INDEX('Cost_Components'!$Q$2:$Q$6,MATCH(E67,'Cost_Components'!$A$2:$A$6,0)),"")</f>
      </c>
      <c r="V67" s="89" t="str">
        <f>1/(1+'Calculation_Assumptions'!$B$5)^(B67-'Calculation_Assumptions'!$B$2)</f>
      </c>
      <c r="W67" s="90" t="str">
        <f>Q67*V67</f>
      </c>
      <c r="X67" s="91" t="str">
        <f>R67*V67</f>
      </c>
      <c r="Y67" s="92" t="str">
        <f>S67*V67</f>
      </c>
      <c r="Z67" s="93" t="str">
        <f>IFERROR(INDEX('Cost_Components'!$T$2:$T$6,MATCH(E67,'Cost_Components'!$A$2:$A$6,0)),"")</f>
      </c>
      <c r="AA67" s="94" t="str">
        <f>IFERROR(INDEX('Cost_Components'!$U$2:$U$6,MATCH(E67,'Cost_Components'!$A$2:$A$6,0)),"")</f>
      </c>
      <c r="AB67" s="95" t="str">
        <f>IFERROR(INDEX('Cost_Components'!$V$2:$V$6,MATCH(E67,'Cost_Components'!$A$2:$A$6,0)),"")</f>
      </c>
      <c r="AC67" s="96" t="str">
        <f>IFERROR(INDEX('Cost_Components'!$M$2:$M$6,MATCH(E67,'Cost_Components'!$A$2:$A$6,0)),"")</f>
      </c>
      <c r="AD67" s="97" t="str">
        <f>IFERROR(INDEX('Cost_Components'!$N$2:$N$6,MATCH(E67,'Cost_Components'!$A$2:$A$6,0)),"")</f>
      </c>
      <c r="AE67" s="34" t="str">
        <f>IFERROR(INDEX('Cost_Components'!$O$2:$O$6,MATCH(E67,'Cost_Components'!$A$2:$A$6,0)),"")</f>
      </c>
      <c r="AF67" s="98" t="n">
        <v>182974826.944686</v>
      </c>
      <c r="AG67" s="99" t="n">
        <v>182803771.129387</v>
      </c>
      <c r="AH67" s="100" t="str">
        <f>IF(H67="shared-count-once",COUNTIFS($A$2:$A$131,A67,$B$2:$B$131,B67,$E$2:$E$131,E67),1)</f>
      </c>
      <c r="AI67" s="101" t="n">
        <v>311532999.13163</v>
      </c>
      <c r="AJ67" s="102" t="str">
        <f>IF(AI67=0,"",Q67/AI67)</f>
      </c>
      <c r="AK67" s="103" t="str">
        <f>IF(AI67=0,"",R67/AI67)</f>
      </c>
      <c r="AL67" s="104" t="str">
        <f>IF(AI67=0,"",S67/AI67)</f>
      </c>
      <c r="AM67" s="105" t="str">
        <f>IF(AI67=0,"",Y67/AI67)</f>
      </c>
    </row>
    <row r="68">
      <c r="A68" t="s">
        <v>115</v>
      </c>
      <c r="B68" s="73" t="n">
        <v>2039</v>
      </c>
      <c r="C68" t="s">
        <v>231</v>
      </c>
      <c r="D68" t="s">
        <v>235</v>
      </c>
      <c r="E68" s="74" t="s">
        <v>282</v>
      </c>
      <c r="F68" s="75" t="s">
        <v>283</v>
      </c>
      <c r="G68" s="76" t="s">
        <v>232</v>
      </c>
      <c r="H68" s="77" t="s">
        <v>239</v>
      </c>
      <c r="I68" s="78" t="s">
        <v>267</v>
      </c>
      <c r="J68" s="79" t="str">
        <f>IFERROR(INDEX('Cost_Components'!$K$2:$K$6,MATCH(E68,'Cost_Components'!$A$2:$A$6,0)),"")</f>
      </c>
      <c r="K68" s="106" t="n">
        <v>0.389950884869205</v>
      </c>
      <c r="L68" s="80" t="str">
        <f>IFERROR(INDEX('Cost_Components'!$S$2:$S$6,MATCH(E68,'Cost_Components'!$A$2:$A$6,0)),"")</f>
      </c>
      <c r="M68" s="81" t="str">
        <f>IFERROR(INDEX('Cost_Components'!$L$2:$L$6,MATCH(E68,'Cost_Components'!$A$2:$A$6,0)),"")</f>
      </c>
      <c r="N68" s="82" t="str">
        <f>IFERROR(INDEX('Cost_Components'!$P$2:$P$6,MATCH(E68,'Cost_Components'!$A$2:$A$6,0)),"")</f>
      </c>
      <c r="O68" s="83" t="str">
        <f>AF68*J68</f>
      </c>
      <c r="P68" s="84" t="str">
        <f>AG68*J68</f>
      </c>
      <c r="Q68" s="85" t="str">
        <f>P68*L68*M68*N68</f>
      </c>
      <c r="R68" s="86" t="str">
        <f>O68*K68*M68*N68</f>
      </c>
      <c r="S68" s="87" t="str">
        <f>R68-Q68</f>
      </c>
      <c r="T68" s="34" t="str">
        <f>IFERROR(INDEX('Cost_Components'!$R$2:$R$6,MATCH(E68,'Cost_Components'!$A$2:$A$6,0)),"")</f>
      </c>
      <c r="U68" s="88" t="str">
        <f>IFERROR(INDEX('Cost_Components'!$Q$2:$Q$6,MATCH(E68,'Cost_Components'!$A$2:$A$6,0)),"")</f>
      </c>
      <c r="V68" s="89" t="str">
        <f>1/(1+'Calculation_Assumptions'!$B$5)^(B68-'Calculation_Assumptions'!$B$2)</f>
      </c>
      <c r="W68" s="90" t="str">
        <f>Q68*V68</f>
      </c>
      <c r="X68" s="91" t="str">
        <f>R68*V68</f>
      </c>
      <c r="Y68" s="92" t="str">
        <f>S68*V68</f>
      </c>
      <c r="Z68" s="93" t="str">
        <f>IFERROR(INDEX('Cost_Components'!$T$2:$T$6,MATCH(E68,'Cost_Components'!$A$2:$A$6,0)),"")</f>
      </c>
      <c r="AA68" s="94" t="str">
        <f>IFERROR(INDEX('Cost_Components'!$U$2:$U$6,MATCH(E68,'Cost_Components'!$A$2:$A$6,0)),"")</f>
      </c>
      <c r="AB68" s="95" t="str">
        <f>IFERROR(INDEX('Cost_Components'!$V$2:$V$6,MATCH(E68,'Cost_Components'!$A$2:$A$6,0)),"")</f>
      </c>
      <c r="AC68" s="96" t="str">
        <f>IFERROR(INDEX('Cost_Components'!$M$2:$M$6,MATCH(E68,'Cost_Components'!$A$2:$A$6,0)),"")</f>
      </c>
      <c r="AD68" s="97" t="str">
        <f>IFERROR(INDEX('Cost_Components'!$N$2:$N$6,MATCH(E68,'Cost_Components'!$A$2:$A$6,0)),"")</f>
      </c>
      <c r="AE68" s="34" t="str">
        <f>IFERROR(INDEX('Cost_Components'!$O$2:$O$6,MATCH(E68,'Cost_Components'!$A$2:$A$6,0)),"")</f>
      </c>
      <c r="AF68" s="98" t="n">
        <v>185058492.153747</v>
      </c>
      <c r="AG68" s="99" t="n">
        <v>184832385.454252</v>
      </c>
      <c r="AH68" s="100" t="str">
        <f>IF(H68="shared-count-once",COUNTIFS($A$2:$A$131,A68,$B$2:$B$131,B68,$E$2:$E$131,E68),1)</f>
      </c>
      <c r="AI68" s="101" t="n">
        <v>312936391.858479</v>
      </c>
      <c r="AJ68" s="102" t="str">
        <f>IF(AI68=0,"",Q68/AI68)</f>
      </c>
      <c r="AK68" s="103" t="str">
        <f>IF(AI68=0,"",R68/AI68)</f>
      </c>
      <c r="AL68" s="104" t="str">
        <f>IF(AI68=0,"",S68/AI68)</f>
      </c>
      <c r="AM68" s="105" t="str">
        <f>IF(AI68=0,"",Y68/AI68)</f>
      </c>
    </row>
    <row r="69">
      <c r="A69" t="s">
        <v>115</v>
      </c>
      <c r="B69" s="73" t="n">
        <v>2040</v>
      </c>
      <c r="C69" t="s">
        <v>231</v>
      </c>
      <c r="D69" t="s">
        <v>235</v>
      </c>
      <c r="E69" s="74" t="s">
        <v>282</v>
      </c>
      <c r="F69" s="75" t="s">
        <v>283</v>
      </c>
      <c r="G69" s="76" t="s">
        <v>232</v>
      </c>
      <c r="H69" s="77" t="s">
        <v>239</v>
      </c>
      <c r="I69" s="78" t="s">
        <v>267</v>
      </c>
      <c r="J69" s="79" t="str">
        <f>IFERROR(INDEX('Cost_Components'!$K$2:$K$6,MATCH(E69,'Cost_Components'!$A$2:$A$6,0)),"")</f>
      </c>
      <c r="K69" s="106" t="n">
        <v>0.4165</v>
      </c>
      <c r="L69" s="80" t="str">
        <f>IFERROR(INDEX('Cost_Components'!$S$2:$S$6,MATCH(E69,'Cost_Components'!$A$2:$A$6,0)),"")</f>
      </c>
      <c r="M69" s="81" t="str">
        <f>IFERROR(INDEX('Cost_Components'!$L$2:$L$6,MATCH(E69,'Cost_Components'!$A$2:$A$6,0)),"")</f>
      </c>
      <c r="N69" s="82" t="str">
        <f>IFERROR(INDEX('Cost_Components'!$P$2:$P$6,MATCH(E69,'Cost_Components'!$A$2:$A$6,0)),"")</f>
      </c>
      <c r="O69" s="83" t="str">
        <f>AF69*J69</f>
      </c>
      <c r="P69" s="84" t="str">
        <f>AG69*J69</f>
      </c>
      <c r="Q69" s="85" t="str">
        <f>P69*L69*M69*N69</f>
      </c>
      <c r="R69" s="86" t="str">
        <f>O69*K69*M69*N69</f>
      </c>
      <c r="S69" s="87" t="str">
        <f>R69-Q69</f>
      </c>
      <c r="T69" s="34" t="str">
        <f>IFERROR(INDEX('Cost_Components'!$R$2:$R$6,MATCH(E69,'Cost_Components'!$A$2:$A$6,0)),"")</f>
      </c>
      <c r="U69" s="88" t="str">
        <f>IFERROR(INDEX('Cost_Components'!$Q$2:$Q$6,MATCH(E69,'Cost_Components'!$A$2:$A$6,0)),"")</f>
      </c>
      <c r="V69" s="89" t="str">
        <f>1/(1+'Calculation_Assumptions'!$B$5)^(B69-'Calculation_Assumptions'!$B$2)</f>
      </c>
      <c r="W69" s="90" t="str">
        <f>Q69*V69</f>
      </c>
      <c r="X69" s="91" t="str">
        <f>R69*V69</f>
      </c>
      <c r="Y69" s="92" t="str">
        <f>S69*V69</f>
      </c>
      <c r="Z69" s="93" t="str">
        <f>IFERROR(INDEX('Cost_Components'!$T$2:$T$6,MATCH(E69,'Cost_Components'!$A$2:$A$6,0)),"")</f>
      </c>
      <c r="AA69" s="94" t="str">
        <f>IFERROR(INDEX('Cost_Components'!$U$2:$U$6,MATCH(E69,'Cost_Components'!$A$2:$A$6,0)),"")</f>
      </c>
      <c r="AB69" s="95" t="str">
        <f>IFERROR(INDEX('Cost_Components'!$V$2:$V$6,MATCH(E69,'Cost_Components'!$A$2:$A$6,0)),"")</f>
      </c>
      <c r="AC69" s="96" t="str">
        <f>IFERROR(INDEX('Cost_Components'!$M$2:$M$6,MATCH(E69,'Cost_Components'!$A$2:$A$6,0)),"")</f>
      </c>
      <c r="AD69" s="97" t="str">
        <f>IFERROR(INDEX('Cost_Components'!$N$2:$N$6,MATCH(E69,'Cost_Components'!$A$2:$A$6,0)),"")</f>
      </c>
      <c r="AE69" s="34" t="str">
        <f>IFERROR(INDEX('Cost_Components'!$O$2:$O$6,MATCH(E69,'Cost_Components'!$A$2:$A$6,0)),"")</f>
      </c>
      <c r="AF69" s="98" t="n">
        <v>187164059.901849</v>
      </c>
      <c r="AG69" s="99" t="n">
        <v>186873471.103366</v>
      </c>
      <c r="AH69" s="100" t="str">
        <f>IF(H69="shared-count-once",COUNTIFS($A$2:$A$131,A69,$B$2:$B$131,B69,$E$2:$E$131,E69),1)</f>
      </c>
      <c r="AI69" s="101" t="n">
        <v>314265537.410829</v>
      </c>
      <c r="AJ69" s="102" t="str">
        <f>IF(AI69=0,"",Q69/AI69)</f>
      </c>
      <c r="AK69" s="103" t="str">
        <f>IF(AI69=0,"",R69/AI69)</f>
      </c>
      <c r="AL69" s="104" t="str">
        <f>IF(AI69=0,"",S69/AI69)</f>
      </c>
      <c r="AM69" s="105" t="str">
        <f>IF(AI69=0,"",Y69/AI69)</f>
      </c>
    </row>
    <row r="70">
      <c r="A70" t="s">
        <v>115</v>
      </c>
      <c r="B70" s="73" t="n">
        <v>2041</v>
      </c>
      <c r="C70" t="s">
        <v>231</v>
      </c>
      <c r="D70" t="s">
        <v>235</v>
      </c>
      <c r="E70" s="74" t="s">
        <v>282</v>
      </c>
      <c r="F70" s="75" t="s">
        <v>283</v>
      </c>
      <c r="G70" s="76" t="s">
        <v>232</v>
      </c>
      <c r="H70" s="77" t="s">
        <v>239</v>
      </c>
      <c r="I70" s="78" t="s">
        <v>267</v>
      </c>
      <c r="J70" s="79" t="str">
        <f>IFERROR(INDEX('Cost_Components'!$K$2:$K$6,MATCH(E70,'Cost_Components'!$A$2:$A$6,0)),"")</f>
      </c>
      <c r="K70" s="106" t="n">
        <v>0.4165</v>
      </c>
      <c r="L70" s="80" t="str">
        <f>IFERROR(INDEX('Cost_Components'!$S$2:$S$6,MATCH(E70,'Cost_Components'!$A$2:$A$6,0)),"")</f>
      </c>
      <c r="M70" s="81" t="str">
        <f>IFERROR(INDEX('Cost_Components'!$L$2:$L$6,MATCH(E70,'Cost_Components'!$A$2:$A$6,0)),"")</f>
      </c>
      <c r="N70" s="82" t="str">
        <f>IFERROR(INDEX('Cost_Components'!$P$2:$P$6,MATCH(E70,'Cost_Components'!$A$2:$A$6,0)),"")</f>
      </c>
      <c r="O70" s="83" t="str">
        <f>AF70*J70</f>
      </c>
      <c r="P70" s="84" t="str">
        <f>AG70*J70</f>
      </c>
      <c r="Q70" s="85" t="str">
        <f>P70*L70*M70*N70</f>
      </c>
      <c r="R70" s="86" t="str">
        <f>O70*K70*M70*N70</f>
      </c>
      <c r="S70" s="87" t="str">
        <f>R70-Q70</f>
      </c>
      <c r="T70" s="34" t="str">
        <f>IFERROR(INDEX('Cost_Components'!$R$2:$R$6,MATCH(E70,'Cost_Components'!$A$2:$A$6,0)),"")</f>
      </c>
      <c r="U70" s="88" t="str">
        <f>IFERROR(INDEX('Cost_Components'!$Q$2:$Q$6,MATCH(E70,'Cost_Components'!$A$2:$A$6,0)),"")</f>
      </c>
      <c r="V70" s="89" t="str">
        <f>1/(1+'Calculation_Assumptions'!$B$5)^(B70-'Calculation_Assumptions'!$B$2)</f>
      </c>
      <c r="W70" s="90" t="str">
        <f>Q70*V70</f>
      </c>
      <c r="X70" s="91" t="str">
        <f>R70*V70</f>
      </c>
      <c r="Y70" s="92" t="str">
        <f>S70*V70</f>
      </c>
      <c r="Z70" s="93" t="str">
        <f>IFERROR(INDEX('Cost_Components'!$T$2:$T$6,MATCH(E70,'Cost_Components'!$A$2:$A$6,0)),"")</f>
      </c>
      <c r="AA70" s="94" t="str">
        <f>IFERROR(INDEX('Cost_Components'!$U$2:$U$6,MATCH(E70,'Cost_Components'!$A$2:$A$6,0)),"")</f>
      </c>
      <c r="AB70" s="95" t="str">
        <f>IFERROR(INDEX('Cost_Components'!$V$2:$V$6,MATCH(E70,'Cost_Components'!$A$2:$A$6,0)),"")</f>
      </c>
      <c r="AC70" s="96" t="str">
        <f>IFERROR(INDEX('Cost_Components'!$M$2:$M$6,MATCH(E70,'Cost_Components'!$A$2:$A$6,0)),"")</f>
      </c>
      <c r="AD70" s="97" t="str">
        <f>IFERROR(INDEX('Cost_Components'!$N$2:$N$6,MATCH(E70,'Cost_Components'!$A$2:$A$6,0)),"")</f>
      </c>
      <c r="AE70" s="34" t="str">
        <f>IFERROR(INDEX('Cost_Components'!$O$2:$O$6,MATCH(E70,'Cost_Components'!$A$2:$A$6,0)),"")</f>
      </c>
      <c r="AF70" s="98" t="n">
        <v>189355296.271455</v>
      </c>
      <c r="AG70" s="99" t="n">
        <v>188934400.22828</v>
      </c>
      <c r="AH70" s="100" t="str">
        <f>IF(H70="shared-count-once",COUNTIFS($A$2:$A$131,A70,$B$2:$B$131,B70,$E$2:$E$131,E70),1)</f>
      </c>
      <c r="AI70" s="101" t="n">
        <v>315525215.312548</v>
      </c>
      <c r="AJ70" s="102" t="str">
        <f>IF(AI70=0,"",Q70/AI70)</f>
      </c>
      <c r="AK70" s="103" t="str">
        <f>IF(AI70=0,"",R70/AI70)</f>
      </c>
      <c r="AL70" s="104" t="str">
        <f>IF(AI70=0,"",S70/AI70)</f>
      </c>
      <c r="AM70" s="105" t="str">
        <f>IF(AI70=0,"",Y70/AI70)</f>
      </c>
    </row>
    <row r="71">
      <c r="A71" t="s">
        <v>115</v>
      </c>
      <c r="B71" s="73" t="n">
        <v>2042</v>
      </c>
      <c r="C71" t="s">
        <v>231</v>
      </c>
      <c r="D71" t="s">
        <v>235</v>
      </c>
      <c r="E71" s="74" t="s">
        <v>282</v>
      </c>
      <c r="F71" s="75" t="s">
        <v>283</v>
      </c>
      <c r="G71" s="76" t="s">
        <v>232</v>
      </c>
      <c r="H71" s="77" t="s">
        <v>239</v>
      </c>
      <c r="I71" s="78" t="s">
        <v>267</v>
      </c>
      <c r="J71" s="79" t="str">
        <f>IFERROR(INDEX('Cost_Components'!$K$2:$K$6,MATCH(E71,'Cost_Components'!$A$2:$A$6,0)),"")</f>
      </c>
      <c r="K71" s="106" t="n">
        <v>0.4165</v>
      </c>
      <c r="L71" s="80" t="str">
        <f>IFERROR(INDEX('Cost_Components'!$S$2:$S$6,MATCH(E71,'Cost_Components'!$A$2:$A$6,0)),"")</f>
      </c>
      <c r="M71" s="81" t="str">
        <f>IFERROR(INDEX('Cost_Components'!$L$2:$L$6,MATCH(E71,'Cost_Components'!$A$2:$A$6,0)),"")</f>
      </c>
      <c r="N71" s="82" t="str">
        <f>IFERROR(INDEX('Cost_Components'!$P$2:$P$6,MATCH(E71,'Cost_Components'!$A$2:$A$6,0)),"")</f>
      </c>
      <c r="O71" s="83" t="str">
        <f>AF71*J71</f>
      </c>
      <c r="P71" s="84" t="str">
        <f>AG71*J71</f>
      </c>
      <c r="Q71" s="85" t="str">
        <f>P71*L71*M71*N71</f>
      </c>
      <c r="R71" s="86" t="str">
        <f>O71*K71*M71*N71</f>
      </c>
      <c r="S71" s="87" t="str">
        <f>R71-Q71</f>
      </c>
      <c r="T71" s="34" t="str">
        <f>IFERROR(INDEX('Cost_Components'!$R$2:$R$6,MATCH(E71,'Cost_Components'!$A$2:$A$6,0)),"")</f>
      </c>
      <c r="U71" s="88" t="str">
        <f>IFERROR(INDEX('Cost_Components'!$Q$2:$Q$6,MATCH(E71,'Cost_Components'!$A$2:$A$6,0)),"")</f>
      </c>
      <c r="V71" s="89" t="str">
        <f>1/(1+'Calculation_Assumptions'!$B$5)^(B71-'Calculation_Assumptions'!$B$2)</f>
      </c>
      <c r="W71" s="90" t="str">
        <f>Q71*V71</f>
      </c>
      <c r="X71" s="91" t="str">
        <f>R71*V71</f>
      </c>
      <c r="Y71" s="92" t="str">
        <f>S71*V71</f>
      </c>
      <c r="Z71" s="93" t="str">
        <f>IFERROR(INDEX('Cost_Components'!$T$2:$T$6,MATCH(E71,'Cost_Components'!$A$2:$A$6,0)),"")</f>
      </c>
      <c r="AA71" s="94" t="str">
        <f>IFERROR(INDEX('Cost_Components'!$U$2:$U$6,MATCH(E71,'Cost_Components'!$A$2:$A$6,0)),"")</f>
      </c>
      <c r="AB71" s="95" t="str">
        <f>IFERROR(INDEX('Cost_Components'!$V$2:$V$6,MATCH(E71,'Cost_Components'!$A$2:$A$6,0)),"")</f>
      </c>
      <c r="AC71" s="96" t="str">
        <f>IFERROR(INDEX('Cost_Components'!$M$2:$M$6,MATCH(E71,'Cost_Components'!$A$2:$A$6,0)),"")</f>
      </c>
      <c r="AD71" s="97" t="str">
        <f>IFERROR(INDEX('Cost_Components'!$N$2:$N$6,MATCH(E71,'Cost_Components'!$A$2:$A$6,0)),"")</f>
      </c>
      <c r="AE71" s="34" t="str">
        <f>IFERROR(INDEX('Cost_Components'!$O$2:$O$6,MATCH(E71,'Cost_Components'!$A$2:$A$6,0)),"")</f>
      </c>
      <c r="AF71" s="98" t="n">
        <v>191467042.208964</v>
      </c>
      <c r="AG71" s="99" t="n">
        <v>191020494.904652</v>
      </c>
      <c r="AH71" s="100" t="str">
        <f>IF(H71="shared-count-once",COUNTIFS($A$2:$A$131,A71,$B$2:$B$131,B71,$E$2:$E$131,E71),1)</f>
      </c>
      <c r="AI71" s="101" t="n">
        <v>316707694.211882</v>
      </c>
      <c r="AJ71" s="102" t="str">
        <f>IF(AI71=0,"",Q71/AI71)</f>
      </c>
      <c r="AK71" s="103" t="str">
        <f>IF(AI71=0,"",R71/AI71)</f>
      </c>
      <c r="AL71" s="104" t="str">
        <f>IF(AI71=0,"",S71/AI71)</f>
      </c>
      <c r="AM71" s="105" t="str">
        <f>IF(AI71=0,"",Y71/AI71)</f>
      </c>
    </row>
    <row r="72">
      <c r="A72" t="s">
        <v>115</v>
      </c>
      <c r="B72" s="73" t="n">
        <v>2043</v>
      </c>
      <c r="C72" t="s">
        <v>231</v>
      </c>
      <c r="D72" t="s">
        <v>235</v>
      </c>
      <c r="E72" s="74" t="s">
        <v>282</v>
      </c>
      <c r="F72" s="75" t="s">
        <v>283</v>
      </c>
      <c r="G72" s="76" t="s">
        <v>232</v>
      </c>
      <c r="H72" s="77" t="s">
        <v>239</v>
      </c>
      <c r="I72" s="78" t="s">
        <v>267</v>
      </c>
      <c r="J72" s="79" t="str">
        <f>IFERROR(INDEX('Cost_Components'!$K$2:$K$6,MATCH(E72,'Cost_Components'!$A$2:$A$6,0)),"")</f>
      </c>
      <c r="K72" s="106" t="n">
        <v>0.4165</v>
      </c>
      <c r="L72" s="80" t="str">
        <f>IFERROR(INDEX('Cost_Components'!$S$2:$S$6,MATCH(E72,'Cost_Components'!$A$2:$A$6,0)),"")</f>
      </c>
      <c r="M72" s="81" t="str">
        <f>IFERROR(INDEX('Cost_Components'!$L$2:$L$6,MATCH(E72,'Cost_Components'!$A$2:$A$6,0)),"")</f>
      </c>
      <c r="N72" s="82" t="str">
        <f>IFERROR(INDEX('Cost_Components'!$P$2:$P$6,MATCH(E72,'Cost_Components'!$A$2:$A$6,0)),"")</f>
      </c>
      <c r="O72" s="83" t="str">
        <f>AF72*J72</f>
      </c>
      <c r="P72" s="84" t="str">
        <f>AG72*J72</f>
      </c>
      <c r="Q72" s="85" t="str">
        <f>P72*L72*M72*N72</f>
      </c>
      <c r="R72" s="86" t="str">
        <f>O72*K72*M72*N72</f>
      </c>
      <c r="S72" s="87" t="str">
        <f>R72-Q72</f>
      </c>
      <c r="T72" s="34" t="str">
        <f>IFERROR(INDEX('Cost_Components'!$R$2:$R$6,MATCH(E72,'Cost_Components'!$A$2:$A$6,0)),"")</f>
      </c>
      <c r="U72" s="88" t="str">
        <f>IFERROR(INDEX('Cost_Components'!$Q$2:$Q$6,MATCH(E72,'Cost_Components'!$A$2:$A$6,0)),"")</f>
      </c>
      <c r="V72" s="89" t="str">
        <f>1/(1+'Calculation_Assumptions'!$B$5)^(B72-'Calculation_Assumptions'!$B$2)</f>
      </c>
      <c r="W72" s="90" t="str">
        <f>Q72*V72</f>
      </c>
      <c r="X72" s="91" t="str">
        <f>R72*V72</f>
      </c>
      <c r="Y72" s="92" t="str">
        <f>S72*V72</f>
      </c>
      <c r="Z72" s="93" t="str">
        <f>IFERROR(INDEX('Cost_Components'!$T$2:$T$6,MATCH(E72,'Cost_Components'!$A$2:$A$6,0)),"")</f>
      </c>
      <c r="AA72" s="94" t="str">
        <f>IFERROR(INDEX('Cost_Components'!$U$2:$U$6,MATCH(E72,'Cost_Components'!$A$2:$A$6,0)),"")</f>
      </c>
      <c r="AB72" s="95" t="str">
        <f>IFERROR(INDEX('Cost_Components'!$V$2:$V$6,MATCH(E72,'Cost_Components'!$A$2:$A$6,0)),"")</f>
      </c>
      <c r="AC72" s="96" t="str">
        <f>IFERROR(INDEX('Cost_Components'!$M$2:$M$6,MATCH(E72,'Cost_Components'!$A$2:$A$6,0)),"")</f>
      </c>
      <c r="AD72" s="97" t="str">
        <f>IFERROR(INDEX('Cost_Components'!$N$2:$N$6,MATCH(E72,'Cost_Components'!$A$2:$A$6,0)),"")</f>
      </c>
      <c r="AE72" s="34" t="str">
        <f>IFERROR(INDEX('Cost_Components'!$O$2:$O$6,MATCH(E72,'Cost_Components'!$A$2:$A$6,0)),"")</f>
      </c>
      <c r="AF72" s="98" t="n">
        <v>193470484.035677</v>
      </c>
      <c r="AG72" s="99" t="n">
        <v>192936206.600428</v>
      </c>
      <c r="AH72" s="100" t="str">
        <f>IF(H72="shared-count-once",COUNTIFS($A$2:$A$131,A72,$B$2:$B$131,B72,$E$2:$E$131,E72),1)</f>
      </c>
      <c r="AI72" s="101" t="n">
        <v>317814114.067152</v>
      </c>
      <c r="AJ72" s="102" t="str">
        <f>IF(AI72=0,"",Q72/AI72)</f>
      </c>
      <c r="AK72" s="103" t="str">
        <f>IF(AI72=0,"",R72/AI72)</f>
      </c>
      <c r="AL72" s="104" t="str">
        <f>IF(AI72=0,"",S72/AI72)</f>
      </c>
      <c r="AM72" s="105" t="str">
        <f>IF(AI72=0,"",Y72/AI72)</f>
      </c>
    </row>
    <row r="73">
      <c r="A73" t="s">
        <v>115</v>
      </c>
      <c r="B73" s="73" t="n">
        <v>2044</v>
      </c>
      <c r="C73" t="s">
        <v>231</v>
      </c>
      <c r="D73" t="s">
        <v>235</v>
      </c>
      <c r="E73" s="74" t="s">
        <v>282</v>
      </c>
      <c r="F73" s="75" t="s">
        <v>283</v>
      </c>
      <c r="G73" s="76" t="s">
        <v>232</v>
      </c>
      <c r="H73" s="77" t="s">
        <v>239</v>
      </c>
      <c r="I73" s="78" t="s">
        <v>267</v>
      </c>
      <c r="J73" s="79" t="str">
        <f>IFERROR(INDEX('Cost_Components'!$K$2:$K$6,MATCH(E73,'Cost_Components'!$A$2:$A$6,0)),"")</f>
      </c>
      <c r="K73" s="106" t="n">
        <v>0.4165</v>
      </c>
      <c r="L73" s="80" t="str">
        <f>IFERROR(INDEX('Cost_Components'!$S$2:$S$6,MATCH(E73,'Cost_Components'!$A$2:$A$6,0)),"")</f>
      </c>
      <c r="M73" s="81" t="str">
        <f>IFERROR(INDEX('Cost_Components'!$L$2:$L$6,MATCH(E73,'Cost_Components'!$A$2:$A$6,0)),"")</f>
      </c>
      <c r="N73" s="82" t="str">
        <f>IFERROR(INDEX('Cost_Components'!$P$2:$P$6,MATCH(E73,'Cost_Components'!$A$2:$A$6,0)),"")</f>
      </c>
      <c r="O73" s="83" t="str">
        <f>AF73*J73</f>
      </c>
      <c r="P73" s="84" t="str">
        <f>AG73*J73</f>
      </c>
      <c r="Q73" s="85" t="str">
        <f>P73*L73*M73*N73</f>
      </c>
      <c r="R73" s="86" t="str">
        <f>O73*K73*M73*N73</f>
      </c>
      <c r="S73" s="87" t="str">
        <f>R73-Q73</f>
      </c>
      <c r="T73" s="34" t="str">
        <f>IFERROR(INDEX('Cost_Components'!$R$2:$R$6,MATCH(E73,'Cost_Components'!$A$2:$A$6,0)),"")</f>
      </c>
      <c r="U73" s="88" t="str">
        <f>IFERROR(INDEX('Cost_Components'!$Q$2:$Q$6,MATCH(E73,'Cost_Components'!$A$2:$A$6,0)),"")</f>
      </c>
      <c r="V73" s="89" t="str">
        <f>1/(1+'Calculation_Assumptions'!$B$5)^(B73-'Calculation_Assumptions'!$B$2)</f>
      </c>
      <c r="W73" s="90" t="str">
        <f>Q73*V73</f>
      </c>
      <c r="X73" s="91" t="str">
        <f>R73*V73</f>
      </c>
      <c r="Y73" s="92" t="str">
        <f>S73*V73</f>
      </c>
      <c r="Z73" s="93" t="str">
        <f>IFERROR(INDEX('Cost_Components'!$T$2:$T$6,MATCH(E73,'Cost_Components'!$A$2:$A$6,0)),"")</f>
      </c>
      <c r="AA73" s="94" t="str">
        <f>IFERROR(INDEX('Cost_Components'!$U$2:$U$6,MATCH(E73,'Cost_Components'!$A$2:$A$6,0)),"")</f>
      </c>
      <c r="AB73" s="95" t="str">
        <f>IFERROR(INDEX('Cost_Components'!$V$2:$V$6,MATCH(E73,'Cost_Components'!$A$2:$A$6,0)),"")</f>
      </c>
      <c r="AC73" s="96" t="str">
        <f>IFERROR(INDEX('Cost_Components'!$M$2:$M$6,MATCH(E73,'Cost_Components'!$A$2:$A$6,0)),"")</f>
      </c>
      <c r="AD73" s="97" t="str">
        <f>IFERROR(INDEX('Cost_Components'!$N$2:$N$6,MATCH(E73,'Cost_Components'!$A$2:$A$6,0)),"")</f>
      </c>
      <c r="AE73" s="34" t="str">
        <f>IFERROR(INDEX('Cost_Components'!$O$2:$O$6,MATCH(E73,'Cost_Components'!$A$2:$A$6,0)),"")</f>
      </c>
      <c r="AF73" s="98" t="n">
        <v>195367093.935456</v>
      </c>
      <c r="AG73" s="99" t="n">
        <v>194740839.86655</v>
      </c>
      <c r="AH73" s="100" t="str">
        <f>IF(H73="shared-count-once",COUNTIFS($A$2:$A$131,A73,$B$2:$B$131,B73,$E$2:$E$131,E73),1)</f>
      </c>
      <c r="AI73" s="101" t="n">
        <v>318840890.732156</v>
      </c>
      <c r="AJ73" s="102" t="str">
        <f>IF(AI73=0,"",Q73/AI73)</f>
      </c>
      <c r="AK73" s="103" t="str">
        <f>IF(AI73=0,"",R73/AI73)</f>
      </c>
      <c r="AL73" s="104" t="str">
        <f>IF(AI73=0,"",S73/AI73)</f>
      </c>
      <c r="AM73" s="105" t="str">
        <f>IF(AI73=0,"",Y73/AI73)</f>
      </c>
    </row>
    <row r="74">
      <c r="A74" t="s">
        <v>115</v>
      </c>
      <c r="B74" s="73" t="n">
        <v>2045</v>
      </c>
      <c r="C74" t="s">
        <v>231</v>
      </c>
      <c r="D74" t="s">
        <v>235</v>
      </c>
      <c r="E74" s="74" t="s">
        <v>282</v>
      </c>
      <c r="F74" s="75" t="s">
        <v>283</v>
      </c>
      <c r="G74" s="76" t="s">
        <v>232</v>
      </c>
      <c r="H74" s="77" t="s">
        <v>239</v>
      </c>
      <c r="I74" s="78" t="s">
        <v>267</v>
      </c>
      <c r="J74" s="79" t="str">
        <f>IFERROR(INDEX('Cost_Components'!$K$2:$K$6,MATCH(E74,'Cost_Components'!$A$2:$A$6,0)),"")</f>
      </c>
      <c r="K74" s="106" t="n">
        <v>0.4165</v>
      </c>
      <c r="L74" s="80" t="str">
        <f>IFERROR(INDEX('Cost_Components'!$S$2:$S$6,MATCH(E74,'Cost_Components'!$A$2:$A$6,0)),"")</f>
      </c>
      <c r="M74" s="81" t="str">
        <f>IFERROR(INDEX('Cost_Components'!$L$2:$L$6,MATCH(E74,'Cost_Components'!$A$2:$A$6,0)),"")</f>
      </c>
      <c r="N74" s="82" t="str">
        <f>IFERROR(INDEX('Cost_Components'!$P$2:$P$6,MATCH(E74,'Cost_Components'!$A$2:$A$6,0)),"")</f>
      </c>
      <c r="O74" s="83" t="str">
        <f>AF74*J74</f>
      </c>
      <c r="P74" s="84" t="str">
        <f>AG74*J74</f>
      </c>
      <c r="Q74" s="85" t="str">
        <f>P74*L74*M74*N74</f>
      </c>
      <c r="R74" s="86" t="str">
        <f>O74*K74*M74*N74</f>
      </c>
      <c r="S74" s="87" t="str">
        <f>R74-Q74</f>
      </c>
      <c r="T74" s="34" t="str">
        <f>IFERROR(INDEX('Cost_Components'!$R$2:$R$6,MATCH(E74,'Cost_Components'!$A$2:$A$6,0)),"")</f>
      </c>
      <c r="U74" s="88" t="str">
        <f>IFERROR(INDEX('Cost_Components'!$Q$2:$Q$6,MATCH(E74,'Cost_Components'!$A$2:$A$6,0)),"")</f>
      </c>
      <c r="V74" s="89" t="str">
        <f>1/(1+'Calculation_Assumptions'!$B$5)^(B74-'Calculation_Assumptions'!$B$2)</f>
      </c>
      <c r="W74" s="90" t="str">
        <f>Q74*V74</f>
      </c>
      <c r="X74" s="91" t="str">
        <f>R74*V74</f>
      </c>
      <c r="Y74" s="92" t="str">
        <f>S74*V74</f>
      </c>
      <c r="Z74" s="93" t="str">
        <f>IFERROR(INDEX('Cost_Components'!$T$2:$T$6,MATCH(E74,'Cost_Components'!$A$2:$A$6,0)),"")</f>
      </c>
      <c r="AA74" s="94" t="str">
        <f>IFERROR(INDEX('Cost_Components'!$U$2:$U$6,MATCH(E74,'Cost_Components'!$A$2:$A$6,0)),"")</f>
      </c>
      <c r="AB74" s="95" t="str">
        <f>IFERROR(INDEX('Cost_Components'!$V$2:$V$6,MATCH(E74,'Cost_Components'!$A$2:$A$6,0)),"")</f>
      </c>
      <c r="AC74" s="96" t="str">
        <f>IFERROR(INDEX('Cost_Components'!$M$2:$M$6,MATCH(E74,'Cost_Components'!$A$2:$A$6,0)),"")</f>
      </c>
      <c r="AD74" s="97" t="str">
        <f>IFERROR(INDEX('Cost_Components'!$N$2:$N$6,MATCH(E74,'Cost_Components'!$A$2:$A$6,0)),"")</f>
      </c>
      <c r="AE74" s="34" t="str">
        <f>IFERROR(INDEX('Cost_Components'!$O$2:$O$6,MATCH(E74,'Cost_Components'!$A$2:$A$6,0)),"")</f>
      </c>
      <c r="AF74" s="98" t="n">
        <v>197135810.021916</v>
      </c>
      <c r="AG74" s="99" t="n">
        <v>196414899.064498</v>
      </c>
      <c r="AH74" s="100" t="str">
        <f>IF(H74="shared-count-once",COUNTIFS($A$2:$A$131,A74,$B$2:$B$131,B74,$E$2:$E$131,E74),1)</f>
      </c>
      <c r="AI74" s="101" t="n">
        <v>319784682.33108</v>
      </c>
      <c r="AJ74" s="102" t="str">
        <f>IF(AI74=0,"",Q74/AI74)</f>
      </c>
      <c r="AK74" s="103" t="str">
        <f>IF(AI74=0,"",R74/AI74)</f>
      </c>
      <c r="AL74" s="104" t="str">
        <f>IF(AI74=0,"",S74/AI74)</f>
      </c>
      <c r="AM74" s="105" t="str">
        <f>IF(AI74=0,"",Y74/AI74)</f>
      </c>
    </row>
    <row r="75">
      <c r="A75" t="s">
        <v>115</v>
      </c>
      <c r="B75" s="73" t="n">
        <v>2046</v>
      </c>
      <c r="C75" t="s">
        <v>231</v>
      </c>
      <c r="D75" t="s">
        <v>235</v>
      </c>
      <c r="E75" s="74" t="s">
        <v>282</v>
      </c>
      <c r="F75" s="75" t="s">
        <v>283</v>
      </c>
      <c r="G75" s="76" t="s">
        <v>232</v>
      </c>
      <c r="H75" s="77" t="s">
        <v>239</v>
      </c>
      <c r="I75" s="78" t="s">
        <v>267</v>
      </c>
      <c r="J75" s="79" t="str">
        <f>IFERROR(INDEX('Cost_Components'!$K$2:$K$6,MATCH(E75,'Cost_Components'!$A$2:$A$6,0)),"")</f>
      </c>
      <c r="K75" s="106" t="n">
        <v>0.4165</v>
      </c>
      <c r="L75" s="80" t="str">
        <f>IFERROR(INDEX('Cost_Components'!$S$2:$S$6,MATCH(E75,'Cost_Components'!$A$2:$A$6,0)),"")</f>
      </c>
      <c r="M75" s="81" t="str">
        <f>IFERROR(INDEX('Cost_Components'!$L$2:$L$6,MATCH(E75,'Cost_Components'!$A$2:$A$6,0)),"")</f>
      </c>
      <c r="N75" s="82" t="str">
        <f>IFERROR(INDEX('Cost_Components'!$P$2:$P$6,MATCH(E75,'Cost_Components'!$A$2:$A$6,0)),"")</f>
      </c>
      <c r="O75" s="83" t="str">
        <f>AF75*J75</f>
      </c>
      <c r="P75" s="84" t="str">
        <f>AG75*J75</f>
      </c>
      <c r="Q75" s="85" t="str">
        <f>P75*L75*M75*N75</f>
      </c>
      <c r="R75" s="86" t="str">
        <f>O75*K75*M75*N75</f>
      </c>
      <c r="S75" s="87" t="str">
        <f>R75-Q75</f>
      </c>
      <c r="T75" s="34" t="str">
        <f>IFERROR(INDEX('Cost_Components'!$R$2:$R$6,MATCH(E75,'Cost_Components'!$A$2:$A$6,0)),"")</f>
      </c>
      <c r="U75" s="88" t="str">
        <f>IFERROR(INDEX('Cost_Components'!$Q$2:$Q$6,MATCH(E75,'Cost_Components'!$A$2:$A$6,0)),"")</f>
      </c>
      <c r="V75" s="89" t="str">
        <f>1/(1+'Calculation_Assumptions'!$B$5)^(B75-'Calculation_Assumptions'!$B$2)</f>
      </c>
      <c r="W75" s="90" t="str">
        <f>Q75*V75</f>
      </c>
      <c r="X75" s="91" t="str">
        <f>R75*V75</f>
      </c>
      <c r="Y75" s="92" t="str">
        <f>S75*V75</f>
      </c>
      <c r="Z75" s="93" t="str">
        <f>IFERROR(INDEX('Cost_Components'!$T$2:$T$6,MATCH(E75,'Cost_Components'!$A$2:$A$6,0)),"")</f>
      </c>
      <c r="AA75" s="94" t="str">
        <f>IFERROR(INDEX('Cost_Components'!$U$2:$U$6,MATCH(E75,'Cost_Components'!$A$2:$A$6,0)),"")</f>
      </c>
      <c r="AB75" s="95" t="str">
        <f>IFERROR(INDEX('Cost_Components'!$V$2:$V$6,MATCH(E75,'Cost_Components'!$A$2:$A$6,0)),"")</f>
      </c>
      <c r="AC75" s="96" t="str">
        <f>IFERROR(INDEX('Cost_Components'!$M$2:$M$6,MATCH(E75,'Cost_Components'!$A$2:$A$6,0)),"")</f>
      </c>
      <c r="AD75" s="97" t="str">
        <f>IFERROR(INDEX('Cost_Components'!$N$2:$N$6,MATCH(E75,'Cost_Components'!$A$2:$A$6,0)),"")</f>
      </c>
      <c r="AE75" s="34" t="str">
        <f>IFERROR(INDEX('Cost_Components'!$O$2:$O$6,MATCH(E75,'Cost_Components'!$A$2:$A$6,0)),"")</f>
      </c>
      <c r="AF75" s="98" t="n">
        <v>198774504.006309</v>
      </c>
      <c r="AG75" s="99" t="n">
        <v>197983069.14574</v>
      </c>
      <c r="AH75" s="100" t="str">
        <f>IF(H75="shared-count-once",COUNTIFS($A$2:$A$131,A75,$B$2:$B$131,B75,$E$2:$E$131,E75),1)</f>
      </c>
      <c r="AI75" s="101" t="n">
        <v>320645615.981408</v>
      </c>
      <c r="AJ75" s="102" t="str">
        <f>IF(AI75=0,"",Q75/AI75)</f>
      </c>
      <c r="AK75" s="103" t="str">
        <f>IF(AI75=0,"",R75/AI75)</f>
      </c>
      <c r="AL75" s="104" t="str">
        <f>IF(AI75=0,"",S75/AI75)</f>
      </c>
      <c r="AM75" s="105" t="str">
        <f>IF(AI75=0,"",Y75/AI75)</f>
      </c>
    </row>
    <row r="76">
      <c r="A76" t="s">
        <v>115</v>
      </c>
      <c r="B76" s="73" t="n">
        <v>2047</v>
      </c>
      <c r="C76" t="s">
        <v>231</v>
      </c>
      <c r="D76" t="s">
        <v>235</v>
      </c>
      <c r="E76" s="74" t="s">
        <v>282</v>
      </c>
      <c r="F76" s="75" t="s">
        <v>283</v>
      </c>
      <c r="G76" s="76" t="s">
        <v>232</v>
      </c>
      <c r="H76" s="77" t="s">
        <v>239</v>
      </c>
      <c r="I76" s="78" t="s">
        <v>267</v>
      </c>
      <c r="J76" s="79" t="str">
        <f>IFERROR(INDEX('Cost_Components'!$K$2:$K$6,MATCH(E76,'Cost_Components'!$A$2:$A$6,0)),"")</f>
      </c>
      <c r="K76" s="106" t="n">
        <v>0.4165</v>
      </c>
      <c r="L76" s="80" t="str">
        <f>IFERROR(INDEX('Cost_Components'!$S$2:$S$6,MATCH(E76,'Cost_Components'!$A$2:$A$6,0)),"")</f>
      </c>
      <c r="M76" s="81" t="str">
        <f>IFERROR(INDEX('Cost_Components'!$L$2:$L$6,MATCH(E76,'Cost_Components'!$A$2:$A$6,0)),"")</f>
      </c>
      <c r="N76" s="82" t="str">
        <f>IFERROR(INDEX('Cost_Components'!$P$2:$P$6,MATCH(E76,'Cost_Components'!$A$2:$A$6,0)),"")</f>
      </c>
      <c r="O76" s="83" t="str">
        <f>AF76*J76</f>
      </c>
      <c r="P76" s="84" t="str">
        <f>AG76*J76</f>
      </c>
      <c r="Q76" s="85" t="str">
        <f>P76*L76*M76*N76</f>
      </c>
      <c r="R76" s="86" t="str">
        <f>O76*K76*M76*N76</f>
      </c>
      <c r="S76" s="87" t="str">
        <f>R76-Q76</f>
      </c>
      <c r="T76" s="34" t="str">
        <f>IFERROR(INDEX('Cost_Components'!$R$2:$R$6,MATCH(E76,'Cost_Components'!$A$2:$A$6,0)),"")</f>
      </c>
      <c r="U76" s="88" t="str">
        <f>IFERROR(INDEX('Cost_Components'!$Q$2:$Q$6,MATCH(E76,'Cost_Components'!$A$2:$A$6,0)),"")</f>
      </c>
      <c r="V76" s="89" t="str">
        <f>1/(1+'Calculation_Assumptions'!$B$5)^(B76-'Calculation_Assumptions'!$B$2)</f>
      </c>
      <c r="W76" s="90" t="str">
        <f>Q76*V76</f>
      </c>
      <c r="X76" s="91" t="str">
        <f>R76*V76</f>
      </c>
      <c r="Y76" s="92" t="str">
        <f>S76*V76</f>
      </c>
      <c r="Z76" s="93" t="str">
        <f>IFERROR(INDEX('Cost_Components'!$T$2:$T$6,MATCH(E76,'Cost_Components'!$A$2:$A$6,0)),"")</f>
      </c>
      <c r="AA76" s="94" t="str">
        <f>IFERROR(INDEX('Cost_Components'!$U$2:$U$6,MATCH(E76,'Cost_Components'!$A$2:$A$6,0)),"")</f>
      </c>
      <c r="AB76" s="95" t="str">
        <f>IFERROR(INDEX('Cost_Components'!$V$2:$V$6,MATCH(E76,'Cost_Components'!$A$2:$A$6,0)),"")</f>
      </c>
      <c r="AC76" s="96" t="str">
        <f>IFERROR(INDEX('Cost_Components'!$M$2:$M$6,MATCH(E76,'Cost_Components'!$A$2:$A$6,0)),"")</f>
      </c>
      <c r="AD76" s="97" t="str">
        <f>IFERROR(INDEX('Cost_Components'!$N$2:$N$6,MATCH(E76,'Cost_Components'!$A$2:$A$6,0)),"")</f>
      </c>
      <c r="AE76" s="34" t="str">
        <f>IFERROR(INDEX('Cost_Components'!$O$2:$O$6,MATCH(E76,'Cost_Components'!$A$2:$A$6,0)),"")</f>
      </c>
      <c r="AF76" s="98" t="n">
        <v>200118362.73153</v>
      </c>
      <c r="AG76" s="99" t="n">
        <v>199231676.533879</v>
      </c>
      <c r="AH76" s="100" t="str">
        <f>IF(H76="shared-count-once",COUNTIFS($A$2:$A$131,A76,$B$2:$B$131,B76,$E$2:$E$131,E76),1)</f>
      </c>
      <c r="AI76" s="101" t="n">
        <v>321429520.522875</v>
      </c>
      <c r="AJ76" s="102" t="str">
        <f>IF(AI76=0,"",Q76/AI76)</f>
      </c>
      <c r="AK76" s="103" t="str">
        <f>IF(AI76=0,"",R76/AI76)</f>
      </c>
      <c r="AL76" s="104" t="str">
        <f>IF(AI76=0,"",S76/AI76)</f>
      </c>
      <c r="AM76" s="105" t="str">
        <f>IF(AI76=0,"",Y76/AI76)</f>
      </c>
    </row>
    <row r="77">
      <c r="A77" t="s">
        <v>115</v>
      </c>
      <c r="B77" s="73" t="n">
        <v>2048</v>
      </c>
      <c r="C77" t="s">
        <v>231</v>
      </c>
      <c r="D77" t="s">
        <v>235</v>
      </c>
      <c r="E77" s="74" t="s">
        <v>282</v>
      </c>
      <c r="F77" s="75" t="s">
        <v>283</v>
      </c>
      <c r="G77" s="76" t="s">
        <v>232</v>
      </c>
      <c r="H77" s="77" t="s">
        <v>239</v>
      </c>
      <c r="I77" s="78" t="s">
        <v>267</v>
      </c>
      <c r="J77" s="79" t="str">
        <f>IFERROR(INDEX('Cost_Components'!$K$2:$K$6,MATCH(E77,'Cost_Components'!$A$2:$A$6,0)),"")</f>
      </c>
      <c r="K77" s="106" t="n">
        <v>0.4165</v>
      </c>
      <c r="L77" s="80" t="str">
        <f>IFERROR(INDEX('Cost_Components'!$S$2:$S$6,MATCH(E77,'Cost_Components'!$A$2:$A$6,0)),"")</f>
      </c>
      <c r="M77" s="81" t="str">
        <f>IFERROR(INDEX('Cost_Components'!$L$2:$L$6,MATCH(E77,'Cost_Components'!$A$2:$A$6,0)),"")</f>
      </c>
      <c r="N77" s="82" t="str">
        <f>IFERROR(INDEX('Cost_Components'!$P$2:$P$6,MATCH(E77,'Cost_Components'!$A$2:$A$6,0)),"")</f>
      </c>
      <c r="O77" s="83" t="str">
        <f>AF77*J77</f>
      </c>
      <c r="P77" s="84" t="str">
        <f>AG77*J77</f>
      </c>
      <c r="Q77" s="85" t="str">
        <f>P77*L77*M77*N77</f>
      </c>
      <c r="R77" s="86" t="str">
        <f>O77*K77*M77*N77</f>
      </c>
      <c r="S77" s="87" t="str">
        <f>R77-Q77</f>
      </c>
      <c r="T77" s="34" t="str">
        <f>IFERROR(INDEX('Cost_Components'!$R$2:$R$6,MATCH(E77,'Cost_Components'!$A$2:$A$6,0)),"")</f>
      </c>
      <c r="U77" s="88" t="str">
        <f>IFERROR(INDEX('Cost_Components'!$Q$2:$Q$6,MATCH(E77,'Cost_Components'!$A$2:$A$6,0)),"")</f>
      </c>
      <c r="V77" s="89" t="str">
        <f>1/(1+'Calculation_Assumptions'!$B$5)^(B77-'Calculation_Assumptions'!$B$2)</f>
      </c>
      <c r="W77" s="90" t="str">
        <f>Q77*V77</f>
      </c>
      <c r="X77" s="91" t="str">
        <f>R77*V77</f>
      </c>
      <c r="Y77" s="92" t="str">
        <f>S77*V77</f>
      </c>
      <c r="Z77" s="93" t="str">
        <f>IFERROR(INDEX('Cost_Components'!$T$2:$T$6,MATCH(E77,'Cost_Components'!$A$2:$A$6,0)),"")</f>
      </c>
      <c r="AA77" s="94" t="str">
        <f>IFERROR(INDEX('Cost_Components'!$U$2:$U$6,MATCH(E77,'Cost_Components'!$A$2:$A$6,0)),"")</f>
      </c>
      <c r="AB77" s="95" t="str">
        <f>IFERROR(INDEX('Cost_Components'!$V$2:$V$6,MATCH(E77,'Cost_Components'!$A$2:$A$6,0)),"")</f>
      </c>
      <c r="AC77" s="96" t="str">
        <f>IFERROR(INDEX('Cost_Components'!$M$2:$M$6,MATCH(E77,'Cost_Components'!$A$2:$A$6,0)),"")</f>
      </c>
      <c r="AD77" s="97" t="str">
        <f>IFERROR(INDEX('Cost_Components'!$N$2:$N$6,MATCH(E77,'Cost_Components'!$A$2:$A$6,0)),"")</f>
      </c>
      <c r="AE77" s="34" t="str">
        <f>IFERROR(INDEX('Cost_Components'!$O$2:$O$6,MATCH(E77,'Cost_Components'!$A$2:$A$6,0)),"")</f>
      </c>
      <c r="AF77" s="98" t="n">
        <v>201366549.663067</v>
      </c>
      <c r="AG77" s="99" t="n">
        <v>200384086.462219</v>
      </c>
      <c r="AH77" s="100" t="str">
        <f>IF(H77="shared-count-once",COUNTIFS($A$2:$A$131,A77,$B$2:$B$131,B77,$E$2:$E$131,E77),1)</f>
      </c>
      <c r="AI77" s="101" t="n">
        <v>322136832.260161</v>
      </c>
      <c r="AJ77" s="102" t="str">
        <f>IF(AI77=0,"",Q77/AI77)</f>
      </c>
      <c r="AK77" s="103" t="str">
        <f>IF(AI77=0,"",R77/AI77)</f>
      </c>
      <c r="AL77" s="104" t="str">
        <f>IF(AI77=0,"",S77/AI77)</f>
      </c>
      <c r="AM77" s="105" t="str">
        <f>IF(AI77=0,"",Y77/AI77)</f>
      </c>
    </row>
    <row r="78">
      <c r="A78" t="s">
        <v>115</v>
      </c>
      <c r="B78" s="73" t="n">
        <v>2049</v>
      </c>
      <c r="C78" t="s">
        <v>231</v>
      </c>
      <c r="D78" t="s">
        <v>235</v>
      </c>
      <c r="E78" s="74" t="s">
        <v>282</v>
      </c>
      <c r="F78" s="75" t="s">
        <v>283</v>
      </c>
      <c r="G78" s="76" t="s">
        <v>232</v>
      </c>
      <c r="H78" s="77" t="s">
        <v>239</v>
      </c>
      <c r="I78" s="78" t="s">
        <v>267</v>
      </c>
      <c r="J78" s="79" t="str">
        <f>IFERROR(INDEX('Cost_Components'!$K$2:$K$6,MATCH(E78,'Cost_Components'!$A$2:$A$6,0)),"")</f>
      </c>
      <c r="K78" s="106" t="n">
        <v>0.4165</v>
      </c>
      <c r="L78" s="80" t="str">
        <f>IFERROR(INDEX('Cost_Components'!$S$2:$S$6,MATCH(E78,'Cost_Components'!$A$2:$A$6,0)),"")</f>
      </c>
      <c r="M78" s="81" t="str">
        <f>IFERROR(INDEX('Cost_Components'!$L$2:$L$6,MATCH(E78,'Cost_Components'!$A$2:$A$6,0)),"")</f>
      </c>
      <c r="N78" s="82" t="str">
        <f>IFERROR(INDEX('Cost_Components'!$P$2:$P$6,MATCH(E78,'Cost_Components'!$A$2:$A$6,0)),"")</f>
      </c>
      <c r="O78" s="83" t="str">
        <f>AF78*J78</f>
      </c>
      <c r="P78" s="84" t="str">
        <f>AG78*J78</f>
      </c>
      <c r="Q78" s="85" t="str">
        <f>P78*L78*M78*N78</f>
      </c>
      <c r="R78" s="86" t="str">
        <f>O78*K78*M78*N78</f>
      </c>
      <c r="S78" s="87" t="str">
        <f>R78-Q78</f>
      </c>
      <c r="T78" s="34" t="str">
        <f>IFERROR(INDEX('Cost_Components'!$R$2:$R$6,MATCH(E78,'Cost_Components'!$A$2:$A$6,0)),"")</f>
      </c>
      <c r="U78" s="88" t="str">
        <f>IFERROR(INDEX('Cost_Components'!$Q$2:$Q$6,MATCH(E78,'Cost_Components'!$A$2:$A$6,0)),"")</f>
      </c>
      <c r="V78" s="89" t="str">
        <f>1/(1+'Calculation_Assumptions'!$B$5)^(B78-'Calculation_Assumptions'!$B$2)</f>
      </c>
      <c r="W78" s="90" t="str">
        <f>Q78*V78</f>
      </c>
      <c r="X78" s="91" t="str">
        <f>R78*V78</f>
      </c>
      <c r="Y78" s="92" t="str">
        <f>S78*V78</f>
      </c>
      <c r="Z78" s="93" t="str">
        <f>IFERROR(INDEX('Cost_Components'!$T$2:$T$6,MATCH(E78,'Cost_Components'!$A$2:$A$6,0)),"")</f>
      </c>
      <c r="AA78" s="94" t="str">
        <f>IFERROR(INDEX('Cost_Components'!$U$2:$U$6,MATCH(E78,'Cost_Components'!$A$2:$A$6,0)),"")</f>
      </c>
      <c r="AB78" s="95" t="str">
        <f>IFERROR(INDEX('Cost_Components'!$V$2:$V$6,MATCH(E78,'Cost_Components'!$A$2:$A$6,0)),"")</f>
      </c>
      <c r="AC78" s="96" t="str">
        <f>IFERROR(INDEX('Cost_Components'!$M$2:$M$6,MATCH(E78,'Cost_Components'!$A$2:$A$6,0)),"")</f>
      </c>
      <c r="AD78" s="97" t="str">
        <f>IFERROR(INDEX('Cost_Components'!$N$2:$N$6,MATCH(E78,'Cost_Components'!$A$2:$A$6,0)),"")</f>
      </c>
      <c r="AE78" s="34" t="str">
        <f>IFERROR(INDEX('Cost_Components'!$O$2:$O$6,MATCH(E78,'Cost_Components'!$A$2:$A$6,0)),"")</f>
      </c>
      <c r="AF78" s="98" t="n">
        <v>202557012.174681</v>
      </c>
      <c r="AG78" s="99" t="n">
        <v>201479711.500819</v>
      </c>
      <c r="AH78" s="100" t="str">
        <f>IF(H78="shared-count-once",COUNTIFS($A$2:$A$131,A78,$B$2:$B$131,B78,$E$2:$E$131,E78),1)</f>
      </c>
      <c r="AI78" s="101" t="n">
        <v>322765819.752681</v>
      </c>
      <c r="AJ78" s="102" t="str">
        <f>IF(AI78=0,"",Q78/AI78)</f>
      </c>
      <c r="AK78" s="103" t="str">
        <f>IF(AI78=0,"",R78/AI78)</f>
      </c>
      <c r="AL78" s="104" t="str">
        <f>IF(AI78=0,"",S78/AI78)</f>
      </c>
      <c r="AM78" s="105" t="str">
        <f>IF(AI78=0,"",Y78/AI78)</f>
      </c>
    </row>
    <row r="79">
      <c r="A79" t="s">
        <v>115</v>
      </c>
      <c r="B79" s="73" t="n">
        <v>2050</v>
      </c>
      <c r="C79" t="s">
        <v>231</v>
      </c>
      <c r="D79" t="s">
        <v>235</v>
      </c>
      <c r="E79" s="74" t="s">
        <v>282</v>
      </c>
      <c r="F79" s="75" t="s">
        <v>283</v>
      </c>
      <c r="G79" s="76" t="s">
        <v>232</v>
      </c>
      <c r="H79" s="77" t="s">
        <v>239</v>
      </c>
      <c r="I79" s="78" t="s">
        <v>267</v>
      </c>
      <c r="J79" s="79" t="str">
        <f>IFERROR(INDEX('Cost_Components'!$K$2:$K$6,MATCH(E79,'Cost_Components'!$A$2:$A$6,0)),"")</f>
      </c>
      <c r="K79" s="106" t="n">
        <v>0.4165</v>
      </c>
      <c r="L79" s="80" t="str">
        <f>IFERROR(INDEX('Cost_Components'!$S$2:$S$6,MATCH(E79,'Cost_Components'!$A$2:$A$6,0)),"")</f>
      </c>
      <c r="M79" s="81" t="str">
        <f>IFERROR(INDEX('Cost_Components'!$L$2:$L$6,MATCH(E79,'Cost_Components'!$A$2:$A$6,0)),"")</f>
      </c>
      <c r="N79" s="82" t="str">
        <f>IFERROR(INDEX('Cost_Components'!$P$2:$P$6,MATCH(E79,'Cost_Components'!$A$2:$A$6,0)),"")</f>
      </c>
      <c r="O79" s="83" t="str">
        <f>AF79*J79</f>
      </c>
      <c r="P79" s="84" t="str">
        <f>AG79*J79</f>
      </c>
      <c r="Q79" s="85" t="str">
        <f>P79*L79*M79*N79</f>
      </c>
      <c r="R79" s="86" t="str">
        <f>O79*K79*M79*N79</f>
      </c>
      <c r="S79" s="87" t="str">
        <f>R79-Q79</f>
      </c>
      <c r="T79" s="34" t="str">
        <f>IFERROR(INDEX('Cost_Components'!$R$2:$R$6,MATCH(E79,'Cost_Components'!$A$2:$A$6,0)),"")</f>
      </c>
      <c r="U79" s="88" t="str">
        <f>IFERROR(INDEX('Cost_Components'!$Q$2:$Q$6,MATCH(E79,'Cost_Components'!$A$2:$A$6,0)),"")</f>
      </c>
      <c r="V79" s="89" t="str">
        <f>1/(1+'Calculation_Assumptions'!$B$5)^(B79-'Calculation_Assumptions'!$B$2)</f>
      </c>
      <c r="W79" s="90" t="str">
        <f>Q79*V79</f>
      </c>
      <c r="X79" s="91" t="str">
        <f>R79*V79</f>
      </c>
      <c r="Y79" s="92" t="str">
        <f>S79*V79</f>
      </c>
      <c r="Z79" s="93" t="str">
        <f>IFERROR(INDEX('Cost_Components'!$T$2:$T$6,MATCH(E79,'Cost_Components'!$A$2:$A$6,0)),"")</f>
      </c>
      <c r="AA79" s="94" t="str">
        <f>IFERROR(INDEX('Cost_Components'!$U$2:$U$6,MATCH(E79,'Cost_Components'!$A$2:$A$6,0)),"")</f>
      </c>
      <c r="AB79" s="95" t="str">
        <f>IFERROR(INDEX('Cost_Components'!$V$2:$V$6,MATCH(E79,'Cost_Components'!$A$2:$A$6,0)),"")</f>
      </c>
      <c r="AC79" s="96" t="str">
        <f>IFERROR(INDEX('Cost_Components'!$M$2:$M$6,MATCH(E79,'Cost_Components'!$A$2:$A$6,0)),"")</f>
      </c>
      <c r="AD79" s="97" t="str">
        <f>IFERROR(INDEX('Cost_Components'!$N$2:$N$6,MATCH(E79,'Cost_Components'!$A$2:$A$6,0)),"")</f>
      </c>
      <c r="AE79" s="34" t="str">
        <f>IFERROR(INDEX('Cost_Components'!$O$2:$O$6,MATCH(E79,'Cost_Components'!$A$2:$A$6,0)),"")</f>
      </c>
      <c r="AF79" s="98" t="n">
        <v>203683833.130382</v>
      </c>
      <c r="AG79" s="99" t="n">
        <v>202479799.760483</v>
      </c>
      <c r="AH79" s="100" t="str">
        <f>IF(H79="shared-count-once",COUNTIFS($A$2:$A$131,A79,$B$2:$B$131,B79,$E$2:$E$131,E79),1)</f>
      </c>
      <c r="AI79" s="101" t="n">
        <v>323312042.563285</v>
      </c>
      <c r="AJ79" s="102" t="str">
        <f>IF(AI79=0,"",Q79/AI79)</f>
      </c>
      <c r="AK79" s="103" t="str">
        <f>IF(AI79=0,"",R79/AI79)</f>
      </c>
      <c r="AL79" s="104" t="str">
        <f>IF(AI79=0,"",S79/AI79)</f>
      </c>
      <c r="AM79" s="105" t="str">
        <f>IF(AI79=0,"",Y79/AI79)</f>
      </c>
    </row>
    <row r="80">
      <c r="A80" t="s">
        <v>115</v>
      </c>
      <c r="B80" s="73" t="n">
        <v>2025</v>
      </c>
      <c r="C80" t="s">
        <v>231</v>
      </c>
      <c r="D80" t="s">
        <v>235</v>
      </c>
      <c r="E80" s="74" t="s">
        <v>279</v>
      </c>
      <c r="F80" s="75" t="s">
        <v>280</v>
      </c>
      <c r="G80" s="76" t="s">
        <v>232</v>
      </c>
      <c r="H80" s="77" t="s">
        <v>239</v>
      </c>
      <c r="I80" s="78" t="s">
        <v>277</v>
      </c>
      <c r="J80" s="79" t="str">
        <f>IFERROR(INDEX('Cost_Components'!$K$2:$K$6,MATCH(E80,'Cost_Components'!$A$2:$A$6,0)),"")</f>
      </c>
      <c r="K80" s="106" t="n">
        <v>0.147914612579645</v>
      </c>
      <c r="L80" s="80" t="str">
        <f>IFERROR(INDEX('Cost_Components'!$S$2:$S$6,MATCH(E80,'Cost_Components'!$A$2:$A$6,0)),"")</f>
      </c>
      <c r="M80" s="81" t="str">
        <f>IFERROR(INDEX('Cost_Components'!$L$2:$L$6,MATCH(E80,'Cost_Components'!$A$2:$A$6,0)),"")</f>
      </c>
      <c r="N80" s="82" t="str">
        <f>IFERROR(INDEX('Cost_Components'!$P$2:$P$6,MATCH(E80,'Cost_Components'!$A$2:$A$6,0)),"")</f>
      </c>
      <c r="O80" s="83" t="str">
        <f>AF80*J80</f>
      </c>
      <c r="P80" s="84" t="str">
        <f>AG80*J80</f>
      </c>
      <c r="Q80" s="85" t="str">
        <f>P80*L80*M80*N80</f>
      </c>
      <c r="R80" s="86" t="str">
        <f>O80*K80*M80*N80</f>
      </c>
      <c r="S80" s="87" t="str">
        <f>R80-Q80</f>
      </c>
      <c r="T80" s="34" t="str">
        <f>IFERROR(INDEX('Cost_Components'!$R$2:$R$6,MATCH(E80,'Cost_Components'!$A$2:$A$6,0)),"")</f>
      </c>
      <c r="U80" s="88" t="str">
        <f>IFERROR(INDEX('Cost_Components'!$Q$2:$Q$6,MATCH(E80,'Cost_Components'!$A$2:$A$6,0)),"")</f>
      </c>
      <c r="V80" s="89" t="str">
        <f>1/(1+'Calculation_Assumptions'!$B$5)^(B80-'Calculation_Assumptions'!$B$2)</f>
      </c>
      <c r="W80" s="90" t="str">
        <f>Q80*V80</f>
      </c>
      <c r="X80" s="91" t="str">
        <f>R80*V80</f>
      </c>
      <c r="Y80" s="92" t="str">
        <f>S80*V80</f>
      </c>
      <c r="Z80" s="93" t="str">
        <f>IFERROR(INDEX('Cost_Components'!$T$2:$T$6,MATCH(E80,'Cost_Components'!$A$2:$A$6,0)),"")</f>
      </c>
      <c r="AA80" s="94" t="str">
        <f>IFERROR(INDEX('Cost_Components'!$U$2:$U$6,MATCH(E80,'Cost_Components'!$A$2:$A$6,0)),"")</f>
      </c>
      <c r="AB80" s="95" t="str">
        <f>IFERROR(INDEX('Cost_Components'!$V$2:$V$6,MATCH(E80,'Cost_Components'!$A$2:$A$6,0)),"")</f>
      </c>
      <c r="AC80" s="96" t="str">
        <f>IFERROR(INDEX('Cost_Components'!$M$2:$M$6,MATCH(E80,'Cost_Components'!$A$2:$A$6,0)),"")</f>
      </c>
      <c r="AD80" s="97" t="str">
        <f>IFERROR(INDEX('Cost_Components'!$N$2:$N$6,MATCH(E80,'Cost_Components'!$A$2:$A$6,0)),"")</f>
      </c>
      <c r="AE80" s="34" t="str">
        <f>IFERROR(INDEX('Cost_Components'!$O$2:$O$6,MATCH(E80,'Cost_Components'!$A$2:$A$6,0)),"")</f>
      </c>
      <c r="AF80" s="98" t="n">
        <v>14642365.4776425</v>
      </c>
      <c r="AG80" s="99" t="n">
        <v>14642365.4776425</v>
      </c>
      <c r="AH80" s="100" t="str">
        <f>IF(H80="shared-count-once",COUNTIFS($A$2:$A$131,A80,$B$2:$B$131,B80,$E$2:$E$131,E80),1)</f>
      </c>
      <c r="AI80" s="101" t="n">
        <v>288391907.644456</v>
      </c>
      <c r="AJ80" s="102" t="str">
        <f>IF(AI80=0,"",Q80/AI80)</f>
      </c>
      <c r="AK80" s="103" t="str">
        <f>IF(AI80=0,"",R80/AI80)</f>
      </c>
      <c r="AL80" s="104" t="str">
        <f>IF(AI80=0,"",S80/AI80)</f>
      </c>
      <c r="AM80" s="105" t="str">
        <f>IF(AI80=0,"",Y80/AI80)</f>
      </c>
    </row>
    <row r="81">
      <c r="A81" t="s">
        <v>115</v>
      </c>
      <c r="B81" s="73" t="n">
        <v>2026</v>
      </c>
      <c r="C81" t="s">
        <v>231</v>
      </c>
      <c r="D81" t="s">
        <v>235</v>
      </c>
      <c r="E81" s="74" t="s">
        <v>279</v>
      </c>
      <c r="F81" s="75" t="s">
        <v>280</v>
      </c>
      <c r="G81" s="76" t="s">
        <v>232</v>
      </c>
      <c r="H81" s="77" t="s">
        <v>239</v>
      </c>
      <c r="I81" s="78" t="s">
        <v>277</v>
      </c>
      <c r="J81" s="79" t="str">
        <f>IFERROR(INDEX('Cost_Components'!$K$2:$K$6,MATCH(E81,'Cost_Components'!$A$2:$A$6,0)),"")</f>
      </c>
      <c r="K81" s="106" t="n">
        <v>0.148533459802127</v>
      </c>
      <c r="L81" s="80" t="str">
        <f>IFERROR(INDEX('Cost_Components'!$S$2:$S$6,MATCH(E81,'Cost_Components'!$A$2:$A$6,0)),"")</f>
      </c>
      <c r="M81" s="81" t="str">
        <f>IFERROR(INDEX('Cost_Components'!$L$2:$L$6,MATCH(E81,'Cost_Components'!$A$2:$A$6,0)),"")</f>
      </c>
      <c r="N81" s="82" t="str">
        <f>IFERROR(INDEX('Cost_Components'!$P$2:$P$6,MATCH(E81,'Cost_Components'!$A$2:$A$6,0)),"")</f>
      </c>
      <c r="O81" s="83" t="str">
        <f>AF81*J81</f>
      </c>
      <c r="P81" s="84" t="str">
        <f>AG81*J81</f>
      </c>
      <c r="Q81" s="85" t="str">
        <f>P81*L81*M81*N81</f>
      </c>
      <c r="R81" s="86" t="str">
        <f>O81*K81*M81*N81</f>
      </c>
      <c r="S81" s="87" t="str">
        <f>R81-Q81</f>
      </c>
      <c r="T81" s="34" t="str">
        <f>IFERROR(INDEX('Cost_Components'!$R$2:$R$6,MATCH(E81,'Cost_Components'!$A$2:$A$6,0)),"")</f>
      </c>
      <c r="U81" s="88" t="str">
        <f>IFERROR(INDEX('Cost_Components'!$Q$2:$Q$6,MATCH(E81,'Cost_Components'!$A$2:$A$6,0)),"")</f>
      </c>
      <c r="V81" s="89" t="str">
        <f>1/(1+'Calculation_Assumptions'!$B$5)^(B81-'Calculation_Assumptions'!$B$2)</f>
      </c>
      <c r="W81" s="90" t="str">
        <f>Q81*V81</f>
      </c>
      <c r="X81" s="91" t="str">
        <f>R81*V81</f>
      </c>
      <c r="Y81" s="92" t="str">
        <f>S81*V81</f>
      </c>
      <c r="Z81" s="93" t="str">
        <f>IFERROR(INDEX('Cost_Components'!$T$2:$T$6,MATCH(E81,'Cost_Components'!$A$2:$A$6,0)),"")</f>
      </c>
      <c r="AA81" s="94" t="str">
        <f>IFERROR(INDEX('Cost_Components'!$U$2:$U$6,MATCH(E81,'Cost_Components'!$A$2:$A$6,0)),"")</f>
      </c>
      <c r="AB81" s="95" t="str">
        <f>IFERROR(INDEX('Cost_Components'!$V$2:$V$6,MATCH(E81,'Cost_Components'!$A$2:$A$6,0)),"")</f>
      </c>
      <c r="AC81" s="96" t="str">
        <f>IFERROR(INDEX('Cost_Components'!$M$2:$M$6,MATCH(E81,'Cost_Components'!$A$2:$A$6,0)),"")</f>
      </c>
      <c r="AD81" s="97" t="str">
        <f>IFERROR(INDEX('Cost_Components'!$N$2:$N$6,MATCH(E81,'Cost_Components'!$A$2:$A$6,0)),"")</f>
      </c>
      <c r="AE81" s="34" t="str">
        <f>IFERROR(INDEX('Cost_Components'!$O$2:$O$6,MATCH(E81,'Cost_Components'!$A$2:$A$6,0)),"")</f>
      </c>
      <c r="AF81" s="98" t="n">
        <v>15112051.4550982</v>
      </c>
      <c r="AG81" s="99" t="n">
        <v>15112026.0745914</v>
      </c>
      <c r="AH81" s="100" t="str">
        <f>IF(H81="shared-count-once",COUNTIFS($A$2:$A$131,A81,$B$2:$B$131,B81,$E$2:$E$131,E81),1)</f>
      </c>
      <c r="AI81" s="101" t="n">
        <v>290472130.233437</v>
      </c>
      <c r="AJ81" s="102" t="str">
        <f>IF(AI81=0,"",Q81/AI81)</f>
      </c>
      <c r="AK81" s="103" t="str">
        <f>IF(AI81=0,"",R81/AI81)</f>
      </c>
      <c r="AL81" s="104" t="str">
        <f>IF(AI81=0,"",S81/AI81)</f>
      </c>
      <c r="AM81" s="105" t="str">
        <f>IF(AI81=0,"",Y81/AI81)</f>
      </c>
    </row>
    <row r="82">
      <c r="A82" t="s">
        <v>115</v>
      </c>
      <c r="B82" s="73" t="n">
        <v>2027</v>
      </c>
      <c r="C82" t="s">
        <v>231</v>
      </c>
      <c r="D82" t="s">
        <v>235</v>
      </c>
      <c r="E82" s="74" t="s">
        <v>279</v>
      </c>
      <c r="F82" s="75" t="s">
        <v>280</v>
      </c>
      <c r="G82" s="76" t="s">
        <v>232</v>
      </c>
      <c r="H82" s="77" t="s">
        <v>239</v>
      </c>
      <c r="I82" s="78" t="s">
        <v>277</v>
      </c>
      <c r="J82" s="79" t="str">
        <f>IFERROR(INDEX('Cost_Components'!$K$2:$K$6,MATCH(E82,'Cost_Components'!$A$2:$A$6,0)),"")</f>
      </c>
      <c r="K82" s="106" t="n">
        <v>0.149152307024609</v>
      </c>
      <c r="L82" s="80" t="str">
        <f>IFERROR(INDEX('Cost_Components'!$S$2:$S$6,MATCH(E82,'Cost_Components'!$A$2:$A$6,0)),"")</f>
      </c>
      <c r="M82" s="81" t="str">
        <f>IFERROR(INDEX('Cost_Components'!$L$2:$L$6,MATCH(E82,'Cost_Components'!$A$2:$A$6,0)),"")</f>
      </c>
      <c r="N82" s="82" t="str">
        <f>IFERROR(INDEX('Cost_Components'!$P$2:$P$6,MATCH(E82,'Cost_Components'!$A$2:$A$6,0)),"")</f>
      </c>
      <c r="O82" s="83" t="str">
        <f>AF82*J82</f>
      </c>
      <c r="P82" s="84" t="str">
        <f>AG82*J82</f>
      </c>
      <c r="Q82" s="85" t="str">
        <f>P82*L82*M82*N82</f>
      </c>
      <c r="R82" s="86" t="str">
        <f>O82*K82*M82*N82</f>
      </c>
      <c r="S82" s="87" t="str">
        <f>R82-Q82</f>
      </c>
      <c r="T82" s="34" t="str">
        <f>IFERROR(INDEX('Cost_Components'!$R$2:$R$6,MATCH(E82,'Cost_Components'!$A$2:$A$6,0)),"")</f>
      </c>
      <c r="U82" s="88" t="str">
        <f>IFERROR(INDEX('Cost_Components'!$Q$2:$Q$6,MATCH(E82,'Cost_Components'!$A$2:$A$6,0)),"")</f>
      </c>
      <c r="V82" s="89" t="str">
        <f>1/(1+'Calculation_Assumptions'!$B$5)^(B82-'Calculation_Assumptions'!$B$2)</f>
      </c>
      <c r="W82" s="90" t="str">
        <f>Q82*V82</f>
      </c>
      <c r="X82" s="91" t="str">
        <f>R82*V82</f>
      </c>
      <c r="Y82" s="92" t="str">
        <f>S82*V82</f>
      </c>
      <c r="Z82" s="93" t="str">
        <f>IFERROR(INDEX('Cost_Components'!$T$2:$T$6,MATCH(E82,'Cost_Components'!$A$2:$A$6,0)),"")</f>
      </c>
      <c r="AA82" s="94" t="str">
        <f>IFERROR(INDEX('Cost_Components'!$U$2:$U$6,MATCH(E82,'Cost_Components'!$A$2:$A$6,0)),"")</f>
      </c>
      <c r="AB82" s="95" t="str">
        <f>IFERROR(INDEX('Cost_Components'!$V$2:$V$6,MATCH(E82,'Cost_Components'!$A$2:$A$6,0)),"")</f>
      </c>
      <c r="AC82" s="96" t="str">
        <f>IFERROR(INDEX('Cost_Components'!$M$2:$M$6,MATCH(E82,'Cost_Components'!$A$2:$A$6,0)),"")</f>
      </c>
      <c r="AD82" s="97" t="str">
        <f>IFERROR(INDEX('Cost_Components'!$N$2:$N$6,MATCH(E82,'Cost_Components'!$A$2:$A$6,0)),"")</f>
      </c>
      <c r="AE82" s="34" t="str">
        <f>IFERROR(INDEX('Cost_Components'!$O$2:$O$6,MATCH(E82,'Cost_Components'!$A$2:$A$6,0)),"")</f>
      </c>
      <c r="AF82" s="98" t="n">
        <v>15588178.019229</v>
      </c>
      <c r="AG82" s="99" t="n">
        <v>15588102.2486016</v>
      </c>
      <c r="AH82" s="100" t="str">
        <f>IF(H82="shared-count-once",COUNTIFS($A$2:$A$131,A82,$B$2:$B$131,B82,$E$2:$E$131,E82),1)</f>
      </c>
      <c r="AI82" s="101" t="n">
        <v>292505080.826208</v>
      </c>
      <c r="AJ82" s="102" t="str">
        <f>IF(AI82=0,"",Q82/AI82)</f>
      </c>
      <c r="AK82" s="103" t="str">
        <f>IF(AI82=0,"",R82/AI82)</f>
      </c>
      <c r="AL82" s="104" t="str">
        <f>IF(AI82=0,"",S82/AI82)</f>
      </c>
      <c r="AM82" s="105" t="str">
        <f>IF(AI82=0,"",Y82/AI82)</f>
      </c>
    </row>
    <row r="83">
      <c r="A83" t="s">
        <v>115</v>
      </c>
      <c r="B83" s="73" t="n">
        <v>2028</v>
      </c>
      <c r="C83" t="s">
        <v>231</v>
      </c>
      <c r="D83" t="s">
        <v>235</v>
      </c>
      <c r="E83" s="74" t="s">
        <v>279</v>
      </c>
      <c r="F83" s="75" t="s">
        <v>280</v>
      </c>
      <c r="G83" s="76" t="s">
        <v>232</v>
      </c>
      <c r="H83" s="77" t="s">
        <v>239</v>
      </c>
      <c r="I83" s="78" t="s">
        <v>277</v>
      </c>
      <c r="J83" s="79" t="str">
        <f>IFERROR(INDEX('Cost_Components'!$K$2:$K$6,MATCH(E83,'Cost_Components'!$A$2:$A$6,0)),"")</f>
      </c>
      <c r="K83" s="106" t="n">
        <v>0.149771154247091</v>
      </c>
      <c r="L83" s="80" t="str">
        <f>IFERROR(INDEX('Cost_Components'!$S$2:$S$6,MATCH(E83,'Cost_Components'!$A$2:$A$6,0)),"")</f>
      </c>
      <c r="M83" s="81" t="str">
        <f>IFERROR(INDEX('Cost_Components'!$L$2:$L$6,MATCH(E83,'Cost_Components'!$A$2:$A$6,0)),"")</f>
      </c>
      <c r="N83" s="82" t="str">
        <f>IFERROR(INDEX('Cost_Components'!$P$2:$P$6,MATCH(E83,'Cost_Components'!$A$2:$A$6,0)),"")</f>
      </c>
      <c r="O83" s="83" t="str">
        <f>AF83*J83</f>
      </c>
      <c r="P83" s="84" t="str">
        <f>AG83*J83</f>
      </c>
      <c r="Q83" s="85" t="str">
        <f>P83*L83*M83*N83</f>
      </c>
      <c r="R83" s="86" t="str">
        <f>O83*K83*M83*N83</f>
      </c>
      <c r="S83" s="87" t="str">
        <f>R83-Q83</f>
      </c>
      <c r="T83" s="34" t="str">
        <f>IFERROR(INDEX('Cost_Components'!$R$2:$R$6,MATCH(E83,'Cost_Components'!$A$2:$A$6,0)),"")</f>
      </c>
      <c r="U83" s="88" t="str">
        <f>IFERROR(INDEX('Cost_Components'!$Q$2:$Q$6,MATCH(E83,'Cost_Components'!$A$2:$A$6,0)),"")</f>
      </c>
      <c r="V83" s="89" t="str">
        <f>1/(1+'Calculation_Assumptions'!$B$5)^(B83-'Calculation_Assumptions'!$B$2)</f>
      </c>
      <c r="W83" s="90" t="str">
        <f>Q83*V83</f>
      </c>
      <c r="X83" s="91" t="str">
        <f>R83*V83</f>
      </c>
      <c r="Y83" s="92" t="str">
        <f>S83*V83</f>
      </c>
      <c r="Z83" s="93" t="str">
        <f>IFERROR(INDEX('Cost_Components'!$T$2:$T$6,MATCH(E83,'Cost_Components'!$A$2:$A$6,0)),"")</f>
      </c>
      <c r="AA83" s="94" t="str">
        <f>IFERROR(INDEX('Cost_Components'!$U$2:$U$6,MATCH(E83,'Cost_Components'!$A$2:$A$6,0)),"")</f>
      </c>
      <c r="AB83" s="95" t="str">
        <f>IFERROR(INDEX('Cost_Components'!$V$2:$V$6,MATCH(E83,'Cost_Components'!$A$2:$A$6,0)),"")</f>
      </c>
      <c r="AC83" s="96" t="str">
        <f>IFERROR(INDEX('Cost_Components'!$M$2:$M$6,MATCH(E83,'Cost_Components'!$A$2:$A$6,0)),"")</f>
      </c>
      <c r="AD83" s="97" t="str">
        <f>IFERROR(INDEX('Cost_Components'!$N$2:$N$6,MATCH(E83,'Cost_Components'!$A$2:$A$6,0)),"")</f>
      </c>
      <c r="AE83" s="34" t="str">
        <f>IFERROR(INDEX('Cost_Components'!$O$2:$O$6,MATCH(E83,'Cost_Components'!$A$2:$A$6,0)),"")</f>
      </c>
      <c r="AF83" s="98" t="n">
        <v>16035477.7933314</v>
      </c>
      <c r="AG83" s="99" t="n">
        <v>16035324.2757678</v>
      </c>
      <c r="AH83" s="100" t="str">
        <f>IF(H83="shared-count-once",COUNTIFS($A$2:$A$131,A83,$B$2:$B$131,B83,$E$2:$E$131,E83),1)</f>
      </c>
      <c r="AI83" s="101" t="n">
        <v>294484707.921554</v>
      </c>
      <c r="AJ83" s="102" t="str">
        <f>IF(AI83=0,"",Q83/AI83)</f>
      </c>
      <c r="AK83" s="103" t="str">
        <f>IF(AI83=0,"",R83/AI83)</f>
      </c>
      <c r="AL83" s="104" t="str">
        <f>IF(AI83=0,"",S83/AI83)</f>
      </c>
      <c r="AM83" s="105" t="str">
        <f>IF(AI83=0,"",Y83/AI83)</f>
      </c>
    </row>
    <row r="84">
      <c r="A84" t="s">
        <v>115</v>
      </c>
      <c r="B84" s="73" t="n">
        <v>2029</v>
      </c>
      <c r="C84" t="s">
        <v>231</v>
      </c>
      <c r="D84" t="s">
        <v>235</v>
      </c>
      <c r="E84" s="74" t="s">
        <v>279</v>
      </c>
      <c r="F84" s="75" t="s">
        <v>280</v>
      </c>
      <c r="G84" s="76" t="s">
        <v>232</v>
      </c>
      <c r="H84" s="77" t="s">
        <v>239</v>
      </c>
      <c r="I84" s="78" t="s">
        <v>277</v>
      </c>
      <c r="J84" s="79" t="str">
        <f>IFERROR(INDEX('Cost_Components'!$K$2:$K$6,MATCH(E84,'Cost_Components'!$A$2:$A$6,0)),"")</f>
      </c>
      <c r="K84" s="106" t="n">
        <v>0.150390001469573</v>
      </c>
      <c r="L84" s="80" t="str">
        <f>IFERROR(INDEX('Cost_Components'!$S$2:$S$6,MATCH(E84,'Cost_Components'!$A$2:$A$6,0)),"")</f>
      </c>
      <c r="M84" s="81" t="str">
        <f>IFERROR(INDEX('Cost_Components'!$L$2:$L$6,MATCH(E84,'Cost_Components'!$A$2:$A$6,0)),"")</f>
      </c>
      <c r="N84" s="82" t="str">
        <f>IFERROR(INDEX('Cost_Components'!$P$2:$P$6,MATCH(E84,'Cost_Components'!$A$2:$A$6,0)),"")</f>
      </c>
      <c r="O84" s="83" t="str">
        <f>AF84*J84</f>
      </c>
      <c r="P84" s="84" t="str">
        <f>AG84*J84</f>
      </c>
      <c r="Q84" s="85" t="str">
        <f>P84*L84*M84*N84</f>
      </c>
      <c r="R84" s="86" t="str">
        <f>O84*K84*M84*N84</f>
      </c>
      <c r="S84" s="87" t="str">
        <f>R84-Q84</f>
      </c>
      <c r="T84" s="34" t="str">
        <f>IFERROR(INDEX('Cost_Components'!$R$2:$R$6,MATCH(E84,'Cost_Components'!$A$2:$A$6,0)),"")</f>
      </c>
      <c r="U84" s="88" t="str">
        <f>IFERROR(INDEX('Cost_Components'!$Q$2:$Q$6,MATCH(E84,'Cost_Components'!$A$2:$A$6,0)),"")</f>
      </c>
      <c r="V84" s="89" t="str">
        <f>1/(1+'Calculation_Assumptions'!$B$5)^(B84-'Calculation_Assumptions'!$B$2)</f>
      </c>
      <c r="W84" s="90" t="str">
        <f>Q84*V84</f>
      </c>
      <c r="X84" s="91" t="str">
        <f>R84*V84</f>
      </c>
      <c r="Y84" s="92" t="str">
        <f>S84*V84</f>
      </c>
      <c r="Z84" s="93" t="str">
        <f>IFERROR(INDEX('Cost_Components'!$T$2:$T$6,MATCH(E84,'Cost_Components'!$A$2:$A$6,0)),"")</f>
      </c>
      <c r="AA84" s="94" t="str">
        <f>IFERROR(INDEX('Cost_Components'!$U$2:$U$6,MATCH(E84,'Cost_Components'!$A$2:$A$6,0)),"")</f>
      </c>
      <c r="AB84" s="95" t="str">
        <f>IFERROR(INDEX('Cost_Components'!$V$2:$V$6,MATCH(E84,'Cost_Components'!$A$2:$A$6,0)),"")</f>
      </c>
      <c r="AC84" s="96" t="str">
        <f>IFERROR(INDEX('Cost_Components'!$M$2:$M$6,MATCH(E84,'Cost_Components'!$A$2:$A$6,0)),"")</f>
      </c>
      <c r="AD84" s="97" t="str">
        <f>IFERROR(INDEX('Cost_Components'!$N$2:$N$6,MATCH(E84,'Cost_Components'!$A$2:$A$6,0)),"")</f>
      </c>
      <c r="AE84" s="34" t="str">
        <f>IFERROR(INDEX('Cost_Components'!$O$2:$O$6,MATCH(E84,'Cost_Components'!$A$2:$A$6,0)),"")</f>
      </c>
      <c r="AF84" s="98" t="n">
        <v>16482448.8819481</v>
      </c>
      <c r="AG84" s="99" t="n">
        <v>16482186.2025616</v>
      </c>
      <c r="AH84" s="100" t="str">
        <f>IF(H84="shared-count-once",COUNTIFS($A$2:$A$131,A84,$B$2:$B$131,B84,$E$2:$E$131,E84),1)</f>
      </c>
      <c r="AI84" s="101" t="n">
        <v>296414030.31143</v>
      </c>
      <c r="AJ84" s="102" t="str">
        <f>IF(AI84=0,"",Q84/AI84)</f>
      </c>
      <c r="AK84" s="103" t="str">
        <f>IF(AI84=0,"",R84/AI84)</f>
      </c>
      <c r="AL84" s="104" t="str">
        <f>IF(AI84=0,"",S84/AI84)</f>
      </c>
      <c r="AM84" s="105" t="str">
        <f>IF(AI84=0,"",Y84/AI84)</f>
      </c>
    </row>
    <row r="85">
      <c r="A85" t="s">
        <v>115</v>
      </c>
      <c r="B85" s="73" t="n">
        <v>2030</v>
      </c>
      <c r="C85" t="s">
        <v>231</v>
      </c>
      <c r="D85" t="s">
        <v>235</v>
      </c>
      <c r="E85" s="74" t="s">
        <v>279</v>
      </c>
      <c r="F85" s="75" t="s">
        <v>280</v>
      </c>
      <c r="G85" s="76" t="s">
        <v>232</v>
      </c>
      <c r="H85" s="77" t="s">
        <v>239</v>
      </c>
      <c r="I85" s="78" t="s">
        <v>277</v>
      </c>
      <c r="J85" s="79" t="str">
        <f>IFERROR(INDEX('Cost_Components'!$K$2:$K$6,MATCH(E85,'Cost_Components'!$A$2:$A$6,0)),"")</f>
      </c>
      <c r="K85" s="106" t="n">
        <v>0.151008848692055</v>
      </c>
      <c r="L85" s="80" t="str">
        <f>IFERROR(INDEX('Cost_Components'!$S$2:$S$6,MATCH(E85,'Cost_Components'!$A$2:$A$6,0)),"")</f>
      </c>
      <c r="M85" s="81" t="str">
        <f>IFERROR(INDEX('Cost_Components'!$L$2:$L$6,MATCH(E85,'Cost_Components'!$A$2:$A$6,0)),"")</f>
      </c>
      <c r="N85" s="82" t="str">
        <f>IFERROR(INDEX('Cost_Components'!$P$2:$P$6,MATCH(E85,'Cost_Components'!$A$2:$A$6,0)),"")</f>
      </c>
      <c r="O85" s="83" t="str">
        <f>AF85*J85</f>
      </c>
      <c r="P85" s="84" t="str">
        <f>AG85*J85</f>
      </c>
      <c r="Q85" s="85" t="str">
        <f>P85*L85*M85*N85</f>
      </c>
      <c r="R85" s="86" t="str">
        <f>O85*K85*M85*N85</f>
      </c>
      <c r="S85" s="87" t="str">
        <f>R85-Q85</f>
      </c>
      <c r="T85" s="34" t="str">
        <f>IFERROR(INDEX('Cost_Components'!$R$2:$R$6,MATCH(E85,'Cost_Components'!$A$2:$A$6,0)),"")</f>
      </c>
      <c r="U85" s="88" t="str">
        <f>IFERROR(INDEX('Cost_Components'!$Q$2:$Q$6,MATCH(E85,'Cost_Components'!$A$2:$A$6,0)),"")</f>
      </c>
      <c r="V85" s="89" t="str">
        <f>1/(1+'Calculation_Assumptions'!$B$5)^(B85-'Calculation_Assumptions'!$B$2)</f>
      </c>
      <c r="W85" s="90" t="str">
        <f>Q85*V85</f>
      </c>
      <c r="X85" s="91" t="str">
        <f>R85*V85</f>
      </c>
      <c r="Y85" s="92" t="str">
        <f>S85*V85</f>
      </c>
      <c r="Z85" s="93" t="str">
        <f>IFERROR(INDEX('Cost_Components'!$T$2:$T$6,MATCH(E85,'Cost_Components'!$A$2:$A$6,0)),"")</f>
      </c>
      <c r="AA85" s="94" t="str">
        <f>IFERROR(INDEX('Cost_Components'!$U$2:$U$6,MATCH(E85,'Cost_Components'!$A$2:$A$6,0)),"")</f>
      </c>
      <c r="AB85" s="95" t="str">
        <f>IFERROR(INDEX('Cost_Components'!$V$2:$V$6,MATCH(E85,'Cost_Components'!$A$2:$A$6,0)),"")</f>
      </c>
      <c r="AC85" s="96" t="str">
        <f>IFERROR(INDEX('Cost_Components'!$M$2:$M$6,MATCH(E85,'Cost_Components'!$A$2:$A$6,0)),"")</f>
      </c>
      <c r="AD85" s="97" t="str">
        <f>IFERROR(INDEX('Cost_Components'!$N$2:$N$6,MATCH(E85,'Cost_Components'!$A$2:$A$6,0)),"")</f>
      </c>
      <c r="AE85" s="34" t="str">
        <f>IFERROR(INDEX('Cost_Components'!$O$2:$O$6,MATCH(E85,'Cost_Components'!$A$2:$A$6,0)),"")</f>
      </c>
      <c r="AF85" s="98" t="n">
        <v>16928140.4410643</v>
      </c>
      <c r="AG85" s="99" t="n">
        <v>16927732.456255</v>
      </c>
      <c r="AH85" s="100" t="str">
        <f>IF(H85="shared-count-once",COUNTIFS($A$2:$A$131,A85,$B$2:$B$131,B85,$E$2:$E$131,E85),1)</f>
      </c>
      <c r="AI85" s="101" t="n">
        <v>298289404.664994</v>
      </c>
      <c r="AJ85" s="102" t="str">
        <f>IF(AI85=0,"",Q85/AI85)</f>
      </c>
      <c r="AK85" s="103" t="str">
        <f>IF(AI85=0,"",R85/AI85)</f>
      </c>
      <c r="AL85" s="104" t="str">
        <f>IF(AI85=0,"",S85/AI85)</f>
      </c>
      <c r="AM85" s="105" t="str">
        <f>IF(AI85=0,"",Y85/AI85)</f>
      </c>
    </row>
    <row r="86">
      <c r="A86" t="s">
        <v>115</v>
      </c>
      <c r="B86" s="73" t="n">
        <v>2031</v>
      </c>
      <c r="C86" t="s">
        <v>231</v>
      </c>
      <c r="D86" t="s">
        <v>235</v>
      </c>
      <c r="E86" s="74" t="s">
        <v>279</v>
      </c>
      <c r="F86" s="75" t="s">
        <v>280</v>
      </c>
      <c r="G86" s="76" t="s">
        <v>232</v>
      </c>
      <c r="H86" s="77" t="s">
        <v>239</v>
      </c>
      <c r="I86" s="78" t="s">
        <v>277</v>
      </c>
      <c r="J86" s="79" t="str">
        <f>IFERROR(INDEX('Cost_Components'!$K$2:$K$6,MATCH(E86,'Cost_Components'!$A$2:$A$6,0)),"")</f>
      </c>
      <c r="K86" s="106" t="n">
        <v>0.177557963822849</v>
      </c>
      <c r="L86" s="80" t="str">
        <f>IFERROR(INDEX('Cost_Components'!$S$2:$S$6,MATCH(E86,'Cost_Components'!$A$2:$A$6,0)),"")</f>
      </c>
      <c r="M86" s="81" t="str">
        <f>IFERROR(INDEX('Cost_Components'!$L$2:$L$6,MATCH(E86,'Cost_Components'!$A$2:$A$6,0)),"")</f>
      </c>
      <c r="N86" s="82" t="str">
        <f>IFERROR(INDEX('Cost_Components'!$P$2:$P$6,MATCH(E86,'Cost_Components'!$A$2:$A$6,0)),"")</f>
      </c>
      <c r="O86" s="83" t="str">
        <f>AF86*J86</f>
      </c>
      <c r="P86" s="84" t="str">
        <f>AG86*J86</f>
      </c>
      <c r="Q86" s="85" t="str">
        <f>P86*L86*M86*N86</f>
      </c>
      <c r="R86" s="86" t="str">
        <f>O86*K86*M86*N86</f>
      </c>
      <c r="S86" s="87" t="str">
        <f>R86-Q86</f>
      </c>
      <c r="T86" s="34" t="str">
        <f>IFERROR(INDEX('Cost_Components'!$R$2:$R$6,MATCH(E86,'Cost_Components'!$A$2:$A$6,0)),"")</f>
      </c>
      <c r="U86" s="88" t="str">
        <f>IFERROR(INDEX('Cost_Components'!$Q$2:$Q$6,MATCH(E86,'Cost_Components'!$A$2:$A$6,0)),"")</f>
      </c>
      <c r="V86" s="89" t="str">
        <f>1/(1+'Calculation_Assumptions'!$B$5)^(B86-'Calculation_Assumptions'!$B$2)</f>
      </c>
      <c r="W86" s="90" t="str">
        <f>Q86*V86</f>
      </c>
      <c r="X86" s="91" t="str">
        <f>R86*V86</f>
      </c>
      <c r="Y86" s="92" t="str">
        <f>S86*V86</f>
      </c>
      <c r="Z86" s="93" t="str">
        <f>IFERROR(INDEX('Cost_Components'!$T$2:$T$6,MATCH(E86,'Cost_Components'!$A$2:$A$6,0)),"")</f>
      </c>
      <c r="AA86" s="94" t="str">
        <f>IFERROR(INDEX('Cost_Components'!$U$2:$U$6,MATCH(E86,'Cost_Components'!$A$2:$A$6,0)),"")</f>
      </c>
      <c r="AB86" s="95" t="str">
        <f>IFERROR(INDEX('Cost_Components'!$V$2:$V$6,MATCH(E86,'Cost_Components'!$A$2:$A$6,0)),"")</f>
      </c>
      <c r="AC86" s="96" t="str">
        <f>IFERROR(INDEX('Cost_Components'!$M$2:$M$6,MATCH(E86,'Cost_Components'!$A$2:$A$6,0)),"")</f>
      </c>
      <c r="AD86" s="97" t="str">
        <f>IFERROR(INDEX('Cost_Components'!$N$2:$N$6,MATCH(E86,'Cost_Components'!$A$2:$A$6,0)),"")</f>
      </c>
      <c r="AE86" s="34" t="str">
        <f>IFERROR(INDEX('Cost_Components'!$O$2:$O$6,MATCH(E86,'Cost_Components'!$A$2:$A$6,0)),"")</f>
      </c>
      <c r="AF86" s="98" t="n">
        <v>17376172.8647576</v>
      </c>
      <c r="AG86" s="99" t="n">
        <v>17374429.7443926</v>
      </c>
      <c r="AH86" s="100" t="str">
        <f>IF(H86="shared-count-once",COUNTIFS($A$2:$A$131,A86,$B$2:$B$131,B86,$E$2:$E$131,E86),1)</f>
      </c>
      <c r="AI86" s="101" t="n">
        <v>300119636.925519</v>
      </c>
      <c r="AJ86" s="102" t="str">
        <f>IF(AI86=0,"",Q86/AI86)</f>
      </c>
      <c r="AK86" s="103" t="str">
        <f>IF(AI86=0,"",R86/AI86)</f>
      </c>
      <c r="AL86" s="104" t="str">
        <f>IF(AI86=0,"",S86/AI86)</f>
      </c>
      <c r="AM86" s="105" t="str">
        <f>IF(AI86=0,"",Y86/AI86)</f>
      </c>
    </row>
    <row r="87">
      <c r="A87" t="s">
        <v>115</v>
      </c>
      <c r="B87" s="73" t="n">
        <v>2032</v>
      </c>
      <c r="C87" t="s">
        <v>231</v>
      </c>
      <c r="D87" t="s">
        <v>235</v>
      </c>
      <c r="E87" s="74" t="s">
        <v>279</v>
      </c>
      <c r="F87" s="75" t="s">
        <v>280</v>
      </c>
      <c r="G87" s="76" t="s">
        <v>232</v>
      </c>
      <c r="H87" s="77" t="s">
        <v>239</v>
      </c>
      <c r="I87" s="78" t="s">
        <v>277</v>
      </c>
      <c r="J87" s="79" t="str">
        <f>IFERROR(INDEX('Cost_Components'!$K$2:$K$6,MATCH(E87,'Cost_Components'!$A$2:$A$6,0)),"")</f>
      </c>
      <c r="K87" s="106" t="n">
        <v>0.204107078953644</v>
      </c>
      <c r="L87" s="80" t="str">
        <f>IFERROR(INDEX('Cost_Components'!$S$2:$S$6,MATCH(E87,'Cost_Components'!$A$2:$A$6,0)),"")</f>
      </c>
      <c r="M87" s="81" t="str">
        <f>IFERROR(INDEX('Cost_Components'!$L$2:$L$6,MATCH(E87,'Cost_Components'!$A$2:$A$6,0)),"")</f>
      </c>
      <c r="N87" s="82" t="str">
        <f>IFERROR(INDEX('Cost_Components'!$P$2:$P$6,MATCH(E87,'Cost_Components'!$A$2:$A$6,0)),"")</f>
      </c>
      <c r="O87" s="83" t="str">
        <f>AF87*J87</f>
      </c>
      <c r="P87" s="84" t="str">
        <f>AG87*J87</f>
      </c>
      <c r="Q87" s="85" t="str">
        <f>P87*L87*M87*N87</f>
      </c>
      <c r="R87" s="86" t="str">
        <f>O87*K87*M87*N87</f>
      </c>
      <c r="S87" s="87" t="str">
        <f>R87-Q87</f>
      </c>
      <c r="T87" s="34" t="str">
        <f>IFERROR(INDEX('Cost_Components'!$R$2:$R$6,MATCH(E87,'Cost_Components'!$A$2:$A$6,0)),"")</f>
      </c>
      <c r="U87" s="88" t="str">
        <f>IFERROR(INDEX('Cost_Components'!$Q$2:$Q$6,MATCH(E87,'Cost_Components'!$A$2:$A$6,0)),"")</f>
      </c>
      <c r="V87" s="89" t="str">
        <f>1/(1+'Calculation_Assumptions'!$B$5)^(B87-'Calculation_Assumptions'!$B$2)</f>
      </c>
      <c r="W87" s="90" t="str">
        <f>Q87*V87</f>
      </c>
      <c r="X87" s="91" t="str">
        <f>R87*V87</f>
      </c>
      <c r="Y87" s="92" t="str">
        <f>S87*V87</f>
      </c>
      <c r="Z87" s="93" t="str">
        <f>IFERROR(INDEX('Cost_Components'!$T$2:$T$6,MATCH(E87,'Cost_Components'!$A$2:$A$6,0)),"")</f>
      </c>
      <c r="AA87" s="94" t="str">
        <f>IFERROR(INDEX('Cost_Components'!$U$2:$U$6,MATCH(E87,'Cost_Components'!$A$2:$A$6,0)),"")</f>
      </c>
      <c r="AB87" s="95" t="str">
        <f>IFERROR(INDEX('Cost_Components'!$V$2:$V$6,MATCH(E87,'Cost_Components'!$A$2:$A$6,0)),"")</f>
      </c>
      <c r="AC87" s="96" t="str">
        <f>IFERROR(INDEX('Cost_Components'!$M$2:$M$6,MATCH(E87,'Cost_Components'!$A$2:$A$6,0)),"")</f>
      </c>
      <c r="AD87" s="97" t="str">
        <f>IFERROR(INDEX('Cost_Components'!$N$2:$N$6,MATCH(E87,'Cost_Components'!$A$2:$A$6,0)),"")</f>
      </c>
      <c r="AE87" s="34" t="str">
        <f>IFERROR(INDEX('Cost_Components'!$O$2:$O$6,MATCH(E87,'Cost_Components'!$A$2:$A$6,0)),"")</f>
      </c>
      <c r="AF87" s="98" t="n">
        <v>17826880.8801984</v>
      </c>
      <c r="AG87" s="99" t="n">
        <v>17822626.340663</v>
      </c>
      <c r="AH87" s="100" t="str">
        <f>IF(H87="shared-count-once",COUNTIFS($A$2:$A$131,A87,$B$2:$B$131,B87,$E$2:$E$131,E87),1)</f>
      </c>
      <c r="AI87" s="101" t="n">
        <v>301904628.083541</v>
      </c>
      <c r="AJ87" s="102" t="str">
        <f>IF(AI87=0,"",Q87/AI87)</f>
      </c>
      <c r="AK87" s="103" t="str">
        <f>IF(AI87=0,"",R87/AI87)</f>
      </c>
      <c r="AL87" s="104" t="str">
        <f>IF(AI87=0,"",S87/AI87)</f>
      </c>
      <c r="AM87" s="105" t="str">
        <f>IF(AI87=0,"",Y87/AI87)</f>
      </c>
    </row>
    <row r="88">
      <c r="A88" t="s">
        <v>115</v>
      </c>
      <c r="B88" s="73" t="n">
        <v>2033</v>
      </c>
      <c r="C88" t="s">
        <v>231</v>
      </c>
      <c r="D88" t="s">
        <v>235</v>
      </c>
      <c r="E88" s="74" t="s">
        <v>279</v>
      </c>
      <c r="F88" s="75" t="s">
        <v>280</v>
      </c>
      <c r="G88" s="76" t="s">
        <v>232</v>
      </c>
      <c r="H88" s="77" t="s">
        <v>239</v>
      </c>
      <c r="I88" s="78" t="s">
        <v>277</v>
      </c>
      <c r="J88" s="79" t="str">
        <f>IFERROR(INDEX('Cost_Components'!$K$2:$K$6,MATCH(E88,'Cost_Components'!$A$2:$A$6,0)),"")</f>
      </c>
      <c r="K88" s="106" t="n">
        <v>0.230656194084438</v>
      </c>
      <c r="L88" s="80" t="str">
        <f>IFERROR(INDEX('Cost_Components'!$S$2:$S$6,MATCH(E88,'Cost_Components'!$A$2:$A$6,0)),"")</f>
      </c>
      <c r="M88" s="81" t="str">
        <f>IFERROR(INDEX('Cost_Components'!$L$2:$L$6,MATCH(E88,'Cost_Components'!$A$2:$A$6,0)),"")</f>
      </c>
      <c r="N88" s="82" t="str">
        <f>IFERROR(INDEX('Cost_Components'!$P$2:$P$6,MATCH(E88,'Cost_Components'!$A$2:$A$6,0)),"")</f>
      </c>
      <c r="O88" s="83" t="str">
        <f>AF88*J88</f>
      </c>
      <c r="P88" s="84" t="str">
        <f>AG88*J88</f>
      </c>
      <c r="Q88" s="85" t="str">
        <f>P88*L88*M88*N88</f>
      </c>
      <c r="R88" s="86" t="str">
        <f>O88*K88*M88*N88</f>
      </c>
      <c r="S88" s="87" t="str">
        <f>R88-Q88</f>
      </c>
      <c r="T88" s="34" t="str">
        <f>IFERROR(INDEX('Cost_Components'!$R$2:$R$6,MATCH(E88,'Cost_Components'!$A$2:$A$6,0)),"")</f>
      </c>
      <c r="U88" s="88" t="str">
        <f>IFERROR(INDEX('Cost_Components'!$Q$2:$Q$6,MATCH(E88,'Cost_Components'!$A$2:$A$6,0)),"")</f>
      </c>
      <c r="V88" s="89" t="str">
        <f>1/(1+'Calculation_Assumptions'!$B$5)^(B88-'Calculation_Assumptions'!$B$2)</f>
      </c>
      <c r="W88" s="90" t="str">
        <f>Q88*V88</f>
      </c>
      <c r="X88" s="91" t="str">
        <f>R88*V88</f>
      </c>
      <c r="Y88" s="92" t="str">
        <f>S88*V88</f>
      </c>
      <c r="Z88" s="93" t="str">
        <f>IFERROR(INDEX('Cost_Components'!$T$2:$T$6,MATCH(E88,'Cost_Components'!$A$2:$A$6,0)),"")</f>
      </c>
      <c r="AA88" s="94" t="str">
        <f>IFERROR(INDEX('Cost_Components'!$U$2:$U$6,MATCH(E88,'Cost_Components'!$A$2:$A$6,0)),"")</f>
      </c>
      <c r="AB88" s="95" t="str">
        <f>IFERROR(INDEX('Cost_Components'!$V$2:$V$6,MATCH(E88,'Cost_Components'!$A$2:$A$6,0)),"")</f>
      </c>
      <c r="AC88" s="96" t="str">
        <f>IFERROR(INDEX('Cost_Components'!$M$2:$M$6,MATCH(E88,'Cost_Components'!$A$2:$A$6,0)),"")</f>
      </c>
      <c r="AD88" s="97" t="str">
        <f>IFERROR(INDEX('Cost_Components'!$N$2:$N$6,MATCH(E88,'Cost_Components'!$A$2:$A$6,0)),"")</f>
      </c>
      <c r="AE88" s="34" t="str">
        <f>IFERROR(INDEX('Cost_Components'!$O$2:$O$6,MATCH(E88,'Cost_Components'!$A$2:$A$6,0)),"")</f>
      </c>
      <c r="AF88" s="98" t="n">
        <v>18257745.4024144</v>
      </c>
      <c r="AG88" s="99" t="n">
        <v>18249802.0286649</v>
      </c>
      <c r="AH88" s="100" t="str">
        <f>IF(H88="shared-count-once",COUNTIFS($A$2:$A$131,A88,$B$2:$B$131,B88,$E$2:$E$131,E88),1)</f>
      </c>
      <c r="AI88" s="101" t="n">
        <v>303644277.16916</v>
      </c>
      <c r="AJ88" s="102" t="str">
        <f>IF(AI88=0,"",Q88/AI88)</f>
      </c>
      <c r="AK88" s="103" t="str">
        <f>IF(AI88=0,"",R88/AI88)</f>
      </c>
      <c r="AL88" s="104" t="str">
        <f>IF(AI88=0,"",S88/AI88)</f>
      </c>
      <c r="AM88" s="105" t="str">
        <f>IF(AI88=0,"",Y88/AI88)</f>
      </c>
    </row>
    <row r="89">
      <c r="A89" t="s">
        <v>115</v>
      </c>
      <c r="B89" s="73" t="n">
        <v>2034</v>
      </c>
      <c r="C89" t="s">
        <v>231</v>
      </c>
      <c r="D89" t="s">
        <v>235</v>
      </c>
      <c r="E89" s="74" t="s">
        <v>279</v>
      </c>
      <c r="F89" s="75" t="s">
        <v>280</v>
      </c>
      <c r="G89" s="76" t="s">
        <v>232</v>
      </c>
      <c r="H89" s="77" t="s">
        <v>239</v>
      </c>
      <c r="I89" s="78" t="s">
        <v>277</v>
      </c>
      <c r="J89" s="79" t="str">
        <f>IFERROR(INDEX('Cost_Components'!$K$2:$K$6,MATCH(E89,'Cost_Components'!$A$2:$A$6,0)),"")</f>
      </c>
      <c r="K89" s="106" t="n">
        <v>0.257205309215233</v>
      </c>
      <c r="L89" s="80" t="str">
        <f>IFERROR(INDEX('Cost_Components'!$S$2:$S$6,MATCH(E89,'Cost_Components'!$A$2:$A$6,0)),"")</f>
      </c>
      <c r="M89" s="81" t="str">
        <f>IFERROR(INDEX('Cost_Components'!$L$2:$L$6,MATCH(E89,'Cost_Components'!$A$2:$A$6,0)),"")</f>
      </c>
      <c r="N89" s="82" t="str">
        <f>IFERROR(INDEX('Cost_Components'!$P$2:$P$6,MATCH(E89,'Cost_Components'!$A$2:$A$6,0)),"")</f>
      </c>
      <c r="O89" s="83" t="str">
        <f>AF89*J89</f>
      </c>
      <c r="P89" s="84" t="str">
        <f>AG89*J89</f>
      </c>
      <c r="Q89" s="85" t="str">
        <f>P89*L89*M89*N89</f>
      </c>
      <c r="R89" s="86" t="str">
        <f>O89*K89*M89*N89</f>
      </c>
      <c r="S89" s="87" t="str">
        <f>R89-Q89</f>
      </c>
      <c r="T89" s="34" t="str">
        <f>IFERROR(INDEX('Cost_Components'!$R$2:$R$6,MATCH(E89,'Cost_Components'!$A$2:$A$6,0)),"")</f>
      </c>
      <c r="U89" s="88" t="str">
        <f>IFERROR(INDEX('Cost_Components'!$Q$2:$Q$6,MATCH(E89,'Cost_Components'!$A$2:$A$6,0)),"")</f>
      </c>
      <c r="V89" s="89" t="str">
        <f>1/(1+'Calculation_Assumptions'!$B$5)^(B89-'Calculation_Assumptions'!$B$2)</f>
      </c>
      <c r="W89" s="90" t="str">
        <f>Q89*V89</f>
      </c>
      <c r="X89" s="91" t="str">
        <f>R89*V89</f>
      </c>
      <c r="Y89" s="92" t="str">
        <f>S89*V89</f>
      </c>
      <c r="Z89" s="93" t="str">
        <f>IFERROR(INDEX('Cost_Components'!$T$2:$T$6,MATCH(E89,'Cost_Components'!$A$2:$A$6,0)),"")</f>
      </c>
      <c r="AA89" s="94" t="str">
        <f>IFERROR(INDEX('Cost_Components'!$U$2:$U$6,MATCH(E89,'Cost_Components'!$A$2:$A$6,0)),"")</f>
      </c>
      <c r="AB89" s="95" t="str">
        <f>IFERROR(INDEX('Cost_Components'!$V$2:$V$6,MATCH(E89,'Cost_Components'!$A$2:$A$6,0)),"")</f>
      </c>
      <c r="AC89" s="96" t="str">
        <f>IFERROR(INDEX('Cost_Components'!$M$2:$M$6,MATCH(E89,'Cost_Components'!$A$2:$A$6,0)),"")</f>
      </c>
      <c r="AD89" s="97" t="str">
        <f>IFERROR(INDEX('Cost_Components'!$N$2:$N$6,MATCH(E89,'Cost_Components'!$A$2:$A$6,0)),"")</f>
      </c>
      <c r="AE89" s="34" t="str">
        <f>IFERROR(INDEX('Cost_Components'!$O$2:$O$6,MATCH(E89,'Cost_Components'!$A$2:$A$6,0)),"")</f>
      </c>
      <c r="AF89" s="98" t="n">
        <v>18689261.8357601</v>
      </c>
      <c r="AG89" s="99" t="n">
        <v>18676437.5832843</v>
      </c>
      <c r="AH89" s="100" t="str">
        <f>IF(H89="shared-count-once",COUNTIFS($A$2:$A$131,A89,$B$2:$B$131,B89,$E$2:$E$131,E89),1)</f>
      </c>
      <c r="AI89" s="101" t="n">
        <v>305332541.184984</v>
      </c>
      <c r="AJ89" s="102" t="str">
        <f>IF(AI89=0,"",Q89/AI89)</f>
      </c>
      <c r="AK89" s="103" t="str">
        <f>IF(AI89=0,"",R89/AI89)</f>
      </c>
      <c r="AL89" s="104" t="str">
        <f>IF(AI89=0,"",S89/AI89)</f>
      </c>
      <c r="AM89" s="105" t="str">
        <f>IF(AI89=0,"",Y89/AI89)</f>
      </c>
    </row>
    <row r="90">
      <c r="A90" t="s">
        <v>115</v>
      </c>
      <c r="B90" s="73" t="n">
        <v>2035</v>
      </c>
      <c r="C90" t="s">
        <v>231</v>
      </c>
      <c r="D90" t="s">
        <v>235</v>
      </c>
      <c r="E90" s="74" t="s">
        <v>279</v>
      </c>
      <c r="F90" s="75" t="s">
        <v>280</v>
      </c>
      <c r="G90" s="76" t="s">
        <v>232</v>
      </c>
      <c r="H90" s="77" t="s">
        <v>239</v>
      </c>
      <c r="I90" s="78" t="s">
        <v>277</v>
      </c>
      <c r="J90" s="79" t="str">
        <f>IFERROR(INDEX('Cost_Components'!$K$2:$K$6,MATCH(E90,'Cost_Components'!$A$2:$A$6,0)),"")</f>
      </c>
      <c r="K90" s="106" t="n">
        <v>0.283754424346027</v>
      </c>
      <c r="L90" s="80" t="str">
        <f>IFERROR(INDEX('Cost_Components'!$S$2:$S$6,MATCH(E90,'Cost_Components'!$A$2:$A$6,0)),"")</f>
      </c>
      <c r="M90" s="81" t="str">
        <f>IFERROR(INDEX('Cost_Components'!$L$2:$L$6,MATCH(E90,'Cost_Components'!$A$2:$A$6,0)),"")</f>
      </c>
      <c r="N90" s="82" t="str">
        <f>IFERROR(INDEX('Cost_Components'!$P$2:$P$6,MATCH(E90,'Cost_Components'!$A$2:$A$6,0)),"")</f>
      </c>
      <c r="O90" s="83" t="str">
        <f>AF90*J90</f>
      </c>
      <c r="P90" s="84" t="str">
        <f>AG90*J90</f>
      </c>
      <c r="Q90" s="85" t="str">
        <f>P90*L90*M90*N90</f>
      </c>
      <c r="R90" s="86" t="str">
        <f>O90*K90*M90*N90</f>
      </c>
      <c r="S90" s="87" t="str">
        <f>R90-Q90</f>
      </c>
      <c r="T90" s="34" t="str">
        <f>IFERROR(INDEX('Cost_Components'!$R$2:$R$6,MATCH(E90,'Cost_Components'!$A$2:$A$6,0)),"")</f>
      </c>
      <c r="U90" s="88" t="str">
        <f>IFERROR(INDEX('Cost_Components'!$Q$2:$Q$6,MATCH(E90,'Cost_Components'!$A$2:$A$6,0)),"")</f>
      </c>
      <c r="V90" s="89" t="str">
        <f>1/(1+'Calculation_Assumptions'!$B$5)^(B90-'Calculation_Assumptions'!$B$2)</f>
      </c>
      <c r="W90" s="90" t="str">
        <f>Q90*V90</f>
      </c>
      <c r="X90" s="91" t="str">
        <f>R90*V90</f>
      </c>
      <c r="Y90" s="92" t="str">
        <f>S90*V90</f>
      </c>
      <c r="Z90" s="93" t="str">
        <f>IFERROR(INDEX('Cost_Components'!$T$2:$T$6,MATCH(E90,'Cost_Components'!$A$2:$A$6,0)),"")</f>
      </c>
      <c r="AA90" s="94" t="str">
        <f>IFERROR(INDEX('Cost_Components'!$U$2:$U$6,MATCH(E90,'Cost_Components'!$A$2:$A$6,0)),"")</f>
      </c>
      <c r="AB90" s="95" t="str">
        <f>IFERROR(INDEX('Cost_Components'!$V$2:$V$6,MATCH(E90,'Cost_Components'!$A$2:$A$6,0)),"")</f>
      </c>
      <c r="AC90" s="96" t="str">
        <f>IFERROR(INDEX('Cost_Components'!$M$2:$M$6,MATCH(E90,'Cost_Components'!$A$2:$A$6,0)),"")</f>
      </c>
      <c r="AD90" s="97" t="str">
        <f>IFERROR(INDEX('Cost_Components'!$N$2:$N$6,MATCH(E90,'Cost_Components'!$A$2:$A$6,0)),"")</f>
      </c>
      <c r="AE90" s="34" t="str">
        <f>IFERROR(INDEX('Cost_Components'!$O$2:$O$6,MATCH(E90,'Cost_Components'!$A$2:$A$6,0)),"")</f>
      </c>
      <c r="AF90" s="98" t="n">
        <v>19120832.7155192</v>
      </c>
      <c r="AG90" s="99" t="n">
        <v>19101916.5677958</v>
      </c>
      <c r="AH90" s="100" t="str">
        <f>IF(H90="shared-count-once",COUNTIFS($A$2:$A$131,A90,$B$2:$B$131,B90,$E$2:$E$131,E90),1)</f>
      </c>
      <c r="AI90" s="101" t="n">
        <v>306964650.16712</v>
      </c>
      <c r="AJ90" s="102" t="str">
        <f>IF(AI90=0,"",Q90/AI90)</f>
      </c>
      <c r="AK90" s="103" t="str">
        <f>IF(AI90=0,"",R90/AI90)</f>
      </c>
      <c r="AL90" s="104" t="str">
        <f>IF(AI90=0,"",S90/AI90)</f>
      </c>
      <c r="AM90" s="105" t="str">
        <f>IF(AI90=0,"",Y90/AI90)</f>
      </c>
    </row>
    <row r="91">
      <c r="A91" t="s">
        <v>115</v>
      </c>
      <c r="B91" s="73" t="n">
        <v>2036</v>
      </c>
      <c r="C91" t="s">
        <v>231</v>
      </c>
      <c r="D91" t="s">
        <v>235</v>
      </c>
      <c r="E91" s="74" t="s">
        <v>279</v>
      </c>
      <c r="F91" s="75" t="s">
        <v>280</v>
      </c>
      <c r="G91" s="76" t="s">
        <v>232</v>
      </c>
      <c r="H91" s="77" t="s">
        <v>239</v>
      </c>
      <c r="I91" s="78" t="s">
        <v>277</v>
      </c>
      <c r="J91" s="79" t="str">
        <f>IFERROR(INDEX('Cost_Components'!$K$2:$K$6,MATCH(E91,'Cost_Components'!$A$2:$A$6,0)),"")</f>
      </c>
      <c r="K91" s="106" t="n">
        <v>0.310303539476822</v>
      </c>
      <c r="L91" s="80" t="str">
        <f>IFERROR(INDEX('Cost_Components'!$S$2:$S$6,MATCH(E91,'Cost_Components'!$A$2:$A$6,0)),"")</f>
      </c>
      <c r="M91" s="81" t="str">
        <f>IFERROR(INDEX('Cost_Components'!$L$2:$L$6,MATCH(E91,'Cost_Components'!$A$2:$A$6,0)),"")</f>
      </c>
      <c r="N91" s="82" t="str">
        <f>IFERROR(INDEX('Cost_Components'!$P$2:$P$6,MATCH(E91,'Cost_Components'!$A$2:$A$6,0)),"")</f>
      </c>
      <c r="O91" s="83" t="str">
        <f>AF91*J91</f>
      </c>
      <c r="P91" s="84" t="str">
        <f>AG91*J91</f>
      </c>
      <c r="Q91" s="85" t="str">
        <f>P91*L91*M91*N91</f>
      </c>
      <c r="R91" s="86" t="str">
        <f>O91*K91*M91*N91</f>
      </c>
      <c r="S91" s="87" t="str">
        <f>R91-Q91</f>
      </c>
      <c r="T91" s="34" t="str">
        <f>IFERROR(INDEX('Cost_Components'!$R$2:$R$6,MATCH(E91,'Cost_Components'!$A$2:$A$6,0)),"")</f>
      </c>
      <c r="U91" s="88" t="str">
        <f>IFERROR(INDEX('Cost_Components'!$Q$2:$Q$6,MATCH(E91,'Cost_Components'!$A$2:$A$6,0)),"")</f>
      </c>
      <c r="V91" s="89" t="str">
        <f>1/(1+'Calculation_Assumptions'!$B$5)^(B91-'Calculation_Assumptions'!$B$2)</f>
      </c>
      <c r="W91" s="90" t="str">
        <f>Q91*V91</f>
      </c>
      <c r="X91" s="91" t="str">
        <f>R91*V91</f>
      </c>
      <c r="Y91" s="92" t="str">
        <f>S91*V91</f>
      </c>
      <c r="Z91" s="93" t="str">
        <f>IFERROR(INDEX('Cost_Components'!$T$2:$T$6,MATCH(E91,'Cost_Components'!$A$2:$A$6,0)),"")</f>
      </c>
      <c r="AA91" s="94" t="str">
        <f>IFERROR(INDEX('Cost_Components'!$U$2:$U$6,MATCH(E91,'Cost_Components'!$A$2:$A$6,0)),"")</f>
      </c>
      <c r="AB91" s="95" t="str">
        <f>IFERROR(INDEX('Cost_Components'!$V$2:$V$6,MATCH(E91,'Cost_Components'!$A$2:$A$6,0)),"")</f>
      </c>
      <c r="AC91" s="96" t="str">
        <f>IFERROR(INDEX('Cost_Components'!$M$2:$M$6,MATCH(E91,'Cost_Components'!$A$2:$A$6,0)),"")</f>
      </c>
      <c r="AD91" s="97" t="str">
        <f>IFERROR(INDEX('Cost_Components'!$N$2:$N$6,MATCH(E91,'Cost_Components'!$A$2:$A$6,0)),"")</f>
      </c>
      <c r="AE91" s="34" t="str">
        <f>IFERROR(INDEX('Cost_Components'!$O$2:$O$6,MATCH(E91,'Cost_Components'!$A$2:$A$6,0)),"")</f>
      </c>
      <c r="AF91" s="98" t="n">
        <v>19553066.6671978</v>
      </c>
      <c r="AG91" s="99" t="n">
        <v>19526805.7427516</v>
      </c>
      <c r="AH91" s="100" t="str">
        <f>IF(H91="shared-count-once",COUNTIFS($A$2:$A$131,A91,$B$2:$B$131,B91,$E$2:$E$131,E91),1)</f>
      </c>
      <c r="AI91" s="101" t="n">
        <v>308542769.756622</v>
      </c>
      <c r="AJ91" s="102" t="str">
        <f>IF(AI91=0,"",Q91/AI91)</f>
      </c>
      <c r="AK91" s="103" t="str">
        <f>IF(AI91=0,"",R91/AI91)</f>
      </c>
      <c r="AL91" s="104" t="str">
        <f>IF(AI91=0,"",S91/AI91)</f>
      </c>
      <c r="AM91" s="105" t="str">
        <f>IF(AI91=0,"",Y91/AI91)</f>
      </c>
    </row>
    <row r="92">
      <c r="A92" t="s">
        <v>115</v>
      </c>
      <c r="B92" s="73" t="n">
        <v>2037</v>
      </c>
      <c r="C92" t="s">
        <v>231</v>
      </c>
      <c r="D92" t="s">
        <v>235</v>
      </c>
      <c r="E92" s="74" t="s">
        <v>279</v>
      </c>
      <c r="F92" s="75" t="s">
        <v>280</v>
      </c>
      <c r="G92" s="76" t="s">
        <v>232</v>
      </c>
      <c r="H92" s="77" t="s">
        <v>239</v>
      </c>
      <c r="I92" s="78" t="s">
        <v>277</v>
      </c>
      <c r="J92" s="79" t="str">
        <f>IFERROR(INDEX('Cost_Components'!$K$2:$K$6,MATCH(E92,'Cost_Components'!$A$2:$A$6,0)),"")</f>
      </c>
      <c r="K92" s="106" t="n">
        <v>0.336852654607616</v>
      </c>
      <c r="L92" s="80" t="str">
        <f>IFERROR(INDEX('Cost_Components'!$S$2:$S$6,MATCH(E92,'Cost_Components'!$A$2:$A$6,0)),"")</f>
      </c>
      <c r="M92" s="81" t="str">
        <f>IFERROR(INDEX('Cost_Components'!$L$2:$L$6,MATCH(E92,'Cost_Components'!$A$2:$A$6,0)),"")</f>
      </c>
      <c r="N92" s="82" t="str">
        <f>IFERROR(INDEX('Cost_Components'!$P$2:$P$6,MATCH(E92,'Cost_Components'!$A$2:$A$6,0)),"")</f>
      </c>
      <c r="O92" s="83" t="str">
        <f>AF92*J92</f>
      </c>
      <c r="P92" s="84" t="str">
        <f>AG92*J92</f>
      </c>
      <c r="Q92" s="85" t="str">
        <f>P92*L92*M92*N92</f>
      </c>
      <c r="R92" s="86" t="str">
        <f>O92*K92*M92*N92</f>
      </c>
      <c r="S92" s="87" t="str">
        <f>R92-Q92</f>
      </c>
      <c r="T92" s="34" t="str">
        <f>IFERROR(INDEX('Cost_Components'!$R$2:$R$6,MATCH(E92,'Cost_Components'!$A$2:$A$6,0)),"")</f>
      </c>
      <c r="U92" s="88" t="str">
        <f>IFERROR(INDEX('Cost_Components'!$Q$2:$Q$6,MATCH(E92,'Cost_Components'!$A$2:$A$6,0)),"")</f>
      </c>
      <c r="V92" s="89" t="str">
        <f>1/(1+'Calculation_Assumptions'!$B$5)^(B92-'Calculation_Assumptions'!$B$2)</f>
      </c>
      <c r="W92" s="90" t="str">
        <f>Q92*V92</f>
      </c>
      <c r="X92" s="91" t="str">
        <f>R92*V92</f>
      </c>
      <c r="Y92" s="92" t="str">
        <f>S92*V92</f>
      </c>
      <c r="Z92" s="93" t="str">
        <f>IFERROR(INDEX('Cost_Components'!$T$2:$T$6,MATCH(E92,'Cost_Components'!$A$2:$A$6,0)),"")</f>
      </c>
      <c r="AA92" s="94" t="str">
        <f>IFERROR(INDEX('Cost_Components'!$U$2:$U$6,MATCH(E92,'Cost_Components'!$A$2:$A$6,0)),"")</f>
      </c>
      <c r="AB92" s="95" t="str">
        <f>IFERROR(INDEX('Cost_Components'!$V$2:$V$6,MATCH(E92,'Cost_Components'!$A$2:$A$6,0)),"")</f>
      </c>
      <c r="AC92" s="96" t="str">
        <f>IFERROR(INDEX('Cost_Components'!$M$2:$M$6,MATCH(E92,'Cost_Components'!$A$2:$A$6,0)),"")</f>
      </c>
      <c r="AD92" s="97" t="str">
        <f>IFERROR(INDEX('Cost_Components'!$N$2:$N$6,MATCH(E92,'Cost_Components'!$A$2:$A$6,0)),"")</f>
      </c>
      <c r="AE92" s="34" t="str">
        <f>IFERROR(INDEX('Cost_Components'!$O$2:$O$6,MATCH(E92,'Cost_Components'!$A$2:$A$6,0)),"")</f>
      </c>
      <c r="AF92" s="98" t="n">
        <v>19986376.2950974</v>
      </c>
      <c r="AG92" s="99" t="n">
        <v>19951492.7245041</v>
      </c>
      <c r="AH92" s="100" t="str">
        <f>IF(H92="shared-count-once",COUNTIFS($A$2:$A$131,A92,$B$2:$B$131,B92,$E$2:$E$131,E92),1)</f>
      </c>
      <c r="AI92" s="101" t="n">
        <v>310068287.63643</v>
      </c>
      <c r="AJ92" s="102" t="str">
        <f>IF(AI92=0,"",Q92/AI92)</f>
      </c>
      <c r="AK92" s="103" t="str">
        <f>IF(AI92=0,"",R92/AI92)</f>
      </c>
      <c r="AL92" s="104" t="str">
        <f>IF(AI92=0,"",S92/AI92)</f>
      </c>
      <c r="AM92" s="105" t="str">
        <f>IF(AI92=0,"",Y92/AI92)</f>
      </c>
    </row>
    <row r="93">
      <c r="A93" t="s">
        <v>115</v>
      </c>
      <c r="B93" s="73" t="n">
        <v>2038</v>
      </c>
      <c r="C93" t="s">
        <v>231</v>
      </c>
      <c r="D93" t="s">
        <v>235</v>
      </c>
      <c r="E93" s="74" t="s">
        <v>279</v>
      </c>
      <c r="F93" s="75" t="s">
        <v>280</v>
      </c>
      <c r="G93" s="76" t="s">
        <v>232</v>
      </c>
      <c r="H93" s="77" t="s">
        <v>239</v>
      </c>
      <c r="I93" s="78" t="s">
        <v>277</v>
      </c>
      <c r="J93" s="79" t="str">
        <f>IFERROR(INDEX('Cost_Components'!$K$2:$K$6,MATCH(E93,'Cost_Components'!$A$2:$A$6,0)),"")</f>
      </c>
      <c r="K93" s="106" t="n">
        <v>0.363401769738411</v>
      </c>
      <c r="L93" s="80" t="str">
        <f>IFERROR(INDEX('Cost_Components'!$S$2:$S$6,MATCH(E93,'Cost_Components'!$A$2:$A$6,0)),"")</f>
      </c>
      <c r="M93" s="81" t="str">
        <f>IFERROR(INDEX('Cost_Components'!$L$2:$L$6,MATCH(E93,'Cost_Components'!$A$2:$A$6,0)),"")</f>
      </c>
      <c r="N93" s="82" t="str">
        <f>IFERROR(INDEX('Cost_Components'!$P$2:$P$6,MATCH(E93,'Cost_Components'!$A$2:$A$6,0)),"")</f>
      </c>
      <c r="O93" s="83" t="str">
        <f>AF93*J93</f>
      </c>
      <c r="P93" s="84" t="str">
        <f>AG93*J93</f>
      </c>
      <c r="Q93" s="85" t="str">
        <f>P93*L93*M93*N93</f>
      </c>
      <c r="R93" s="86" t="str">
        <f>O93*K93*M93*N93</f>
      </c>
      <c r="S93" s="87" t="str">
        <f>R93-Q93</f>
      </c>
      <c r="T93" s="34" t="str">
        <f>IFERROR(INDEX('Cost_Components'!$R$2:$R$6,MATCH(E93,'Cost_Components'!$A$2:$A$6,0)),"")</f>
      </c>
      <c r="U93" s="88" t="str">
        <f>IFERROR(INDEX('Cost_Components'!$Q$2:$Q$6,MATCH(E93,'Cost_Components'!$A$2:$A$6,0)),"")</f>
      </c>
      <c r="V93" s="89" t="str">
        <f>1/(1+'Calculation_Assumptions'!$B$5)^(B93-'Calculation_Assumptions'!$B$2)</f>
      </c>
      <c r="W93" s="90" t="str">
        <f>Q93*V93</f>
      </c>
      <c r="X93" s="91" t="str">
        <f>R93*V93</f>
      </c>
      <c r="Y93" s="92" t="str">
        <f>S93*V93</f>
      </c>
      <c r="Z93" s="93" t="str">
        <f>IFERROR(INDEX('Cost_Components'!$T$2:$T$6,MATCH(E93,'Cost_Components'!$A$2:$A$6,0)),"")</f>
      </c>
      <c r="AA93" s="94" t="str">
        <f>IFERROR(INDEX('Cost_Components'!$U$2:$U$6,MATCH(E93,'Cost_Components'!$A$2:$A$6,0)),"")</f>
      </c>
      <c r="AB93" s="95" t="str">
        <f>IFERROR(INDEX('Cost_Components'!$V$2:$V$6,MATCH(E93,'Cost_Components'!$A$2:$A$6,0)),"")</f>
      </c>
      <c r="AC93" s="96" t="str">
        <f>IFERROR(INDEX('Cost_Components'!$M$2:$M$6,MATCH(E93,'Cost_Components'!$A$2:$A$6,0)),"")</f>
      </c>
      <c r="AD93" s="97" t="str">
        <f>IFERROR(INDEX('Cost_Components'!$N$2:$N$6,MATCH(E93,'Cost_Components'!$A$2:$A$6,0)),"")</f>
      </c>
      <c r="AE93" s="34" t="str">
        <f>IFERROR(INDEX('Cost_Components'!$O$2:$O$6,MATCH(E93,'Cost_Components'!$A$2:$A$6,0)),"")</f>
      </c>
      <c r="AF93" s="98" t="n">
        <v>20419842.9901209</v>
      </c>
      <c r="AG93" s="99" t="n">
        <v>20375030.6756504</v>
      </c>
      <c r="AH93" s="100" t="str">
        <f>IF(H93="shared-count-once",COUNTIFS($A$2:$A$131,A93,$B$2:$B$131,B93,$E$2:$E$131,E93),1)</f>
      </c>
      <c r="AI93" s="101" t="n">
        <v>311532999.13163</v>
      </c>
      <c r="AJ93" s="102" t="str">
        <f>IF(AI93=0,"",Q93/AI93)</f>
      </c>
      <c r="AK93" s="103" t="str">
        <f>IF(AI93=0,"",R93/AI93)</f>
      </c>
      <c r="AL93" s="104" t="str">
        <f>IF(AI93=0,"",S93/AI93)</f>
      </c>
      <c r="AM93" s="105" t="str">
        <f>IF(AI93=0,"",Y93/AI93)</f>
      </c>
    </row>
    <row r="94">
      <c r="A94" t="s">
        <v>115</v>
      </c>
      <c r="B94" s="73" t="n">
        <v>2039</v>
      </c>
      <c r="C94" t="s">
        <v>231</v>
      </c>
      <c r="D94" t="s">
        <v>235</v>
      </c>
      <c r="E94" s="74" t="s">
        <v>279</v>
      </c>
      <c r="F94" s="75" t="s">
        <v>280</v>
      </c>
      <c r="G94" s="76" t="s">
        <v>232</v>
      </c>
      <c r="H94" s="77" t="s">
        <v>239</v>
      </c>
      <c r="I94" s="78" t="s">
        <v>277</v>
      </c>
      <c r="J94" s="79" t="str">
        <f>IFERROR(INDEX('Cost_Components'!$K$2:$K$6,MATCH(E94,'Cost_Components'!$A$2:$A$6,0)),"")</f>
      </c>
      <c r="K94" s="106" t="n">
        <v>0.389950884869205</v>
      </c>
      <c r="L94" s="80" t="str">
        <f>IFERROR(INDEX('Cost_Components'!$S$2:$S$6,MATCH(E94,'Cost_Components'!$A$2:$A$6,0)),"")</f>
      </c>
      <c r="M94" s="81" t="str">
        <f>IFERROR(INDEX('Cost_Components'!$L$2:$L$6,MATCH(E94,'Cost_Components'!$A$2:$A$6,0)),"")</f>
      </c>
      <c r="N94" s="82" t="str">
        <f>IFERROR(INDEX('Cost_Components'!$P$2:$P$6,MATCH(E94,'Cost_Components'!$A$2:$A$6,0)),"")</f>
      </c>
      <c r="O94" s="83" t="str">
        <f>AF94*J94</f>
      </c>
      <c r="P94" s="84" t="str">
        <f>AG94*J94</f>
      </c>
      <c r="Q94" s="85" t="str">
        <f>P94*L94*M94*N94</f>
      </c>
      <c r="R94" s="86" t="str">
        <f>O94*K94*M94*N94</f>
      </c>
      <c r="S94" s="87" t="str">
        <f>R94-Q94</f>
      </c>
      <c r="T94" s="34" t="str">
        <f>IFERROR(INDEX('Cost_Components'!$R$2:$R$6,MATCH(E94,'Cost_Components'!$A$2:$A$6,0)),"")</f>
      </c>
      <c r="U94" s="88" t="str">
        <f>IFERROR(INDEX('Cost_Components'!$Q$2:$Q$6,MATCH(E94,'Cost_Components'!$A$2:$A$6,0)),"")</f>
      </c>
      <c r="V94" s="89" t="str">
        <f>1/(1+'Calculation_Assumptions'!$B$5)^(B94-'Calculation_Assumptions'!$B$2)</f>
      </c>
      <c r="W94" s="90" t="str">
        <f>Q94*V94</f>
      </c>
      <c r="X94" s="91" t="str">
        <f>R94*V94</f>
      </c>
      <c r="Y94" s="92" t="str">
        <f>S94*V94</f>
      </c>
      <c r="Z94" s="93" t="str">
        <f>IFERROR(INDEX('Cost_Components'!$T$2:$T$6,MATCH(E94,'Cost_Components'!$A$2:$A$6,0)),"")</f>
      </c>
      <c r="AA94" s="94" t="str">
        <f>IFERROR(INDEX('Cost_Components'!$U$2:$U$6,MATCH(E94,'Cost_Components'!$A$2:$A$6,0)),"")</f>
      </c>
      <c r="AB94" s="95" t="str">
        <f>IFERROR(INDEX('Cost_Components'!$V$2:$V$6,MATCH(E94,'Cost_Components'!$A$2:$A$6,0)),"")</f>
      </c>
      <c r="AC94" s="96" t="str">
        <f>IFERROR(INDEX('Cost_Components'!$M$2:$M$6,MATCH(E94,'Cost_Components'!$A$2:$A$6,0)),"")</f>
      </c>
      <c r="AD94" s="97" t="str">
        <f>IFERROR(INDEX('Cost_Components'!$N$2:$N$6,MATCH(E94,'Cost_Components'!$A$2:$A$6,0)),"")</f>
      </c>
      <c r="AE94" s="34" t="str">
        <f>IFERROR(INDEX('Cost_Components'!$O$2:$O$6,MATCH(E94,'Cost_Components'!$A$2:$A$6,0)),"")</f>
      </c>
      <c r="AF94" s="98" t="n">
        <v>20851310.2302934</v>
      </c>
      <c r="AG94" s="99" t="n">
        <v>20795232.2002214</v>
      </c>
      <c r="AH94" s="100" t="str">
        <f>IF(H94="shared-count-once",COUNTIFS($A$2:$A$131,A94,$B$2:$B$131,B94,$E$2:$E$131,E94),1)</f>
      </c>
      <c r="AI94" s="101" t="n">
        <v>312936391.858479</v>
      </c>
      <c r="AJ94" s="102" t="str">
        <f>IF(AI94=0,"",Q94/AI94)</f>
      </c>
      <c r="AK94" s="103" t="str">
        <f>IF(AI94=0,"",R94/AI94)</f>
      </c>
      <c r="AL94" s="104" t="str">
        <f>IF(AI94=0,"",S94/AI94)</f>
      </c>
      <c r="AM94" s="105" t="str">
        <f>IF(AI94=0,"",Y94/AI94)</f>
      </c>
    </row>
    <row r="95">
      <c r="A95" t="s">
        <v>115</v>
      </c>
      <c r="B95" s="73" t="n">
        <v>2040</v>
      </c>
      <c r="C95" t="s">
        <v>231</v>
      </c>
      <c r="D95" t="s">
        <v>235</v>
      </c>
      <c r="E95" s="74" t="s">
        <v>279</v>
      </c>
      <c r="F95" s="75" t="s">
        <v>280</v>
      </c>
      <c r="G95" s="76" t="s">
        <v>232</v>
      </c>
      <c r="H95" s="77" t="s">
        <v>239</v>
      </c>
      <c r="I95" s="78" t="s">
        <v>277</v>
      </c>
      <c r="J95" s="79" t="str">
        <f>IFERROR(INDEX('Cost_Components'!$K$2:$K$6,MATCH(E95,'Cost_Components'!$A$2:$A$6,0)),"")</f>
      </c>
      <c r="K95" s="106" t="n">
        <v>0.4165</v>
      </c>
      <c r="L95" s="80" t="str">
        <f>IFERROR(INDEX('Cost_Components'!$S$2:$S$6,MATCH(E95,'Cost_Components'!$A$2:$A$6,0)),"")</f>
      </c>
      <c r="M95" s="81" t="str">
        <f>IFERROR(INDEX('Cost_Components'!$L$2:$L$6,MATCH(E95,'Cost_Components'!$A$2:$A$6,0)),"")</f>
      </c>
      <c r="N95" s="82" t="str">
        <f>IFERROR(INDEX('Cost_Components'!$P$2:$P$6,MATCH(E95,'Cost_Components'!$A$2:$A$6,0)),"")</f>
      </c>
      <c r="O95" s="83" t="str">
        <f>AF95*J95</f>
      </c>
      <c r="P95" s="84" t="str">
        <f>AG95*J95</f>
      </c>
      <c r="Q95" s="85" t="str">
        <f>P95*L95*M95*N95</f>
      </c>
      <c r="R95" s="86" t="str">
        <f>O95*K95*M95*N95</f>
      </c>
      <c r="S95" s="87" t="str">
        <f>R95-Q95</f>
      </c>
      <c r="T95" s="34" t="str">
        <f>IFERROR(INDEX('Cost_Components'!$R$2:$R$6,MATCH(E95,'Cost_Components'!$A$2:$A$6,0)),"")</f>
      </c>
      <c r="U95" s="88" t="str">
        <f>IFERROR(INDEX('Cost_Components'!$Q$2:$Q$6,MATCH(E95,'Cost_Components'!$A$2:$A$6,0)),"")</f>
      </c>
      <c r="V95" s="89" t="str">
        <f>1/(1+'Calculation_Assumptions'!$B$5)^(B95-'Calculation_Assumptions'!$B$2)</f>
      </c>
      <c r="W95" s="90" t="str">
        <f>Q95*V95</f>
      </c>
      <c r="X95" s="91" t="str">
        <f>R95*V95</f>
      </c>
      <c r="Y95" s="92" t="str">
        <f>S95*V95</f>
      </c>
      <c r="Z95" s="93" t="str">
        <f>IFERROR(INDEX('Cost_Components'!$T$2:$T$6,MATCH(E95,'Cost_Components'!$A$2:$A$6,0)),"")</f>
      </c>
      <c r="AA95" s="94" t="str">
        <f>IFERROR(INDEX('Cost_Components'!$U$2:$U$6,MATCH(E95,'Cost_Components'!$A$2:$A$6,0)),"")</f>
      </c>
      <c r="AB95" s="95" t="str">
        <f>IFERROR(INDEX('Cost_Components'!$V$2:$V$6,MATCH(E95,'Cost_Components'!$A$2:$A$6,0)),"")</f>
      </c>
      <c r="AC95" s="96" t="str">
        <f>IFERROR(INDEX('Cost_Components'!$M$2:$M$6,MATCH(E95,'Cost_Components'!$A$2:$A$6,0)),"")</f>
      </c>
      <c r="AD95" s="97" t="str">
        <f>IFERROR(INDEX('Cost_Components'!$N$2:$N$6,MATCH(E95,'Cost_Components'!$A$2:$A$6,0)),"")</f>
      </c>
      <c r="AE95" s="34" t="str">
        <f>IFERROR(INDEX('Cost_Components'!$O$2:$O$6,MATCH(E95,'Cost_Components'!$A$2:$A$6,0)),"")</f>
      </c>
      <c r="AF95" s="98" t="n">
        <v>21279626.4981505</v>
      </c>
      <c r="AG95" s="99" t="n">
        <v>21210933.1763601</v>
      </c>
      <c r="AH95" s="100" t="str">
        <f>IF(H95="shared-count-once",COUNTIFS($A$2:$A$131,A95,$B$2:$B$131,B95,$E$2:$E$131,E95),1)</f>
      </c>
      <c r="AI95" s="101" t="n">
        <v>314265537.410829</v>
      </c>
      <c r="AJ95" s="102" t="str">
        <f>IF(AI95=0,"",Q95/AI95)</f>
      </c>
      <c r="AK95" s="103" t="str">
        <f>IF(AI95=0,"",R95/AI95)</f>
      </c>
      <c r="AL95" s="104" t="str">
        <f>IF(AI95=0,"",S95/AI95)</f>
      </c>
      <c r="AM95" s="105" t="str">
        <f>IF(AI95=0,"",Y95/AI95)</f>
      </c>
    </row>
    <row r="96">
      <c r="A96" t="s">
        <v>115</v>
      </c>
      <c r="B96" s="73" t="n">
        <v>2041</v>
      </c>
      <c r="C96" t="s">
        <v>231</v>
      </c>
      <c r="D96" t="s">
        <v>235</v>
      </c>
      <c r="E96" s="74" t="s">
        <v>279</v>
      </c>
      <c r="F96" s="75" t="s">
        <v>280</v>
      </c>
      <c r="G96" s="76" t="s">
        <v>232</v>
      </c>
      <c r="H96" s="77" t="s">
        <v>239</v>
      </c>
      <c r="I96" s="78" t="s">
        <v>277</v>
      </c>
      <c r="J96" s="79" t="str">
        <f>IFERROR(INDEX('Cost_Components'!$K$2:$K$6,MATCH(E96,'Cost_Components'!$A$2:$A$6,0)),"")</f>
      </c>
      <c r="K96" s="106" t="n">
        <v>0.4165</v>
      </c>
      <c r="L96" s="80" t="str">
        <f>IFERROR(INDEX('Cost_Components'!$S$2:$S$6,MATCH(E96,'Cost_Components'!$A$2:$A$6,0)),"")</f>
      </c>
      <c r="M96" s="81" t="str">
        <f>IFERROR(INDEX('Cost_Components'!$L$2:$L$6,MATCH(E96,'Cost_Components'!$A$2:$A$6,0)),"")</f>
      </c>
      <c r="N96" s="82" t="str">
        <f>IFERROR(INDEX('Cost_Components'!$P$2:$P$6,MATCH(E96,'Cost_Components'!$A$2:$A$6,0)),"")</f>
      </c>
      <c r="O96" s="83" t="str">
        <f>AF96*J96</f>
      </c>
      <c r="P96" s="84" t="str">
        <f>AG96*J96</f>
      </c>
      <c r="Q96" s="85" t="str">
        <f>P96*L96*M96*N96</f>
      </c>
      <c r="R96" s="86" t="str">
        <f>O96*K96*M96*N96</f>
      </c>
      <c r="S96" s="87" t="str">
        <f>R96-Q96</f>
      </c>
      <c r="T96" s="34" t="str">
        <f>IFERROR(INDEX('Cost_Components'!$R$2:$R$6,MATCH(E96,'Cost_Components'!$A$2:$A$6,0)),"")</f>
      </c>
      <c r="U96" s="88" t="str">
        <f>IFERROR(INDEX('Cost_Components'!$Q$2:$Q$6,MATCH(E96,'Cost_Components'!$A$2:$A$6,0)),"")</f>
      </c>
      <c r="V96" s="89" t="str">
        <f>1/(1+'Calculation_Assumptions'!$B$5)^(B96-'Calculation_Assumptions'!$B$2)</f>
      </c>
      <c r="W96" s="90" t="str">
        <f>Q96*V96</f>
      </c>
      <c r="X96" s="91" t="str">
        <f>R96*V96</f>
      </c>
      <c r="Y96" s="92" t="str">
        <f>S96*V96</f>
      </c>
      <c r="Z96" s="93" t="str">
        <f>IFERROR(INDEX('Cost_Components'!$T$2:$T$6,MATCH(E96,'Cost_Components'!$A$2:$A$6,0)),"")</f>
      </c>
      <c r="AA96" s="94" t="str">
        <f>IFERROR(INDEX('Cost_Components'!$U$2:$U$6,MATCH(E96,'Cost_Components'!$A$2:$A$6,0)),"")</f>
      </c>
      <c r="AB96" s="95" t="str">
        <f>IFERROR(INDEX('Cost_Components'!$V$2:$V$6,MATCH(E96,'Cost_Components'!$A$2:$A$6,0)),"")</f>
      </c>
      <c r="AC96" s="96" t="str">
        <f>IFERROR(INDEX('Cost_Components'!$M$2:$M$6,MATCH(E96,'Cost_Components'!$A$2:$A$6,0)),"")</f>
      </c>
      <c r="AD96" s="97" t="str">
        <f>IFERROR(INDEX('Cost_Components'!$N$2:$N$6,MATCH(E96,'Cost_Components'!$A$2:$A$6,0)),"")</f>
      </c>
      <c r="AE96" s="34" t="str">
        <f>IFERROR(INDEX('Cost_Components'!$O$2:$O$6,MATCH(E96,'Cost_Components'!$A$2:$A$6,0)),"")</f>
      </c>
      <c r="AF96" s="98" t="n">
        <v>21707167.6623767</v>
      </c>
      <c r="AG96" s="99" t="n">
        <v>21626067.3217193</v>
      </c>
      <c r="AH96" s="100" t="str">
        <f>IF(H96="shared-count-once",COUNTIFS($A$2:$A$131,A96,$B$2:$B$131,B96,$E$2:$E$131,E96),1)</f>
      </c>
      <c r="AI96" s="101" t="n">
        <v>315525215.312548</v>
      </c>
      <c r="AJ96" s="102" t="str">
        <f>IF(AI96=0,"",Q96/AI96)</f>
      </c>
      <c r="AK96" s="103" t="str">
        <f>IF(AI96=0,"",R96/AI96)</f>
      </c>
      <c r="AL96" s="104" t="str">
        <f>IF(AI96=0,"",S96/AI96)</f>
      </c>
      <c r="AM96" s="105" t="str">
        <f>IF(AI96=0,"",Y96/AI96)</f>
      </c>
    </row>
    <row r="97">
      <c r="A97" t="s">
        <v>115</v>
      </c>
      <c r="B97" s="73" t="n">
        <v>2042</v>
      </c>
      <c r="C97" t="s">
        <v>231</v>
      </c>
      <c r="D97" t="s">
        <v>235</v>
      </c>
      <c r="E97" s="74" t="s">
        <v>279</v>
      </c>
      <c r="F97" s="75" t="s">
        <v>280</v>
      </c>
      <c r="G97" s="76" t="s">
        <v>232</v>
      </c>
      <c r="H97" s="77" t="s">
        <v>239</v>
      </c>
      <c r="I97" s="78" t="s">
        <v>277</v>
      </c>
      <c r="J97" s="79" t="str">
        <f>IFERROR(INDEX('Cost_Components'!$K$2:$K$6,MATCH(E97,'Cost_Components'!$A$2:$A$6,0)),"")</f>
      </c>
      <c r="K97" s="106" t="n">
        <v>0.4165</v>
      </c>
      <c r="L97" s="80" t="str">
        <f>IFERROR(INDEX('Cost_Components'!$S$2:$S$6,MATCH(E97,'Cost_Components'!$A$2:$A$6,0)),"")</f>
      </c>
      <c r="M97" s="81" t="str">
        <f>IFERROR(INDEX('Cost_Components'!$L$2:$L$6,MATCH(E97,'Cost_Components'!$A$2:$A$6,0)),"")</f>
      </c>
      <c r="N97" s="82" t="str">
        <f>IFERROR(INDEX('Cost_Components'!$P$2:$P$6,MATCH(E97,'Cost_Components'!$A$2:$A$6,0)),"")</f>
      </c>
      <c r="O97" s="83" t="str">
        <f>AF97*J97</f>
      </c>
      <c r="P97" s="84" t="str">
        <f>AG97*J97</f>
      </c>
      <c r="Q97" s="85" t="str">
        <f>P97*L97*M97*N97</f>
      </c>
      <c r="R97" s="86" t="str">
        <f>O97*K97*M97*N97</f>
      </c>
      <c r="S97" s="87" t="str">
        <f>R97-Q97</f>
      </c>
      <c r="T97" s="34" t="str">
        <f>IFERROR(INDEX('Cost_Components'!$R$2:$R$6,MATCH(E97,'Cost_Components'!$A$2:$A$6,0)),"")</f>
      </c>
      <c r="U97" s="88" t="str">
        <f>IFERROR(INDEX('Cost_Components'!$Q$2:$Q$6,MATCH(E97,'Cost_Components'!$A$2:$A$6,0)),"")</f>
      </c>
      <c r="V97" s="89" t="str">
        <f>1/(1+'Calculation_Assumptions'!$B$5)^(B97-'Calculation_Assumptions'!$B$2)</f>
      </c>
      <c r="W97" s="90" t="str">
        <f>Q97*V97</f>
      </c>
      <c r="X97" s="91" t="str">
        <f>R97*V97</f>
      </c>
      <c r="Y97" s="92" t="str">
        <f>S97*V97</f>
      </c>
      <c r="Z97" s="93" t="str">
        <f>IFERROR(INDEX('Cost_Components'!$T$2:$T$6,MATCH(E97,'Cost_Components'!$A$2:$A$6,0)),"")</f>
      </c>
      <c r="AA97" s="94" t="str">
        <f>IFERROR(INDEX('Cost_Components'!$U$2:$U$6,MATCH(E97,'Cost_Components'!$A$2:$A$6,0)),"")</f>
      </c>
      <c r="AB97" s="95" t="str">
        <f>IFERROR(INDEX('Cost_Components'!$V$2:$V$6,MATCH(E97,'Cost_Components'!$A$2:$A$6,0)),"")</f>
      </c>
      <c r="AC97" s="96" t="str">
        <f>IFERROR(INDEX('Cost_Components'!$M$2:$M$6,MATCH(E97,'Cost_Components'!$A$2:$A$6,0)),"")</f>
      </c>
      <c r="AD97" s="97" t="str">
        <f>IFERROR(INDEX('Cost_Components'!$N$2:$N$6,MATCH(E97,'Cost_Components'!$A$2:$A$6,0)),"")</f>
      </c>
      <c r="AE97" s="34" t="str">
        <f>IFERROR(INDEX('Cost_Components'!$O$2:$O$6,MATCH(E97,'Cost_Components'!$A$2:$A$6,0)),"")</f>
      </c>
      <c r="AF97" s="98" t="n">
        <v>22131466.6708364</v>
      </c>
      <c r="AG97" s="99" t="n">
        <v>22038113.882347</v>
      </c>
      <c r="AH97" s="100" t="str">
        <f>IF(H97="shared-count-once",COUNTIFS($A$2:$A$131,A97,$B$2:$B$131,B97,$E$2:$E$131,E97),1)</f>
      </c>
      <c r="AI97" s="101" t="n">
        <v>316707694.211882</v>
      </c>
      <c r="AJ97" s="102" t="str">
        <f>IF(AI97=0,"",Q97/AI97)</f>
      </c>
      <c r="AK97" s="103" t="str">
        <f>IF(AI97=0,"",R97/AI97)</f>
      </c>
      <c r="AL97" s="104" t="str">
        <f>IF(AI97=0,"",S97/AI97)</f>
      </c>
      <c r="AM97" s="105" t="str">
        <f>IF(AI97=0,"",Y97/AI97)</f>
      </c>
    </row>
    <row r="98">
      <c r="A98" t="s">
        <v>115</v>
      </c>
      <c r="B98" s="73" t="n">
        <v>2043</v>
      </c>
      <c r="C98" t="s">
        <v>231</v>
      </c>
      <c r="D98" t="s">
        <v>235</v>
      </c>
      <c r="E98" s="74" t="s">
        <v>279</v>
      </c>
      <c r="F98" s="75" t="s">
        <v>280</v>
      </c>
      <c r="G98" s="76" t="s">
        <v>232</v>
      </c>
      <c r="H98" s="77" t="s">
        <v>239</v>
      </c>
      <c r="I98" s="78" t="s">
        <v>277</v>
      </c>
      <c r="J98" s="79" t="str">
        <f>IFERROR(INDEX('Cost_Components'!$K$2:$K$6,MATCH(E98,'Cost_Components'!$A$2:$A$6,0)),"")</f>
      </c>
      <c r="K98" s="106" t="n">
        <v>0.4165</v>
      </c>
      <c r="L98" s="80" t="str">
        <f>IFERROR(INDEX('Cost_Components'!$S$2:$S$6,MATCH(E98,'Cost_Components'!$A$2:$A$6,0)),"")</f>
      </c>
      <c r="M98" s="81" t="str">
        <f>IFERROR(INDEX('Cost_Components'!$L$2:$L$6,MATCH(E98,'Cost_Components'!$A$2:$A$6,0)),"")</f>
      </c>
      <c r="N98" s="82" t="str">
        <f>IFERROR(INDEX('Cost_Components'!$P$2:$P$6,MATCH(E98,'Cost_Components'!$A$2:$A$6,0)),"")</f>
      </c>
      <c r="O98" s="83" t="str">
        <f>AF98*J98</f>
      </c>
      <c r="P98" s="84" t="str">
        <f>AG98*J98</f>
      </c>
      <c r="Q98" s="85" t="str">
        <f>P98*L98*M98*N98</f>
      </c>
      <c r="R98" s="86" t="str">
        <f>O98*K98*M98*N98</f>
      </c>
      <c r="S98" s="87" t="str">
        <f>R98-Q98</f>
      </c>
      <c r="T98" s="34" t="str">
        <f>IFERROR(INDEX('Cost_Components'!$R$2:$R$6,MATCH(E98,'Cost_Components'!$A$2:$A$6,0)),"")</f>
      </c>
      <c r="U98" s="88" t="str">
        <f>IFERROR(INDEX('Cost_Components'!$Q$2:$Q$6,MATCH(E98,'Cost_Components'!$A$2:$A$6,0)),"")</f>
      </c>
      <c r="V98" s="89" t="str">
        <f>1/(1+'Calculation_Assumptions'!$B$5)^(B98-'Calculation_Assumptions'!$B$2)</f>
      </c>
      <c r="W98" s="90" t="str">
        <f>Q98*V98</f>
      </c>
      <c r="X98" s="91" t="str">
        <f>R98*V98</f>
      </c>
      <c r="Y98" s="92" t="str">
        <f>S98*V98</f>
      </c>
      <c r="Z98" s="93" t="str">
        <f>IFERROR(INDEX('Cost_Components'!$T$2:$T$6,MATCH(E98,'Cost_Components'!$A$2:$A$6,0)),"")</f>
      </c>
      <c r="AA98" s="94" t="str">
        <f>IFERROR(INDEX('Cost_Components'!$U$2:$U$6,MATCH(E98,'Cost_Components'!$A$2:$A$6,0)),"")</f>
      </c>
      <c r="AB98" s="95" t="str">
        <f>IFERROR(INDEX('Cost_Components'!$V$2:$V$6,MATCH(E98,'Cost_Components'!$A$2:$A$6,0)),"")</f>
      </c>
      <c r="AC98" s="96" t="str">
        <f>IFERROR(INDEX('Cost_Components'!$M$2:$M$6,MATCH(E98,'Cost_Components'!$A$2:$A$6,0)),"")</f>
      </c>
      <c r="AD98" s="97" t="str">
        <f>IFERROR(INDEX('Cost_Components'!$N$2:$N$6,MATCH(E98,'Cost_Components'!$A$2:$A$6,0)),"")</f>
      </c>
      <c r="AE98" s="34" t="str">
        <f>IFERROR(INDEX('Cost_Components'!$O$2:$O$6,MATCH(E98,'Cost_Components'!$A$2:$A$6,0)),"")</f>
      </c>
      <c r="AF98" s="98" t="n">
        <v>22547833.9770026</v>
      </c>
      <c r="AG98" s="99" t="n">
        <v>22442345.2151134</v>
      </c>
      <c r="AH98" s="100" t="str">
        <f>IF(H98="shared-count-once",COUNTIFS($A$2:$A$131,A98,$B$2:$B$131,B98,$E$2:$E$131,E98),1)</f>
      </c>
      <c r="AI98" s="101" t="n">
        <v>317814114.067152</v>
      </c>
      <c r="AJ98" s="102" t="str">
        <f>IF(AI98=0,"",Q98/AI98)</f>
      </c>
      <c r="AK98" s="103" t="str">
        <f>IF(AI98=0,"",R98/AI98)</f>
      </c>
      <c r="AL98" s="104" t="str">
        <f>IF(AI98=0,"",S98/AI98)</f>
      </c>
      <c r="AM98" s="105" t="str">
        <f>IF(AI98=0,"",Y98/AI98)</f>
      </c>
    </row>
    <row r="99">
      <c r="A99" t="s">
        <v>115</v>
      </c>
      <c r="B99" s="73" t="n">
        <v>2044</v>
      </c>
      <c r="C99" t="s">
        <v>231</v>
      </c>
      <c r="D99" t="s">
        <v>235</v>
      </c>
      <c r="E99" s="74" t="s">
        <v>279</v>
      </c>
      <c r="F99" s="75" t="s">
        <v>280</v>
      </c>
      <c r="G99" s="76" t="s">
        <v>232</v>
      </c>
      <c r="H99" s="77" t="s">
        <v>239</v>
      </c>
      <c r="I99" s="78" t="s">
        <v>277</v>
      </c>
      <c r="J99" s="79" t="str">
        <f>IFERROR(INDEX('Cost_Components'!$K$2:$K$6,MATCH(E99,'Cost_Components'!$A$2:$A$6,0)),"")</f>
      </c>
      <c r="K99" s="106" t="n">
        <v>0.4165</v>
      </c>
      <c r="L99" s="80" t="str">
        <f>IFERROR(INDEX('Cost_Components'!$S$2:$S$6,MATCH(E99,'Cost_Components'!$A$2:$A$6,0)),"")</f>
      </c>
      <c r="M99" s="81" t="str">
        <f>IFERROR(INDEX('Cost_Components'!$L$2:$L$6,MATCH(E99,'Cost_Components'!$A$2:$A$6,0)),"")</f>
      </c>
      <c r="N99" s="82" t="str">
        <f>IFERROR(INDEX('Cost_Components'!$P$2:$P$6,MATCH(E99,'Cost_Components'!$A$2:$A$6,0)),"")</f>
      </c>
      <c r="O99" s="83" t="str">
        <f>AF99*J99</f>
      </c>
      <c r="P99" s="84" t="str">
        <f>AG99*J99</f>
      </c>
      <c r="Q99" s="85" t="str">
        <f>P99*L99*M99*N99</f>
      </c>
      <c r="R99" s="86" t="str">
        <f>O99*K99*M99*N99</f>
      </c>
      <c r="S99" s="87" t="str">
        <f>R99-Q99</f>
      </c>
      <c r="T99" s="34" t="str">
        <f>IFERROR(INDEX('Cost_Components'!$R$2:$R$6,MATCH(E99,'Cost_Components'!$A$2:$A$6,0)),"")</f>
      </c>
      <c r="U99" s="88" t="str">
        <f>IFERROR(INDEX('Cost_Components'!$Q$2:$Q$6,MATCH(E99,'Cost_Components'!$A$2:$A$6,0)),"")</f>
      </c>
      <c r="V99" s="89" t="str">
        <f>1/(1+'Calculation_Assumptions'!$B$5)^(B99-'Calculation_Assumptions'!$B$2)</f>
      </c>
      <c r="W99" s="90" t="str">
        <f>Q99*V99</f>
      </c>
      <c r="X99" s="91" t="str">
        <f>R99*V99</f>
      </c>
      <c r="Y99" s="92" t="str">
        <f>S99*V99</f>
      </c>
      <c r="Z99" s="93" t="str">
        <f>IFERROR(INDEX('Cost_Components'!$T$2:$T$6,MATCH(E99,'Cost_Components'!$A$2:$A$6,0)),"")</f>
      </c>
      <c r="AA99" s="94" t="str">
        <f>IFERROR(INDEX('Cost_Components'!$U$2:$U$6,MATCH(E99,'Cost_Components'!$A$2:$A$6,0)),"")</f>
      </c>
      <c r="AB99" s="95" t="str">
        <f>IFERROR(INDEX('Cost_Components'!$V$2:$V$6,MATCH(E99,'Cost_Components'!$A$2:$A$6,0)),"")</f>
      </c>
      <c r="AC99" s="96" t="str">
        <f>IFERROR(INDEX('Cost_Components'!$M$2:$M$6,MATCH(E99,'Cost_Components'!$A$2:$A$6,0)),"")</f>
      </c>
      <c r="AD99" s="97" t="str">
        <f>IFERROR(INDEX('Cost_Components'!$N$2:$N$6,MATCH(E99,'Cost_Components'!$A$2:$A$6,0)),"")</f>
      </c>
      <c r="AE99" s="34" t="str">
        <f>IFERROR(INDEX('Cost_Components'!$O$2:$O$6,MATCH(E99,'Cost_Components'!$A$2:$A$6,0)),"")</f>
      </c>
      <c r="AF99" s="98" t="n">
        <v>22956251.7505443</v>
      </c>
      <c r="AG99" s="99" t="n">
        <v>22838735.1887833</v>
      </c>
      <c r="AH99" s="100" t="str">
        <f>IF(H99="shared-count-once",COUNTIFS($A$2:$A$131,A99,$B$2:$B$131,B99,$E$2:$E$131,E99),1)</f>
      </c>
      <c r="AI99" s="101" t="n">
        <v>318840890.732156</v>
      </c>
      <c r="AJ99" s="102" t="str">
        <f>IF(AI99=0,"",Q99/AI99)</f>
      </c>
      <c r="AK99" s="103" t="str">
        <f>IF(AI99=0,"",R99/AI99)</f>
      </c>
      <c r="AL99" s="104" t="str">
        <f>IF(AI99=0,"",S99/AI99)</f>
      </c>
      <c r="AM99" s="105" t="str">
        <f>IF(AI99=0,"",Y99/AI99)</f>
      </c>
    </row>
    <row r="100">
      <c r="A100" t="s">
        <v>115</v>
      </c>
      <c r="B100" s="73" t="n">
        <v>2045</v>
      </c>
      <c r="C100" t="s">
        <v>231</v>
      </c>
      <c r="D100" t="s">
        <v>235</v>
      </c>
      <c r="E100" s="74" t="s">
        <v>279</v>
      </c>
      <c r="F100" s="75" t="s">
        <v>280</v>
      </c>
      <c r="G100" s="76" t="s">
        <v>232</v>
      </c>
      <c r="H100" s="77" t="s">
        <v>239</v>
      </c>
      <c r="I100" s="78" t="s">
        <v>277</v>
      </c>
      <c r="J100" s="79" t="str">
        <f>IFERROR(INDEX('Cost_Components'!$K$2:$K$6,MATCH(E100,'Cost_Components'!$A$2:$A$6,0)),"")</f>
      </c>
      <c r="K100" s="106" t="n">
        <v>0.4165</v>
      </c>
      <c r="L100" s="80" t="str">
        <f>IFERROR(INDEX('Cost_Components'!$S$2:$S$6,MATCH(E100,'Cost_Components'!$A$2:$A$6,0)),"")</f>
      </c>
      <c r="M100" s="81" t="str">
        <f>IFERROR(INDEX('Cost_Components'!$L$2:$L$6,MATCH(E100,'Cost_Components'!$A$2:$A$6,0)),"")</f>
      </c>
      <c r="N100" s="82" t="str">
        <f>IFERROR(INDEX('Cost_Components'!$P$2:$P$6,MATCH(E100,'Cost_Components'!$A$2:$A$6,0)),"")</f>
      </c>
      <c r="O100" s="83" t="str">
        <f>AF100*J100</f>
      </c>
      <c r="P100" s="84" t="str">
        <f>AG100*J100</f>
      </c>
      <c r="Q100" s="85" t="str">
        <f>P100*L100*M100*N100</f>
      </c>
      <c r="R100" s="86" t="str">
        <f>O100*K100*M100*N100</f>
      </c>
      <c r="S100" s="87" t="str">
        <f>R100-Q100</f>
      </c>
      <c r="T100" s="34" t="str">
        <f>IFERROR(INDEX('Cost_Components'!$R$2:$R$6,MATCH(E100,'Cost_Components'!$A$2:$A$6,0)),"")</f>
      </c>
      <c r="U100" s="88" t="str">
        <f>IFERROR(INDEX('Cost_Components'!$Q$2:$Q$6,MATCH(E100,'Cost_Components'!$A$2:$A$6,0)),"")</f>
      </c>
      <c r="V100" s="89" t="str">
        <f>1/(1+'Calculation_Assumptions'!$B$5)^(B100-'Calculation_Assumptions'!$B$2)</f>
      </c>
      <c r="W100" s="90" t="str">
        <f>Q100*V100</f>
      </c>
      <c r="X100" s="91" t="str">
        <f>R100*V100</f>
      </c>
      <c r="Y100" s="92" t="str">
        <f>S100*V100</f>
      </c>
      <c r="Z100" s="93" t="str">
        <f>IFERROR(INDEX('Cost_Components'!$T$2:$T$6,MATCH(E100,'Cost_Components'!$A$2:$A$6,0)),"")</f>
      </c>
      <c r="AA100" s="94" t="str">
        <f>IFERROR(INDEX('Cost_Components'!$U$2:$U$6,MATCH(E100,'Cost_Components'!$A$2:$A$6,0)),"")</f>
      </c>
      <c r="AB100" s="95" t="str">
        <f>IFERROR(INDEX('Cost_Components'!$V$2:$V$6,MATCH(E100,'Cost_Components'!$A$2:$A$6,0)),"")</f>
      </c>
      <c r="AC100" s="96" t="str">
        <f>IFERROR(INDEX('Cost_Components'!$M$2:$M$6,MATCH(E100,'Cost_Components'!$A$2:$A$6,0)),"")</f>
      </c>
      <c r="AD100" s="97" t="str">
        <f>IFERROR(INDEX('Cost_Components'!$N$2:$N$6,MATCH(E100,'Cost_Components'!$A$2:$A$6,0)),"")</f>
      </c>
      <c r="AE100" s="34" t="str">
        <f>IFERROR(INDEX('Cost_Components'!$O$2:$O$6,MATCH(E100,'Cost_Components'!$A$2:$A$6,0)),"")</f>
      </c>
      <c r="AF100" s="98" t="n">
        <v>23355914.4840013</v>
      </c>
      <c r="AG100" s="99" t="n">
        <v>23226470.3426801</v>
      </c>
      <c r="AH100" s="100" t="str">
        <f>IF(H100="shared-count-once",COUNTIFS($A$2:$A$131,A100,$B$2:$B$131,B100,$E$2:$E$131,E100),1)</f>
      </c>
      <c r="AI100" s="101" t="n">
        <v>319784682.33108</v>
      </c>
      <c r="AJ100" s="102" t="str">
        <f>IF(AI100=0,"",Q100/AI100)</f>
      </c>
      <c r="AK100" s="103" t="str">
        <f>IF(AI100=0,"",R100/AI100)</f>
      </c>
      <c r="AL100" s="104" t="str">
        <f>IF(AI100=0,"",S100/AI100)</f>
      </c>
      <c r="AM100" s="105" t="str">
        <f>IF(AI100=0,"",Y100/AI100)</f>
      </c>
    </row>
    <row r="101">
      <c r="A101" t="s">
        <v>115</v>
      </c>
      <c r="B101" s="73" t="n">
        <v>2046</v>
      </c>
      <c r="C101" t="s">
        <v>231</v>
      </c>
      <c r="D101" t="s">
        <v>235</v>
      </c>
      <c r="E101" s="74" t="s">
        <v>279</v>
      </c>
      <c r="F101" s="75" t="s">
        <v>280</v>
      </c>
      <c r="G101" s="76" t="s">
        <v>232</v>
      </c>
      <c r="H101" s="77" t="s">
        <v>239</v>
      </c>
      <c r="I101" s="78" t="s">
        <v>277</v>
      </c>
      <c r="J101" s="79" t="str">
        <f>IFERROR(INDEX('Cost_Components'!$K$2:$K$6,MATCH(E101,'Cost_Components'!$A$2:$A$6,0)),"")</f>
      </c>
      <c r="K101" s="106" t="n">
        <v>0.4165</v>
      </c>
      <c r="L101" s="80" t="str">
        <f>IFERROR(INDEX('Cost_Components'!$S$2:$S$6,MATCH(E101,'Cost_Components'!$A$2:$A$6,0)),"")</f>
      </c>
      <c r="M101" s="81" t="str">
        <f>IFERROR(INDEX('Cost_Components'!$L$2:$L$6,MATCH(E101,'Cost_Components'!$A$2:$A$6,0)),"")</f>
      </c>
      <c r="N101" s="82" t="str">
        <f>IFERROR(INDEX('Cost_Components'!$P$2:$P$6,MATCH(E101,'Cost_Components'!$A$2:$A$6,0)),"")</f>
      </c>
      <c r="O101" s="83" t="str">
        <f>AF101*J101</f>
      </c>
      <c r="P101" s="84" t="str">
        <f>AG101*J101</f>
      </c>
      <c r="Q101" s="85" t="str">
        <f>P101*L101*M101*N101</f>
      </c>
      <c r="R101" s="86" t="str">
        <f>O101*K101*M101*N101</f>
      </c>
      <c r="S101" s="87" t="str">
        <f>R101-Q101</f>
      </c>
      <c r="T101" s="34" t="str">
        <f>IFERROR(INDEX('Cost_Components'!$R$2:$R$6,MATCH(E101,'Cost_Components'!$A$2:$A$6,0)),"")</f>
      </c>
      <c r="U101" s="88" t="str">
        <f>IFERROR(INDEX('Cost_Components'!$Q$2:$Q$6,MATCH(E101,'Cost_Components'!$A$2:$A$6,0)),"")</f>
      </c>
      <c r="V101" s="89" t="str">
        <f>1/(1+'Calculation_Assumptions'!$B$5)^(B101-'Calculation_Assumptions'!$B$2)</f>
      </c>
      <c r="W101" s="90" t="str">
        <f>Q101*V101</f>
      </c>
      <c r="X101" s="91" t="str">
        <f>R101*V101</f>
      </c>
      <c r="Y101" s="92" t="str">
        <f>S101*V101</f>
      </c>
      <c r="Z101" s="93" t="str">
        <f>IFERROR(INDEX('Cost_Components'!$T$2:$T$6,MATCH(E101,'Cost_Components'!$A$2:$A$6,0)),"")</f>
      </c>
      <c r="AA101" s="94" t="str">
        <f>IFERROR(INDEX('Cost_Components'!$U$2:$U$6,MATCH(E101,'Cost_Components'!$A$2:$A$6,0)),"")</f>
      </c>
      <c r="AB101" s="95" t="str">
        <f>IFERROR(INDEX('Cost_Components'!$V$2:$V$6,MATCH(E101,'Cost_Components'!$A$2:$A$6,0)),"")</f>
      </c>
      <c r="AC101" s="96" t="str">
        <f>IFERROR(INDEX('Cost_Components'!$M$2:$M$6,MATCH(E101,'Cost_Components'!$A$2:$A$6,0)),"")</f>
      </c>
      <c r="AD101" s="97" t="str">
        <f>IFERROR(INDEX('Cost_Components'!$N$2:$N$6,MATCH(E101,'Cost_Components'!$A$2:$A$6,0)),"")</f>
      </c>
      <c r="AE101" s="34" t="str">
        <f>IFERROR(INDEX('Cost_Components'!$O$2:$O$6,MATCH(E101,'Cost_Components'!$A$2:$A$6,0)),"")</f>
      </c>
      <c r="AF101" s="98" t="n">
        <v>23750663.7381486</v>
      </c>
      <c r="AG101" s="99" t="n">
        <v>23609385.5366324</v>
      </c>
      <c r="AH101" s="100" t="str">
        <f>IF(H101="shared-count-once",COUNTIFS($A$2:$A$131,A101,$B$2:$B$131,B101,$E$2:$E$131,E101),1)</f>
      </c>
      <c r="AI101" s="101" t="n">
        <v>320645615.981408</v>
      </c>
      <c r="AJ101" s="102" t="str">
        <f>IF(AI101=0,"",Q101/AI101)</f>
      </c>
      <c r="AK101" s="103" t="str">
        <f>IF(AI101=0,"",R101/AI101)</f>
      </c>
      <c r="AL101" s="104" t="str">
        <f>IF(AI101=0,"",S101/AI101)</f>
      </c>
      <c r="AM101" s="105" t="str">
        <f>IF(AI101=0,"",Y101/AI101)</f>
      </c>
    </row>
    <row r="102">
      <c r="A102" t="s">
        <v>115</v>
      </c>
      <c r="B102" s="73" t="n">
        <v>2047</v>
      </c>
      <c r="C102" t="s">
        <v>231</v>
      </c>
      <c r="D102" t="s">
        <v>235</v>
      </c>
      <c r="E102" s="74" t="s">
        <v>279</v>
      </c>
      <c r="F102" s="75" t="s">
        <v>280</v>
      </c>
      <c r="G102" s="76" t="s">
        <v>232</v>
      </c>
      <c r="H102" s="77" t="s">
        <v>239</v>
      </c>
      <c r="I102" s="78" t="s">
        <v>277</v>
      </c>
      <c r="J102" s="79" t="str">
        <f>IFERROR(INDEX('Cost_Components'!$K$2:$K$6,MATCH(E102,'Cost_Components'!$A$2:$A$6,0)),"")</f>
      </c>
      <c r="K102" s="106" t="n">
        <v>0.4165</v>
      </c>
      <c r="L102" s="80" t="str">
        <f>IFERROR(INDEX('Cost_Components'!$S$2:$S$6,MATCH(E102,'Cost_Components'!$A$2:$A$6,0)),"")</f>
      </c>
      <c r="M102" s="81" t="str">
        <f>IFERROR(INDEX('Cost_Components'!$L$2:$L$6,MATCH(E102,'Cost_Components'!$A$2:$A$6,0)),"")</f>
      </c>
      <c r="N102" s="82" t="str">
        <f>IFERROR(INDEX('Cost_Components'!$P$2:$P$6,MATCH(E102,'Cost_Components'!$A$2:$A$6,0)),"")</f>
      </c>
      <c r="O102" s="83" t="str">
        <f>AF102*J102</f>
      </c>
      <c r="P102" s="84" t="str">
        <f>AG102*J102</f>
      </c>
      <c r="Q102" s="85" t="str">
        <f>P102*L102*M102*N102</f>
      </c>
      <c r="R102" s="86" t="str">
        <f>O102*K102*M102*N102</f>
      </c>
      <c r="S102" s="87" t="str">
        <f>R102-Q102</f>
      </c>
      <c r="T102" s="34" t="str">
        <f>IFERROR(INDEX('Cost_Components'!$R$2:$R$6,MATCH(E102,'Cost_Components'!$A$2:$A$6,0)),"")</f>
      </c>
      <c r="U102" s="88" t="str">
        <f>IFERROR(INDEX('Cost_Components'!$Q$2:$Q$6,MATCH(E102,'Cost_Components'!$A$2:$A$6,0)),"")</f>
      </c>
      <c r="V102" s="89" t="str">
        <f>1/(1+'Calculation_Assumptions'!$B$5)^(B102-'Calculation_Assumptions'!$B$2)</f>
      </c>
      <c r="W102" s="90" t="str">
        <f>Q102*V102</f>
      </c>
      <c r="X102" s="91" t="str">
        <f>R102*V102</f>
      </c>
      <c r="Y102" s="92" t="str">
        <f>S102*V102</f>
      </c>
      <c r="Z102" s="93" t="str">
        <f>IFERROR(INDEX('Cost_Components'!$T$2:$T$6,MATCH(E102,'Cost_Components'!$A$2:$A$6,0)),"")</f>
      </c>
      <c r="AA102" s="94" t="str">
        <f>IFERROR(INDEX('Cost_Components'!$U$2:$U$6,MATCH(E102,'Cost_Components'!$A$2:$A$6,0)),"")</f>
      </c>
      <c r="AB102" s="95" t="str">
        <f>IFERROR(INDEX('Cost_Components'!$V$2:$V$6,MATCH(E102,'Cost_Components'!$A$2:$A$6,0)),"")</f>
      </c>
      <c r="AC102" s="96" t="str">
        <f>IFERROR(INDEX('Cost_Components'!$M$2:$M$6,MATCH(E102,'Cost_Components'!$A$2:$A$6,0)),"")</f>
      </c>
      <c r="AD102" s="97" t="str">
        <f>IFERROR(INDEX('Cost_Components'!$N$2:$N$6,MATCH(E102,'Cost_Components'!$A$2:$A$6,0)),"")</f>
      </c>
      <c r="AE102" s="34" t="str">
        <f>IFERROR(INDEX('Cost_Components'!$O$2:$O$6,MATCH(E102,'Cost_Components'!$A$2:$A$6,0)),"")</f>
      </c>
      <c r="AF102" s="98" t="n">
        <v>24132840.8100241</v>
      </c>
      <c r="AG102" s="99" t="n">
        <v>23979833.4638523</v>
      </c>
      <c r="AH102" s="100" t="str">
        <f>IF(H102="shared-count-once",COUNTIFS($A$2:$A$131,A102,$B$2:$B$131,B102,$E$2:$E$131,E102),1)</f>
      </c>
      <c r="AI102" s="101" t="n">
        <v>321429520.522875</v>
      </c>
      <c r="AJ102" s="102" t="str">
        <f>IF(AI102=0,"",Q102/AI102)</f>
      </c>
      <c r="AK102" s="103" t="str">
        <f>IF(AI102=0,"",R102/AI102)</f>
      </c>
      <c r="AL102" s="104" t="str">
        <f>IF(AI102=0,"",S102/AI102)</f>
      </c>
      <c r="AM102" s="105" t="str">
        <f>IF(AI102=0,"",Y102/AI102)</f>
      </c>
    </row>
    <row r="103">
      <c r="A103" t="s">
        <v>115</v>
      </c>
      <c r="B103" s="73" t="n">
        <v>2048</v>
      </c>
      <c r="C103" t="s">
        <v>231</v>
      </c>
      <c r="D103" t="s">
        <v>235</v>
      </c>
      <c r="E103" s="74" t="s">
        <v>279</v>
      </c>
      <c r="F103" s="75" t="s">
        <v>280</v>
      </c>
      <c r="G103" s="76" t="s">
        <v>232</v>
      </c>
      <c r="H103" s="77" t="s">
        <v>239</v>
      </c>
      <c r="I103" s="78" t="s">
        <v>277</v>
      </c>
      <c r="J103" s="79" t="str">
        <f>IFERROR(INDEX('Cost_Components'!$K$2:$K$6,MATCH(E103,'Cost_Components'!$A$2:$A$6,0)),"")</f>
      </c>
      <c r="K103" s="106" t="n">
        <v>0.4165</v>
      </c>
      <c r="L103" s="80" t="str">
        <f>IFERROR(INDEX('Cost_Components'!$S$2:$S$6,MATCH(E103,'Cost_Components'!$A$2:$A$6,0)),"")</f>
      </c>
      <c r="M103" s="81" t="str">
        <f>IFERROR(INDEX('Cost_Components'!$L$2:$L$6,MATCH(E103,'Cost_Components'!$A$2:$A$6,0)),"")</f>
      </c>
      <c r="N103" s="82" t="str">
        <f>IFERROR(INDEX('Cost_Components'!$P$2:$P$6,MATCH(E103,'Cost_Components'!$A$2:$A$6,0)),"")</f>
      </c>
      <c r="O103" s="83" t="str">
        <f>AF103*J103</f>
      </c>
      <c r="P103" s="84" t="str">
        <f>AG103*J103</f>
      </c>
      <c r="Q103" s="85" t="str">
        <f>P103*L103*M103*N103</f>
      </c>
      <c r="R103" s="86" t="str">
        <f>O103*K103*M103*N103</f>
      </c>
      <c r="S103" s="87" t="str">
        <f>R103-Q103</f>
      </c>
      <c r="T103" s="34" t="str">
        <f>IFERROR(INDEX('Cost_Components'!$R$2:$R$6,MATCH(E103,'Cost_Components'!$A$2:$A$6,0)),"")</f>
      </c>
      <c r="U103" s="88" t="str">
        <f>IFERROR(INDEX('Cost_Components'!$Q$2:$Q$6,MATCH(E103,'Cost_Components'!$A$2:$A$6,0)),"")</f>
      </c>
      <c r="V103" s="89" t="str">
        <f>1/(1+'Calculation_Assumptions'!$B$5)^(B103-'Calculation_Assumptions'!$B$2)</f>
      </c>
      <c r="W103" s="90" t="str">
        <f>Q103*V103</f>
      </c>
      <c r="X103" s="91" t="str">
        <f>R103*V103</f>
      </c>
      <c r="Y103" s="92" t="str">
        <f>S103*V103</f>
      </c>
      <c r="Z103" s="93" t="str">
        <f>IFERROR(INDEX('Cost_Components'!$T$2:$T$6,MATCH(E103,'Cost_Components'!$A$2:$A$6,0)),"")</f>
      </c>
      <c r="AA103" s="94" t="str">
        <f>IFERROR(INDEX('Cost_Components'!$U$2:$U$6,MATCH(E103,'Cost_Components'!$A$2:$A$6,0)),"")</f>
      </c>
      <c r="AB103" s="95" t="str">
        <f>IFERROR(INDEX('Cost_Components'!$V$2:$V$6,MATCH(E103,'Cost_Components'!$A$2:$A$6,0)),"")</f>
      </c>
      <c r="AC103" s="96" t="str">
        <f>IFERROR(INDEX('Cost_Components'!$M$2:$M$6,MATCH(E103,'Cost_Components'!$A$2:$A$6,0)),"")</f>
      </c>
      <c r="AD103" s="97" t="str">
        <f>IFERROR(INDEX('Cost_Components'!$N$2:$N$6,MATCH(E103,'Cost_Components'!$A$2:$A$6,0)),"")</f>
      </c>
      <c r="AE103" s="34" t="str">
        <f>IFERROR(INDEX('Cost_Components'!$O$2:$O$6,MATCH(E103,'Cost_Components'!$A$2:$A$6,0)),"")</f>
      </c>
      <c r="AF103" s="98" t="n">
        <v>24503285.3736313</v>
      </c>
      <c r="AG103" s="99" t="n">
        <v>24338676.5063209</v>
      </c>
      <c r="AH103" s="100" t="str">
        <f>IF(H103="shared-count-once",COUNTIFS($A$2:$A$131,A103,$B$2:$B$131,B103,$E$2:$E$131,E103),1)</f>
      </c>
      <c r="AI103" s="101" t="n">
        <v>322136832.260161</v>
      </c>
      <c r="AJ103" s="102" t="str">
        <f>IF(AI103=0,"",Q103/AI103)</f>
      </c>
      <c r="AK103" s="103" t="str">
        <f>IF(AI103=0,"",R103/AI103)</f>
      </c>
      <c r="AL103" s="104" t="str">
        <f>IF(AI103=0,"",S103/AI103)</f>
      </c>
      <c r="AM103" s="105" t="str">
        <f>IF(AI103=0,"",Y103/AI103)</f>
      </c>
    </row>
    <row r="104">
      <c r="A104" t="s">
        <v>115</v>
      </c>
      <c r="B104" s="73" t="n">
        <v>2049</v>
      </c>
      <c r="C104" t="s">
        <v>231</v>
      </c>
      <c r="D104" t="s">
        <v>235</v>
      </c>
      <c r="E104" s="74" t="s">
        <v>279</v>
      </c>
      <c r="F104" s="75" t="s">
        <v>280</v>
      </c>
      <c r="G104" s="76" t="s">
        <v>232</v>
      </c>
      <c r="H104" s="77" t="s">
        <v>239</v>
      </c>
      <c r="I104" s="78" t="s">
        <v>277</v>
      </c>
      <c r="J104" s="79" t="str">
        <f>IFERROR(INDEX('Cost_Components'!$K$2:$K$6,MATCH(E104,'Cost_Components'!$A$2:$A$6,0)),"")</f>
      </c>
      <c r="K104" s="106" t="n">
        <v>0.4165</v>
      </c>
      <c r="L104" s="80" t="str">
        <f>IFERROR(INDEX('Cost_Components'!$S$2:$S$6,MATCH(E104,'Cost_Components'!$A$2:$A$6,0)),"")</f>
      </c>
      <c r="M104" s="81" t="str">
        <f>IFERROR(INDEX('Cost_Components'!$L$2:$L$6,MATCH(E104,'Cost_Components'!$A$2:$A$6,0)),"")</f>
      </c>
      <c r="N104" s="82" t="str">
        <f>IFERROR(INDEX('Cost_Components'!$P$2:$P$6,MATCH(E104,'Cost_Components'!$A$2:$A$6,0)),"")</f>
      </c>
      <c r="O104" s="83" t="str">
        <f>AF104*J104</f>
      </c>
      <c r="P104" s="84" t="str">
        <f>AG104*J104</f>
      </c>
      <c r="Q104" s="85" t="str">
        <f>P104*L104*M104*N104</f>
      </c>
      <c r="R104" s="86" t="str">
        <f>O104*K104*M104*N104</f>
      </c>
      <c r="S104" s="87" t="str">
        <f>R104-Q104</f>
      </c>
      <c r="T104" s="34" t="str">
        <f>IFERROR(INDEX('Cost_Components'!$R$2:$R$6,MATCH(E104,'Cost_Components'!$A$2:$A$6,0)),"")</f>
      </c>
      <c r="U104" s="88" t="str">
        <f>IFERROR(INDEX('Cost_Components'!$Q$2:$Q$6,MATCH(E104,'Cost_Components'!$A$2:$A$6,0)),"")</f>
      </c>
      <c r="V104" s="89" t="str">
        <f>1/(1+'Calculation_Assumptions'!$B$5)^(B104-'Calculation_Assumptions'!$B$2)</f>
      </c>
      <c r="W104" s="90" t="str">
        <f>Q104*V104</f>
      </c>
      <c r="X104" s="91" t="str">
        <f>R104*V104</f>
      </c>
      <c r="Y104" s="92" t="str">
        <f>S104*V104</f>
      </c>
      <c r="Z104" s="93" t="str">
        <f>IFERROR(INDEX('Cost_Components'!$T$2:$T$6,MATCH(E104,'Cost_Components'!$A$2:$A$6,0)),"")</f>
      </c>
      <c r="AA104" s="94" t="str">
        <f>IFERROR(INDEX('Cost_Components'!$U$2:$U$6,MATCH(E104,'Cost_Components'!$A$2:$A$6,0)),"")</f>
      </c>
      <c r="AB104" s="95" t="str">
        <f>IFERROR(INDEX('Cost_Components'!$V$2:$V$6,MATCH(E104,'Cost_Components'!$A$2:$A$6,0)),"")</f>
      </c>
      <c r="AC104" s="96" t="str">
        <f>IFERROR(INDEX('Cost_Components'!$M$2:$M$6,MATCH(E104,'Cost_Components'!$A$2:$A$6,0)),"")</f>
      </c>
      <c r="AD104" s="97" t="str">
        <f>IFERROR(INDEX('Cost_Components'!$N$2:$N$6,MATCH(E104,'Cost_Components'!$A$2:$A$6,0)),"")</f>
      </c>
      <c r="AE104" s="34" t="str">
        <f>IFERROR(INDEX('Cost_Components'!$O$2:$O$6,MATCH(E104,'Cost_Components'!$A$2:$A$6,0)),"")</f>
      </c>
      <c r="AF104" s="98" t="n">
        <v>24864978.5691999</v>
      </c>
      <c r="AG104" s="99" t="n">
        <v>24688908.7388375</v>
      </c>
      <c r="AH104" s="100" t="str">
        <f>IF(H104="shared-count-once",COUNTIFS($A$2:$A$131,A104,$B$2:$B$131,B104,$E$2:$E$131,E104),1)</f>
      </c>
      <c r="AI104" s="101" t="n">
        <v>322765819.752681</v>
      </c>
      <c r="AJ104" s="102" t="str">
        <f>IF(AI104=0,"",Q104/AI104)</f>
      </c>
      <c r="AK104" s="103" t="str">
        <f>IF(AI104=0,"",R104/AI104)</f>
      </c>
      <c r="AL104" s="104" t="str">
        <f>IF(AI104=0,"",S104/AI104)</f>
      </c>
      <c r="AM104" s="105" t="str">
        <f>IF(AI104=0,"",Y104/AI104)</f>
      </c>
    </row>
    <row r="105">
      <c r="A105" t="s">
        <v>115</v>
      </c>
      <c r="B105" s="73" t="n">
        <v>2050</v>
      </c>
      <c r="C105" t="s">
        <v>231</v>
      </c>
      <c r="D105" t="s">
        <v>235</v>
      </c>
      <c r="E105" s="74" t="s">
        <v>279</v>
      </c>
      <c r="F105" s="75" t="s">
        <v>280</v>
      </c>
      <c r="G105" s="76" t="s">
        <v>232</v>
      </c>
      <c r="H105" s="77" t="s">
        <v>239</v>
      </c>
      <c r="I105" s="78" t="s">
        <v>277</v>
      </c>
      <c r="J105" s="79" t="str">
        <f>IFERROR(INDEX('Cost_Components'!$K$2:$K$6,MATCH(E105,'Cost_Components'!$A$2:$A$6,0)),"")</f>
      </c>
      <c r="K105" s="106" t="n">
        <v>0.4165</v>
      </c>
      <c r="L105" s="80" t="str">
        <f>IFERROR(INDEX('Cost_Components'!$S$2:$S$6,MATCH(E105,'Cost_Components'!$A$2:$A$6,0)),"")</f>
      </c>
      <c r="M105" s="81" t="str">
        <f>IFERROR(INDEX('Cost_Components'!$L$2:$L$6,MATCH(E105,'Cost_Components'!$A$2:$A$6,0)),"")</f>
      </c>
      <c r="N105" s="82" t="str">
        <f>IFERROR(INDEX('Cost_Components'!$P$2:$P$6,MATCH(E105,'Cost_Components'!$A$2:$A$6,0)),"")</f>
      </c>
      <c r="O105" s="83" t="str">
        <f>AF105*J105</f>
      </c>
      <c r="P105" s="84" t="str">
        <f>AG105*J105</f>
      </c>
      <c r="Q105" s="85" t="str">
        <f>P105*L105*M105*N105</f>
      </c>
      <c r="R105" s="86" t="str">
        <f>O105*K105*M105*N105</f>
      </c>
      <c r="S105" s="87" t="str">
        <f>R105-Q105</f>
      </c>
      <c r="T105" s="34" t="str">
        <f>IFERROR(INDEX('Cost_Components'!$R$2:$R$6,MATCH(E105,'Cost_Components'!$A$2:$A$6,0)),"")</f>
      </c>
      <c r="U105" s="88" t="str">
        <f>IFERROR(INDEX('Cost_Components'!$Q$2:$Q$6,MATCH(E105,'Cost_Components'!$A$2:$A$6,0)),"")</f>
      </c>
      <c r="V105" s="89" t="str">
        <f>1/(1+'Calculation_Assumptions'!$B$5)^(B105-'Calculation_Assumptions'!$B$2)</f>
      </c>
      <c r="W105" s="90" t="str">
        <f>Q105*V105</f>
      </c>
      <c r="X105" s="91" t="str">
        <f>R105*V105</f>
      </c>
      <c r="Y105" s="92" t="str">
        <f>S105*V105</f>
      </c>
      <c r="Z105" s="93" t="str">
        <f>IFERROR(INDEX('Cost_Components'!$T$2:$T$6,MATCH(E105,'Cost_Components'!$A$2:$A$6,0)),"")</f>
      </c>
      <c r="AA105" s="94" t="str">
        <f>IFERROR(INDEX('Cost_Components'!$U$2:$U$6,MATCH(E105,'Cost_Components'!$A$2:$A$6,0)),"")</f>
      </c>
      <c r="AB105" s="95" t="str">
        <f>IFERROR(INDEX('Cost_Components'!$V$2:$V$6,MATCH(E105,'Cost_Components'!$A$2:$A$6,0)),"")</f>
      </c>
      <c r="AC105" s="96" t="str">
        <f>IFERROR(INDEX('Cost_Components'!$M$2:$M$6,MATCH(E105,'Cost_Components'!$A$2:$A$6,0)),"")</f>
      </c>
      <c r="AD105" s="97" t="str">
        <f>IFERROR(INDEX('Cost_Components'!$N$2:$N$6,MATCH(E105,'Cost_Components'!$A$2:$A$6,0)),"")</f>
      </c>
      <c r="AE105" s="34" t="str">
        <f>IFERROR(INDEX('Cost_Components'!$O$2:$O$6,MATCH(E105,'Cost_Components'!$A$2:$A$6,0)),"")</f>
      </c>
      <c r="AF105" s="98" t="n">
        <v>25217766.8116693</v>
      </c>
      <c r="AG105" s="99" t="n">
        <v>25030420.5714067</v>
      </c>
      <c r="AH105" s="100" t="str">
        <f>IF(H105="shared-count-once",COUNTIFS($A$2:$A$131,A105,$B$2:$B$131,B105,$E$2:$E$131,E105),1)</f>
      </c>
      <c r="AI105" s="101" t="n">
        <v>323312042.563285</v>
      </c>
      <c r="AJ105" s="102" t="str">
        <f>IF(AI105=0,"",Q105/AI105)</f>
      </c>
      <c r="AK105" s="103" t="str">
        <f>IF(AI105=0,"",R105/AI105)</f>
      </c>
      <c r="AL105" s="104" t="str">
        <f>IF(AI105=0,"",S105/AI105)</f>
      </c>
      <c r="AM105" s="105" t="str">
        <f>IF(AI105=0,"",Y105/AI105)</f>
      </c>
    </row>
    <row r="106">
      <c r="A106" t="s">
        <v>115</v>
      </c>
      <c r="B106" s="73" t="n">
        <v>2025</v>
      </c>
      <c r="C106" t="s">
        <v>231</v>
      </c>
      <c r="D106" t="s">
        <v>235</v>
      </c>
      <c r="E106" s="74" t="s">
        <v>273</v>
      </c>
      <c r="F106" s="75" t="s">
        <v>274</v>
      </c>
      <c r="G106" s="76" t="s">
        <v>232</v>
      </c>
      <c r="H106" s="77" t="s">
        <v>239</v>
      </c>
      <c r="I106" s="78" t="s">
        <v>277</v>
      </c>
      <c r="J106" s="79" t="str">
        <f>IFERROR(INDEX('Cost_Components'!$K$2:$K$6,MATCH(E106,'Cost_Components'!$A$2:$A$6,0)),"")</f>
      </c>
      <c r="K106" s="106" t="n">
        <v>0.147914612579645</v>
      </c>
      <c r="L106" s="80" t="str">
        <f>IFERROR(INDEX('Cost_Components'!$S$2:$S$6,MATCH(E106,'Cost_Components'!$A$2:$A$6,0)),"")</f>
      </c>
      <c r="M106" s="81" t="str">
        <f>IFERROR(INDEX('Cost_Components'!$L$2:$L$6,MATCH(E106,'Cost_Components'!$A$2:$A$6,0)),"")</f>
      </c>
      <c r="N106" s="82" t="str">
        <f>IFERROR(INDEX('Cost_Components'!$P$2:$P$6,MATCH(E106,'Cost_Components'!$A$2:$A$6,0)),"")</f>
      </c>
      <c r="O106" s="83" t="str">
        <f>AF106*J106</f>
      </c>
      <c r="P106" s="84" t="str">
        <f>AG106*J106</f>
      </c>
      <c r="Q106" s="85" t="str">
        <f>P106*L106*M106*N106</f>
      </c>
      <c r="R106" s="86" t="str">
        <f>O106*K106*M106*N106</f>
      </c>
      <c r="S106" s="87" t="str">
        <f>R106-Q106</f>
      </c>
      <c r="T106" s="34" t="str">
        <f>IFERROR(INDEX('Cost_Components'!$R$2:$R$6,MATCH(E106,'Cost_Components'!$A$2:$A$6,0)),"")</f>
      </c>
      <c r="U106" s="88" t="str">
        <f>IFERROR(INDEX('Cost_Components'!$Q$2:$Q$6,MATCH(E106,'Cost_Components'!$A$2:$A$6,0)),"")</f>
      </c>
      <c r="V106" s="89" t="str">
        <f>1/(1+'Calculation_Assumptions'!$B$5)^(B106-'Calculation_Assumptions'!$B$2)</f>
      </c>
      <c r="W106" s="90" t="str">
        <f>Q106*V106</f>
      </c>
      <c r="X106" s="91" t="str">
        <f>R106*V106</f>
      </c>
      <c r="Y106" s="92" t="str">
        <f>S106*V106</f>
      </c>
      <c r="Z106" s="93" t="str">
        <f>IFERROR(INDEX('Cost_Components'!$T$2:$T$6,MATCH(E106,'Cost_Components'!$A$2:$A$6,0)),"")</f>
      </c>
      <c r="AA106" s="94" t="str">
        <f>IFERROR(INDEX('Cost_Components'!$U$2:$U$6,MATCH(E106,'Cost_Components'!$A$2:$A$6,0)),"")</f>
      </c>
      <c r="AB106" s="95" t="str">
        <f>IFERROR(INDEX('Cost_Components'!$V$2:$V$6,MATCH(E106,'Cost_Components'!$A$2:$A$6,0)),"")</f>
      </c>
      <c r="AC106" s="96" t="str">
        <f>IFERROR(INDEX('Cost_Components'!$M$2:$M$6,MATCH(E106,'Cost_Components'!$A$2:$A$6,0)),"")</f>
      </c>
      <c r="AD106" s="97" t="str">
        <f>IFERROR(INDEX('Cost_Components'!$N$2:$N$6,MATCH(E106,'Cost_Components'!$A$2:$A$6,0)),"")</f>
      </c>
      <c r="AE106" s="34" t="str">
        <f>IFERROR(INDEX('Cost_Components'!$O$2:$O$6,MATCH(E106,'Cost_Components'!$A$2:$A$6,0)),"")</f>
      </c>
      <c r="AF106" s="98" t="n">
        <v>14642365.4776425</v>
      </c>
      <c r="AG106" s="99" t="n">
        <v>14642365.4776425</v>
      </c>
      <c r="AH106" s="100" t="str">
        <f>IF(H106="shared-count-once",COUNTIFS($A$2:$A$131,A106,$B$2:$B$131,B106,$E$2:$E$131,E106),1)</f>
      </c>
      <c r="AI106" s="101" t="n">
        <v>288391907.644456</v>
      </c>
      <c r="AJ106" s="102" t="str">
        <f>IF(AI106=0,"",Q106/AI106)</f>
      </c>
      <c r="AK106" s="103" t="str">
        <f>IF(AI106=0,"",R106/AI106)</f>
      </c>
      <c r="AL106" s="104" t="str">
        <f>IF(AI106=0,"",S106/AI106)</f>
      </c>
      <c r="AM106" s="105" t="str">
        <f>IF(AI106=0,"",Y106/AI106)</f>
      </c>
    </row>
    <row r="107">
      <c r="A107" t="s">
        <v>115</v>
      </c>
      <c r="B107" s="73" t="n">
        <v>2026</v>
      </c>
      <c r="C107" t="s">
        <v>231</v>
      </c>
      <c r="D107" t="s">
        <v>235</v>
      </c>
      <c r="E107" s="74" t="s">
        <v>273</v>
      </c>
      <c r="F107" s="75" t="s">
        <v>274</v>
      </c>
      <c r="G107" s="76" t="s">
        <v>232</v>
      </c>
      <c r="H107" s="77" t="s">
        <v>239</v>
      </c>
      <c r="I107" s="78" t="s">
        <v>277</v>
      </c>
      <c r="J107" s="79" t="str">
        <f>IFERROR(INDEX('Cost_Components'!$K$2:$K$6,MATCH(E107,'Cost_Components'!$A$2:$A$6,0)),"")</f>
      </c>
      <c r="K107" s="106" t="n">
        <v>0.148533459802127</v>
      </c>
      <c r="L107" s="80" t="str">
        <f>IFERROR(INDEX('Cost_Components'!$S$2:$S$6,MATCH(E107,'Cost_Components'!$A$2:$A$6,0)),"")</f>
      </c>
      <c r="M107" s="81" t="str">
        <f>IFERROR(INDEX('Cost_Components'!$L$2:$L$6,MATCH(E107,'Cost_Components'!$A$2:$A$6,0)),"")</f>
      </c>
      <c r="N107" s="82" t="str">
        <f>IFERROR(INDEX('Cost_Components'!$P$2:$P$6,MATCH(E107,'Cost_Components'!$A$2:$A$6,0)),"")</f>
      </c>
      <c r="O107" s="83" t="str">
        <f>AF107*J107</f>
      </c>
      <c r="P107" s="84" t="str">
        <f>AG107*J107</f>
      </c>
      <c r="Q107" s="85" t="str">
        <f>P107*L107*M107*N107</f>
      </c>
      <c r="R107" s="86" t="str">
        <f>O107*K107*M107*N107</f>
      </c>
      <c r="S107" s="87" t="str">
        <f>R107-Q107</f>
      </c>
      <c r="T107" s="34" t="str">
        <f>IFERROR(INDEX('Cost_Components'!$R$2:$R$6,MATCH(E107,'Cost_Components'!$A$2:$A$6,0)),"")</f>
      </c>
      <c r="U107" s="88" t="str">
        <f>IFERROR(INDEX('Cost_Components'!$Q$2:$Q$6,MATCH(E107,'Cost_Components'!$A$2:$A$6,0)),"")</f>
      </c>
      <c r="V107" s="89" t="str">
        <f>1/(1+'Calculation_Assumptions'!$B$5)^(B107-'Calculation_Assumptions'!$B$2)</f>
      </c>
      <c r="W107" s="90" t="str">
        <f>Q107*V107</f>
      </c>
      <c r="X107" s="91" t="str">
        <f>R107*V107</f>
      </c>
      <c r="Y107" s="92" t="str">
        <f>S107*V107</f>
      </c>
      <c r="Z107" s="93" t="str">
        <f>IFERROR(INDEX('Cost_Components'!$T$2:$T$6,MATCH(E107,'Cost_Components'!$A$2:$A$6,0)),"")</f>
      </c>
      <c r="AA107" s="94" t="str">
        <f>IFERROR(INDEX('Cost_Components'!$U$2:$U$6,MATCH(E107,'Cost_Components'!$A$2:$A$6,0)),"")</f>
      </c>
      <c r="AB107" s="95" t="str">
        <f>IFERROR(INDEX('Cost_Components'!$V$2:$V$6,MATCH(E107,'Cost_Components'!$A$2:$A$6,0)),"")</f>
      </c>
      <c r="AC107" s="96" t="str">
        <f>IFERROR(INDEX('Cost_Components'!$M$2:$M$6,MATCH(E107,'Cost_Components'!$A$2:$A$6,0)),"")</f>
      </c>
      <c r="AD107" s="97" t="str">
        <f>IFERROR(INDEX('Cost_Components'!$N$2:$N$6,MATCH(E107,'Cost_Components'!$A$2:$A$6,0)),"")</f>
      </c>
      <c r="AE107" s="34" t="str">
        <f>IFERROR(INDEX('Cost_Components'!$O$2:$O$6,MATCH(E107,'Cost_Components'!$A$2:$A$6,0)),"")</f>
      </c>
      <c r="AF107" s="98" t="n">
        <v>15112051.4550982</v>
      </c>
      <c r="AG107" s="99" t="n">
        <v>15112026.0745914</v>
      </c>
      <c r="AH107" s="100" t="str">
        <f>IF(H107="shared-count-once",COUNTIFS($A$2:$A$131,A107,$B$2:$B$131,B107,$E$2:$E$131,E107),1)</f>
      </c>
      <c r="AI107" s="101" t="n">
        <v>290472130.233437</v>
      </c>
      <c r="AJ107" s="102" t="str">
        <f>IF(AI107=0,"",Q107/AI107)</f>
      </c>
      <c r="AK107" s="103" t="str">
        <f>IF(AI107=0,"",R107/AI107)</f>
      </c>
      <c r="AL107" s="104" t="str">
        <f>IF(AI107=0,"",S107/AI107)</f>
      </c>
      <c r="AM107" s="105" t="str">
        <f>IF(AI107=0,"",Y107/AI107)</f>
      </c>
    </row>
    <row r="108">
      <c r="A108" t="s">
        <v>115</v>
      </c>
      <c r="B108" s="73" t="n">
        <v>2027</v>
      </c>
      <c r="C108" t="s">
        <v>231</v>
      </c>
      <c r="D108" t="s">
        <v>235</v>
      </c>
      <c r="E108" s="74" t="s">
        <v>273</v>
      </c>
      <c r="F108" s="75" t="s">
        <v>274</v>
      </c>
      <c r="G108" s="76" t="s">
        <v>232</v>
      </c>
      <c r="H108" s="77" t="s">
        <v>239</v>
      </c>
      <c r="I108" s="78" t="s">
        <v>277</v>
      </c>
      <c r="J108" s="79" t="str">
        <f>IFERROR(INDEX('Cost_Components'!$K$2:$K$6,MATCH(E108,'Cost_Components'!$A$2:$A$6,0)),"")</f>
      </c>
      <c r="K108" s="106" t="n">
        <v>0.149152307024609</v>
      </c>
      <c r="L108" s="80" t="str">
        <f>IFERROR(INDEX('Cost_Components'!$S$2:$S$6,MATCH(E108,'Cost_Components'!$A$2:$A$6,0)),"")</f>
      </c>
      <c r="M108" s="81" t="str">
        <f>IFERROR(INDEX('Cost_Components'!$L$2:$L$6,MATCH(E108,'Cost_Components'!$A$2:$A$6,0)),"")</f>
      </c>
      <c r="N108" s="82" t="str">
        <f>IFERROR(INDEX('Cost_Components'!$P$2:$P$6,MATCH(E108,'Cost_Components'!$A$2:$A$6,0)),"")</f>
      </c>
      <c r="O108" s="83" t="str">
        <f>AF108*J108</f>
      </c>
      <c r="P108" s="84" t="str">
        <f>AG108*J108</f>
      </c>
      <c r="Q108" s="85" t="str">
        <f>P108*L108*M108*N108</f>
      </c>
      <c r="R108" s="86" t="str">
        <f>O108*K108*M108*N108</f>
      </c>
      <c r="S108" s="87" t="str">
        <f>R108-Q108</f>
      </c>
      <c r="T108" s="34" t="str">
        <f>IFERROR(INDEX('Cost_Components'!$R$2:$R$6,MATCH(E108,'Cost_Components'!$A$2:$A$6,0)),"")</f>
      </c>
      <c r="U108" s="88" t="str">
        <f>IFERROR(INDEX('Cost_Components'!$Q$2:$Q$6,MATCH(E108,'Cost_Components'!$A$2:$A$6,0)),"")</f>
      </c>
      <c r="V108" s="89" t="str">
        <f>1/(1+'Calculation_Assumptions'!$B$5)^(B108-'Calculation_Assumptions'!$B$2)</f>
      </c>
      <c r="W108" s="90" t="str">
        <f>Q108*V108</f>
      </c>
      <c r="X108" s="91" t="str">
        <f>R108*V108</f>
      </c>
      <c r="Y108" s="92" t="str">
        <f>S108*V108</f>
      </c>
      <c r="Z108" s="93" t="str">
        <f>IFERROR(INDEX('Cost_Components'!$T$2:$T$6,MATCH(E108,'Cost_Components'!$A$2:$A$6,0)),"")</f>
      </c>
      <c r="AA108" s="94" t="str">
        <f>IFERROR(INDEX('Cost_Components'!$U$2:$U$6,MATCH(E108,'Cost_Components'!$A$2:$A$6,0)),"")</f>
      </c>
      <c r="AB108" s="95" t="str">
        <f>IFERROR(INDEX('Cost_Components'!$V$2:$V$6,MATCH(E108,'Cost_Components'!$A$2:$A$6,0)),"")</f>
      </c>
      <c r="AC108" s="96" t="str">
        <f>IFERROR(INDEX('Cost_Components'!$M$2:$M$6,MATCH(E108,'Cost_Components'!$A$2:$A$6,0)),"")</f>
      </c>
      <c r="AD108" s="97" t="str">
        <f>IFERROR(INDEX('Cost_Components'!$N$2:$N$6,MATCH(E108,'Cost_Components'!$A$2:$A$6,0)),"")</f>
      </c>
      <c r="AE108" s="34" t="str">
        <f>IFERROR(INDEX('Cost_Components'!$O$2:$O$6,MATCH(E108,'Cost_Components'!$A$2:$A$6,0)),"")</f>
      </c>
      <c r="AF108" s="98" t="n">
        <v>15588178.019229</v>
      </c>
      <c r="AG108" s="99" t="n">
        <v>15588102.2486016</v>
      </c>
      <c r="AH108" s="100" t="str">
        <f>IF(H108="shared-count-once",COUNTIFS($A$2:$A$131,A108,$B$2:$B$131,B108,$E$2:$E$131,E108),1)</f>
      </c>
      <c r="AI108" s="101" t="n">
        <v>292505080.826208</v>
      </c>
      <c r="AJ108" s="102" t="str">
        <f>IF(AI108=0,"",Q108/AI108)</f>
      </c>
      <c r="AK108" s="103" t="str">
        <f>IF(AI108=0,"",R108/AI108)</f>
      </c>
      <c r="AL108" s="104" t="str">
        <f>IF(AI108=0,"",S108/AI108)</f>
      </c>
      <c r="AM108" s="105" t="str">
        <f>IF(AI108=0,"",Y108/AI108)</f>
      </c>
    </row>
    <row r="109">
      <c r="A109" t="s">
        <v>115</v>
      </c>
      <c r="B109" s="73" t="n">
        <v>2028</v>
      </c>
      <c r="C109" t="s">
        <v>231</v>
      </c>
      <c r="D109" t="s">
        <v>235</v>
      </c>
      <c r="E109" s="74" t="s">
        <v>273</v>
      </c>
      <c r="F109" s="75" t="s">
        <v>274</v>
      </c>
      <c r="G109" s="76" t="s">
        <v>232</v>
      </c>
      <c r="H109" s="77" t="s">
        <v>239</v>
      </c>
      <c r="I109" s="78" t="s">
        <v>277</v>
      </c>
      <c r="J109" s="79" t="str">
        <f>IFERROR(INDEX('Cost_Components'!$K$2:$K$6,MATCH(E109,'Cost_Components'!$A$2:$A$6,0)),"")</f>
      </c>
      <c r="K109" s="106" t="n">
        <v>0.149771154247091</v>
      </c>
      <c r="L109" s="80" t="str">
        <f>IFERROR(INDEX('Cost_Components'!$S$2:$S$6,MATCH(E109,'Cost_Components'!$A$2:$A$6,0)),"")</f>
      </c>
      <c r="M109" s="81" t="str">
        <f>IFERROR(INDEX('Cost_Components'!$L$2:$L$6,MATCH(E109,'Cost_Components'!$A$2:$A$6,0)),"")</f>
      </c>
      <c r="N109" s="82" t="str">
        <f>IFERROR(INDEX('Cost_Components'!$P$2:$P$6,MATCH(E109,'Cost_Components'!$A$2:$A$6,0)),"")</f>
      </c>
      <c r="O109" s="83" t="str">
        <f>AF109*J109</f>
      </c>
      <c r="P109" s="84" t="str">
        <f>AG109*J109</f>
      </c>
      <c r="Q109" s="85" t="str">
        <f>P109*L109*M109*N109</f>
      </c>
      <c r="R109" s="86" t="str">
        <f>O109*K109*M109*N109</f>
      </c>
      <c r="S109" s="87" t="str">
        <f>R109-Q109</f>
      </c>
      <c r="T109" s="34" t="str">
        <f>IFERROR(INDEX('Cost_Components'!$R$2:$R$6,MATCH(E109,'Cost_Components'!$A$2:$A$6,0)),"")</f>
      </c>
      <c r="U109" s="88" t="str">
        <f>IFERROR(INDEX('Cost_Components'!$Q$2:$Q$6,MATCH(E109,'Cost_Components'!$A$2:$A$6,0)),"")</f>
      </c>
      <c r="V109" s="89" t="str">
        <f>1/(1+'Calculation_Assumptions'!$B$5)^(B109-'Calculation_Assumptions'!$B$2)</f>
      </c>
      <c r="W109" s="90" t="str">
        <f>Q109*V109</f>
      </c>
      <c r="X109" s="91" t="str">
        <f>R109*V109</f>
      </c>
      <c r="Y109" s="92" t="str">
        <f>S109*V109</f>
      </c>
      <c r="Z109" s="93" t="str">
        <f>IFERROR(INDEX('Cost_Components'!$T$2:$T$6,MATCH(E109,'Cost_Components'!$A$2:$A$6,0)),"")</f>
      </c>
      <c r="AA109" s="94" t="str">
        <f>IFERROR(INDEX('Cost_Components'!$U$2:$U$6,MATCH(E109,'Cost_Components'!$A$2:$A$6,0)),"")</f>
      </c>
      <c r="AB109" s="95" t="str">
        <f>IFERROR(INDEX('Cost_Components'!$V$2:$V$6,MATCH(E109,'Cost_Components'!$A$2:$A$6,0)),"")</f>
      </c>
      <c r="AC109" s="96" t="str">
        <f>IFERROR(INDEX('Cost_Components'!$M$2:$M$6,MATCH(E109,'Cost_Components'!$A$2:$A$6,0)),"")</f>
      </c>
      <c r="AD109" s="97" t="str">
        <f>IFERROR(INDEX('Cost_Components'!$N$2:$N$6,MATCH(E109,'Cost_Components'!$A$2:$A$6,0)),"")</f>
      </c>
      <c r="AE109" s="34" t="str">
        <f>IFERROR(INDEX('Cost_Components'!$O$2:$O$6,MATCH(E109,'Cost_Components'!$A$2:$A$6,0)),"")</f>
      </c>
      <c r="AF109" s="98" t="n">
        <v>16035477.7933314</v>
      </c>
      <c r="AG109" s="99" t="n">
        <v>16035324.2757678</v>
      </c>
      <c r="AH109" s="100" t="str">
        <f>IF(H109="shared-count-once",COUNTIFS($A$2:$A$131,A109,$B$2:$B$131,B109,$E$2:$E$131,E109),1)</f>
      </c>
      <c r="AI109" s="101" t="n">
        <v>294484707.921554</v>
      </c>
      <c r="AJ109" s="102" t="str">
        <f>IF(AI109=0,"",Q109/AI109)</f>
      </c>
      <c r="AK109" s="103" t="str">
        <f>IF(AI109=0,"",R109/AI109)</f>
      </c>
      <c r="AL109" s="104" t="str">
        <f>IF(AI109=0,"",S109/AI109)</f>
      </c>
      <c r="AM109" s="105" t="str">
        <f>IF(AI109=0,"",Y109/AI109)</f>
      </c>
    </row>
    <row r="110">
      <c r="A110" t="s">
        <v>115</v>
      </c>
      <c r="B110" s="73" t="n">
        <v>2029</v>
      </c>
      <c r="C110" t="s">
        <v>231</v>
      </c>
      <c r="D110" t="s">
        <v>235</v>
      </c>
      <c r="E110" s="74" t="s">
        <v>273</v>
      </c>
      <c r="F110" s="75" t="s">
        <v>274</v>
      </c>
      <c r="G110" s="76" t="s">
        <v>232</v>
      </c>
      <c r="H110" s="77" t="s">
        <v>239</v>
      </c>
      <c r="I110" s="78" t="s">
        <v>277</v>
      </c>
      <c r="J110" s="79" t="str">
        <f>IFERROR(INDEX('Cost_Components'!$K$2:$K$6,MATCH(E110,'Cost_Components'!$A$2:$A$6,0)),"")</f>
      </c>
      <c r="K110" s="106" t="n">
        <v>0.150390001469573</v>
      </c>
      <c r="L110" s="80" t="str">
        <f>IFERROR(INDEX('Cost_Components'!$S$2:$S$6,MATCH(E110,'Cost_Components'!$A$2:$A$6,0)),"")</f>
      </c>
      <c r="M110" s="81" t="str">
        <f>IFERROR(INDEX('Cost_Components'!$L$2:$L$6,MATCH(E110,'Cost_Components'!$A$2:$A$6,0)),"")</f>
      </c>
      <c r="N110" s="82" t="str">
        <f>IFERROR(INDEX('Cost_Components'!$P$2:$P$6,MATCH(E110,'Cost_Components'!$A$2:$A$6,0)),"")</f>
      </c>
      <c r="O110" s="83" t="str">
        <f>AF110*J110</f>
      </c>
      <c r="P110" s="84" t="str">
        <f>AG110*J110</f>
      </c>
      <c r="Q110" s="85" t="str">
        <f>P110*L110*M110*N110</f>
      </c>
      <c r="R110" s="86" t="str">
        <f>O110*K110*M110*N110</f>
      </c>
      <c r="S110" s="87" t="str">
        <f>R110-Q110</f>
      </c>
      <c r="T110" s="34" t="str">
        <f>IFERROR(INDEX('Cost_Components'!$R$2:$R$6,MATCH(E110,'Cost_Components'!$A$2:$A$6,0)),"")</f>
      </c>
      <c r="U110" s="88" t="str">
        <f>IFERROR(INDEX('Cost_Components'!$Q$2:$Q$6,MATCH(E110,'Cost_Components'!$A$2:$A$6,0)),"")</f>
      </c>
      <c r="V110" s="89" t="str">
        <f>1/(1+'Calculation_Assumptions'!$B$5)^(B110-'Calculation_Assumptions'!$B$2)</f>
      </c>
      <c r="W110" s="90" t="str">
        <f>Q110*V110</f>
      </c>
      <c r="X110" s="91" t="str">
        <f>R110*V110</f>
      </c>
      <c r="Y110" s="92" t="str">
        <f>S110*V110</f>
      </c>
      <c r="Z110" s="93" t="str">
        <f>IFERROR(INDEX('Cost_Components'!$T$2:$T$6,MATCH(E110,'Cost_Components'!$A$2:$A$6,0)),"")</f>
      </c>
      <c r="AA110" s="94" t="str">
        <f>IFERROR(INDEX('Cost_Components'!$U$2:$U$6,MATCH(E110,'Cost_Components'!$A$2:$A$6,0)),"")</f>
      </c>
      <c r="AB110" s="95" t="str">
        <f>IFERROR(INDEX('Cost_Components'!$V$2:$V$6,MATCH(E110,'Cost_Components'!$A$2:$A$6,0)),"")</f>
      </c>
      <c r="AC110" s="96" t="str">
        <f>IFERROR(INDEX('Cost_Components'!$M$2:$M$6,MATCH(E110,'Cost_Components'!$A$2:$A$6,0)),"")</f>
      </c>
      <c r="AD110" s="97" t="str">
        <f>IFERROR(INDEX('Cost_Components'!$N$2:$N$6,MATCH(E110,'Cost_Components'!$A$2:$A$6,0)),"")</f>
      </c>
      <c r="AE110" s="34" t="str">
        <f>IFERROR(INDEX('Cost_Components'!$O$2:$O$6,MATCH(E110,'Cost_Components'!$A$2:$A$6,0)),"")</f>
      </c>
      <c r="AF110" s="98" t="n">
        <v>16482448.8819481</v>
      </c>
      <c r="AG110" s="99" t="n">
        <v>16482186.2025616</v>
      </c>
      <c r="AH110" s="100" t="str">
        <f>IF(H110="shared-count-once",COUNTIFS($A$2:$A$131,A110,$B$2:$B$131,B110,$E$2:$E$131,E110),1)</f>
      </c>
      <c r="AI110" s="101" t="n">
        <v>296414030.31143</v>
      </c>
      <c r="AJ110" s="102" t="str">
        <f>IF(AI110=0,"",Q110/AI110)</f>
      </c>
      <c r="AK110" s="103" t="str">
        <f>IF(AI110=0,"",R110/AI110)</f>
      </c>
      <c r="AL110" s="104" t="str">
        <f>IF(AI110=0,"",S110/AI110)</f>
      </c>
      <c r="AM110" s="105" t="str">
        <f>IF(AI110=0,"",Y110/AI110)</f>
      </c>
    </row>
    <row r="111">
      <c r="A111" t="s">
        <v>115</v>
      </c>
      <c r="B111" s="73" t="n">
        <v>2030</v>
      </c>
      <c r="C111" t="s">
        <v>231</v>
      </c>
      <c r="D111" t="s">
        <v>235</v>
      </c>
      <c r="E111" s="74" t="s">
        <v>273</v>
      </c>
      <c r="F111" s="75" t="s">
        <v>274</v>
      </c>
      <c r="G111" s="76" t="s">
        <v>232</v>
      </c>
      <c r="H111" s="77" t="s">
        <v>239</v>
      </c>
      <c r="I111" s="78" t="s">
        <v>277</v>
      </c>
      <c r="J111" s="79" t="str">
        <f>IFERROR(INDEX('Cost_Components'!$K$2:$K$6,MATCH(E111,'Cost_Components'!$A$2:$A$6,0)),"")</f>
      </c>
      <c r="K111" s="106" t="n">
        <v>0.151008848692055</v>
      </c>
      <c r="L111" s="80" t="str">
        <f>IFERROR(INDEX('Cost_Components'!$S$2:$S$6,MATCH(E111,'Cost_Components'!$A$2:$A$6,0)),"")</f>
      </c>
      <c r="M111" s="81" t="str">
        <f>IFERROR(INDEX('Cost_Components'!$L$2:$L$6,MATCH(E111,'Cost_Components'!$A$2:$A$6,0)),"")</f>
      </c>
      <c r="N111" s="82" t="str">
        <f>IFERROR(INDEX('Cost_Components'!$P$2:$P$6,MATCH(E111,'Cost_Components'!$A$2:$A$6,0)),"")</f>
      </c>
      <c r="O111" s="83" t="str">
        <f>AF111*J111</f>
      </c>
      <c r="P111" s="84" t="str">
        <f>AG111*J111</f>
      </c>
      <c r="Q111" s="85" t="str">
        <f>P111*L111*M111*N111</f>
      </c>
      <c r="R111" s="86" t="str">
        <f>O111*K111*M111*N111</f>
      </c>
      <c r="S111" s="87" t="str">
        <f>R111-Q111</f>
      </c>
      <c r="T111" s="34" t="str">
        <f>IFERROR(INDEX('Cost_Components'!$R$2:$R$6,MATCH(E111,'Cost_Components'!$A$2:$A$6,0)),"")</f>
      </c>
      <c r="U111" s="88" t="str">
        <f>IFERROR(INDEX('Cost_Components'!$Q$2:$Q$6,MATCH(E111,'Cost_Components'!$A$2:$A$6,0)),"")</f>
      </c>
      <c r="V111" s="89" t="str">
        <f>1/(1+'Calculation_Assumptions'!$B$5)^(B111-'Calculation_Assumptions'!$B$2)</f>
      </c>
      <c r="W111" s="90" t="str">
        <f>Q111*V111</f>
      </c>
      <c r="X111" s="91" t="str">
        <f>R111*V111</f>
      </c>
      <c r="Y111" s="92" t="str">
        <f>S111*V111</f>
      </c>
      <c r="Z111" s="93" t="str">
        <f>IFERROR(INDEX('Cost_Components'!$T$2:$T$6,MATCH(E111,'Cost_Components'!$A$2:$A$6,0)),"")</f>
      </c>
      <c r="AA111" s="94" t="str">
        <f>IFERROR(INDEX('Cost_Components'!$U$2:$U$6,MATCH(E111,'Cost_Components'!$A$2:$A$6,0)),"")</f>
      </c>
      <c r="AB111" s="95" t="str">
        <f>IFERROR(INDEX('Cost_Components'!$V$2:$V$6,MATCH(E111,'Cost_Components'!$A$2:$A$6,0)),"")</f>
      </c>
      <c r="AC111" s="96" t="str">
        <f>IFERROR(INDEX('Cost_Components'!$M$2:$M$6,MATCH(E111,'Cost_Components'!$A$2:$A$6,0)),"")</f>
      </c>
      <c r="AD111" s="97" t="str">
        <f>IFERROR(INDEX('Cost_Components'!$N$2:$N$6,MATCH(E111,'Cost_Components'!$A$2:$A$6,0)),"")</f>
      </c>
      <c r="AE111" s="34" t="str">
        <f>IFERROR(INDEX('Cost_Components'!$O$2:$O$6,MATCH(E111,'Cost_Components'!$A$2:$A$6,0)),"")</f>
      </c>
      <c r="AF111" s="98" t="n">
        <v>16928140.4410643</v>
      </c>
      <c r="AG111" s="99" t="n">
        <v>16927732.456255</v>
      </c>
      <c r="AH111" s="100" t="str">
        <f>IF(H111="shared-count-once",COUNTIFS($A$2:$A$131,A111,$B$2:$B$131,B111,$E$2:$E$131,E111),1)</f>
      </c>
      <c r="AI111" s="101" t="n">
        <v>298289404.664994</v>
      </c>
      <c r="AJ111" s="102" t="str">
        <f>IF(AI111=0,"",Q111/AI111)</f>
      </c>
      <c r="AK111" s="103" t="str">
        <f>IF(AI111=0,"",R111/AI111)</f>
      </c>
      <c r="AL111" s="104" t="str">
        <f>IF(AI111=0,"",S111/AI111)</f>
      </c>
      <c r="AM111" s="105" t="str">
        <f>IF(AI111=0,"",Y111/AI111)</f>
      </c>
    </row>
    <row r="112">
      <c r="A112" t="s">
        <v>115</v>
      </c>
      <c r="B112" s="73" t="n">
        <v>2031</v>
      </c>
      <c r="C112" t="s">
        <v>231</v>
      </c>
      <c r="D112" t="s">
        <v>235</v>
      </c>
      <c r="E112" s="74" t="s">
        <v>273</v>
      </c>
      <c r="F112" s="75" t="s">
        <v>274</v>
      </c>
      <c r="G112" s="76" t="s">
        <v>232</v>
      </c>
      <c r="H112" s="77" t="s">
        <v>239</v>
      </c>
      <c r="I112" s="78" t="s">
        <v>277</v>
      </c>
      <c r="J112" s="79" t="str">
        <f>IFERROR(INDEX('Cost_Components'!$K$2:$K$6,MATCH(E112,'Cost_Components'!$A$2:$A$6,0)),"")</f>
      </c>
      <c r="K112" s="106" t="n">
        <v>0.177557963822849</v>
      </c>
      <c r="L112" s="80" t="str">
        <f>IFERROR(INDEX('Cost_Components'!$S$2:$S$6,MATCH(E112,'Cost_Components'!$A$2:$A$6,0)),"")</f>
      </c>
      <c r="M112" s="81" t="str">
        <f>IFERROR(INDEX('Cost_Components'!$L$2:$L$6,MATCH(E112,'Cost_Components'!$A$2:$A$6,0)),"")</f>
      </c>
      <c r="N112" s="82" t="str">
        <f>IFERROR(INDEX('Cost_Components'!$P$2:$P$6,MATCH(E112,'Cost_Components'!$A$2:$A$6,0)),"")</f>
      </c>
      <c r="O112" s="83" t="str">
        <f>AF112*J112</f>
      </c>
      <c r="P112" s="84" t="str">
        <f>AG112*J112</f>
      </c>
      <c r="Q112" s="85" t="str">
        <f>P112*L112*M112*N112</f>
      </c>
      <c r="R112" s="86" t="str">
        <f>O112*K112*M112*N112</f>
      </c>
      <c r="S112" s="87" t="str">
        <f>R112-Q112</f>
      </c>
      <c r="T112" s="34" t="str">
        <f>IFERROR(INDEX('Cost_Components'!$R$2:$R$6,MATCH(E112,'Cost_Components'!$A$2:$A$6,0)),"")</f>
      </c>
      <c r="U112" s="88" t="str">
        <f>IFERROR(INDEX('Cost_Components'!$Q$2:$Q$6,MATCH(E112,'Cost_Components'!$A$2:$A$6,0)),"")</f>
      </c>
      <c r="V112" s="89" t="str">
        <f>1/(1+'Calculation_Assumptions'!$B$5)^(B112-'Calculation_Assumptions'!$B$2)</f>
      </c>
      <c r="W112" s="90" t="str">
        <f>Q112*V112</f>
      </c>
      <c r="X112" s="91" t="str">
        <f>R112*V112</f>
      </c>
      <c r="Y112" s="92" t="str">
        <f>S112*V112</f>
      </c>
      <c r="Z112" s="93" t="str">
        <f>IFERROR(INDEX('Cost_Components'!$T$2:$T$6,MATCH(E112,'Cost_Components'!$A$2:$A$6,0)),"")</f>
      </c>
      <c r="AA112" s="94" t="str">
        <f>IFERROR(INDEX('Cost_Components'!$U$2:$U$6,MATCH(E112,'Cost_Components'!$A$2:$A$6,0)),"")</f>
      </c>
      <c r="AB112" s="95" t="str">
        <f>IFERROR(INDEX('Cost_Components'!$V$2:$V$6,MATCH(E112,'Cost_Components'!$A$2:$A$6,0)),"")</f>
      </c>
      <c r="AC112" s="96" t="str">
        <f>IFERROR(INDEX('Cost_Components'!$M$2:$M$6,MATCH(E112,'Cost_Components'!$A$2:$A$6,0)),"")</f>
      </c>
      <c r="AD112" s="97" t="str">
        <f>IFERROR(INDEX('Cost_Components'!$N$2:$N$6,MATCH(E112,'Cost_Components'!$A$2:$A$6,0)),"")</f>
      </c>
      <c r="AE112" s="34" t="str">
        <f>IFERROR(INDEX('Cost_Components'!$O$2:$O$6,MATCH(E112,'Cost_Components'!$A$2:$A$6,0)),"")</f>
      </c>
      <c r="AF112" s="98" t="n">
        <v>17376172.8647576</v>
      </c>
      <c r="AG112" s="99" t="n">
        <v>17374429.7443926</v>
      </c>
      <c r="AH112" s="100" t="str">
        <f>IF(H112="shared-count-once",COUNTIFS($A$2:$A$131,A112,$B$2:$B$131,B112,$E$2:$E$131,E112),1)</f>
      </c>
      <c r="AI112" s="101" t="n">
        <v>300119636.925519</v>
      </c>
      <c r="AJ112" s="102" t="str">
        <f>IF(AI112=0,"",Q112/AI112)</f>
      </c>
      <c r="AK112" s="103" t="str">
        <f>IF(AI112=0,"",R112/AI112)</f>
      </c>
      <c r="AL112" s="104" t="str">
        <f>IF(AI112=0,"",S112/AI112)</f>
      </c>
      <c r="AM112" s="105" t="str">
        <f>IF(AI112=0,"",Y112/AI112)</f>
      </c>
    </row>
    <row r="113">
      <c r="A113" t="s">
        <v>115</v>
      </c>
      <c r="B113" s="73" t="n">
        <v>2032</v>
      </c>
      <c r="C113" t="s">
        <v>231</v>
      </c>
      <c r="D113" t="s">
        <v>235</v>
      </c>
      <c r="E113" s="74" t="s">
        <v>273</v>
      </c>
      <c r="F113" s="75" t="s">
        <v>274</v>
      </c>
      <c r="G113" s="76" t="s">
        <v>232</v>
      </c>
      <c r="H113" s="77" t="s">
        <v>239</v>
      </c>
      <c r="I113" s="78" t="s">
        <v>277</v>
      </c>
      <c r="J113" s="79" t="str">
        <f>IFERROR(INDEX('Cost_Components'!$K$2:$K$6,MATCH(E113,'Cost_Components'!$A$2:$A$6,0)),"")</f>
      </c>
      <c r="K113" s="106" t="n">
        <v>0.204107078953644</v>
      </c>
      <c r="L113" s="80" t="str">
        <f>IFERROR(INDEX('Cost_Components'!$S$2:$S$6,MATCH(E113,'Cost_Components'!$A$2:$A$6,0)),"")</f>
      </c>
      <c r="M113" s="81" t="str">
        <f>IFERROR(INDEX('Cost_Components'!$L$2:$L$6,MATCH(E113,'Cost_Components'!$A$2:$A$6,0)),"")</f>
      </c>
      <c r="N113" s="82" t="str">
        <f>IFERROR(INDEX('Cost_Components'!$P$2:$P$6,MATCH(E113,'Cost_Components'!$A$2:$A$6,0)),"")</f>
      </c>
      <c r="O113" s="83" t="str">
        <f>AF113*J113</f>
      </c>
      <c r="P113" s="84" t="str">
        <f>AG113*J113</f>
      </c>
      <c r="Q113" s="85" t="str">
        <f>P113*L113*M113*N113</f>
      </c>
      <c r="R113" s="86" t="str">
        <f>O113*K113*M113*N113</f>
      </c>
      <c r="S113" s="87" t="str">
        <f>R113-Q113</f>
      </c>
      <c r="T113" s="34" t="str">
        <f>IFERROR(INDEX('Cost_Components'!$R$2:$R$6,MATCH(E113,'Cost_Components'!$A$2:$A$6,0)),"")</f>
      </c>
      <c r="U113" s="88" t="str">
        <f>IFERROR(INDEX('Cost_Components'!$Q$2:$Q$6,MATCH(E113,'Cost_Components'!$A$2:$A$6,0)),"")</f>
      </c>
      <c r="V113" s="89" t="str">
        <f>1/(1+'Calculation_Assumptions'!$B$5)^(B113-'Calculation_Assumptions'!$B$2)</f>
      </c>
      <c r="W113" s="90" t="str">
        <f>Q113*V113</f>
      </c>
      <c r="X113" s="91" t="str">
        <f>R113*V113</f>
      </c>
      <c r="Y113" s="92" t="str">
        <f>S113*V113</f>
      </c>
      <c r="Z113" s="93" t="str">
        <f>IFERROR(INDEX('Cost_Components'!$T$2:$T$6,MATCH(E113,'Cost_Components'!$A$2:$A$6,0)),"")</f>
      </c>
      <c r="AA113" s="94" t="str">
        <f>IFERROR(INDEX('Cost_Components'!$U$2:$U$6,MATCH(E113,'Cost_Components'!$A$2:$A$6,0)),"")</f>
      </c>
      <c r="AB113" s="95" t="str">
        <f>IFERROR(INDEX('Cost_Components'!$V$2:$V$6,MATCH(E113,'Cost_Components'!$A$2:$A$6,0)),"")</f>
      </c>
      <c r="AC113" s="96" t="str">
        <f>IFERROR(INDEX('Cost_Components'!$M$2:$M$6,MATCH(E113,'Cost_Components'!$A$2:$A$6,0)),"")</f>
      </c>
      <c r="AD113" s="97" t="str">
        <f>IFERROR(INDEX('Cost_Components'!$N$2:$N$6,MATCH(E113,'Cost_Components'!$A$2:$A$6,0)),"")</f>
      </c>
      <c r="AE113" s="34" t="str">
        <f>IFERROR(INDEX('Cost_Components'!$O$2:$O$6,MATCH(E113,'Cost_Components'!$A$2:$A$6,0)),"")</f>
      </c>
      <c r="AF113" s="98" t="n">
        <v>17826880.8801984</v>
      </c>
      <c r="AG113" s="99" t="n">
        <v>17822626.340663</v>
      </c>
      <c r="AH113" s="100" t="str">
        <f>IF(H113="shared-count-once",COUNTIFS($A$2:$A$131,A113,$B$2:$B$131,B113,$E$2:$E$131,E113),1)</f>
      </c>
      <c r="AI113" s="101" t="n">
        <v>301904628.083541</v>
      </c>
      <c r="AJ113" s="102" t="str">
        <f>IF(AI113=0,"",Q113/AI113)</f>
      </c>
      <c r="AK113" s="103" t="str">
        <f>IF(AI113=0,"",R113/AI113)</f>
      </c>
      <c r="AL113" s="104" t="str">
        <f>IF(AI113=0,"",S113/AI113)</f>
      </c>
      <c r="AM113" s="105" t="str">
        <f>IF(AI113=0,"",Y113/AI113)</f>
      </c>
    </row>
    <row r="114">
      <c r="A114" t="s">
        <v>115</v>
      </c>
      <c r="B114" s="73" t="n">
        <v>2033</v>
      </c>
      <c r="C114" t="s">
        <v>231</v>
      </c>
      <c r="D114" t="s">
        <v>235</v>
      </c>
      <c r="E114" s="74" t="s">
        <v>273</v>
      </c>
      <c r="F114" s="75" t="s">
        <v>274</v>
      </c>
      <c r="G114" s="76" t="s">
        <v>232</v>
      </c>
      <c r="H114" s="77" t="s">
        <v>239</v>
      </c>
      <c r="I114" s="78" t="s">
        <v>277</v>
      </c>
      <c r="J114" s="79" t="str">
        <f>IFERROR(INDEX('Cost_Components'!$K$2:$K$6,MATCH(E114,'Cost_Components'!$A$2:$A$6,0)),"")</f>
      </c>
      <c r="K114" s="106" t="n">
        <v>0.230656194084438</v>
      </c>
      <c r="L114" s="80" t="str">
        <f>IFERROR(INDEX('Cost_Components'!$S$2:$S$6,MATCH(E114,'Cost_Components'!$A$2:$A$6,0)),"")</f>
      </c>
      <c r="M114" s="81" t="str">
        <f>IFERROR(INDEX('Cost_Components'!$L$2:$L$6,MATCH(E114,'Cost_Components'!$A$2:$A$6,0)),"")</f>
      </c>
      <c r="N114" s="82" t="str">
        <f>IFERROR(INDEX('Cost_Components'!$P$2:$P$6,MATCH(E114,'Cost_Components'!$A$2:$A$6,0)),"")</f>
      </c>
      <c r="O114" s="83" t="str">
        <f>AF114*J114</f>
      </c>
      <c r="P114" s="84" t="str">
        <f>AG114*J114</f>
      </c>
      <c r="Q114" s="85" t="str">
        <f>P114*L114*M114*N114</f>
      </c>
      <c r="R114" s="86" t="str">
        <f>O114*K114*M114*N114</f>
      </c>
      <c r="S114" s="87" t="str">
        <f>R114-Q114</f>
      </c>
      <c r="T114" s="34" t="str">
        <f>IFERROR(INDEX('Cost_Components'!$R$2:$R$6,MATCH(E114,'Cost_Components'!$A$2:$A$6,0)),"")</f>
      </c>
      <c r="U114" s="88" t="str">
        <f>IFERROR(INDEX('Cost_Components'!$Q$2:$Q$6,MATCH(E114,'Cost_Components'!$A$2:$A$6,0)),"")</f>
      </c>
      <c r="V114" s="89" t="str">
        <f>1/(1+'Calculation_Assumptions'!$B$5)^(B114-'Calculation_Assumptions'!$B$2)</f>
      </c>
      <c r="W114" s="90" t="str">
        <f>Q114*V114</f>
      </c>
      <c r="X114" s="91" t="str">
        <f>R114*V114</f>
      </c>
      <c r="Y114" s="92" t="str">
        <f>S114*V114</f>
      </c>
      <c r="Z114" s="93" t="str">
        <f>IFERROR(INDEX('Cost_Components'!$T$2:$T$6,MATCH(E114,'Cost_Components'!$A$2:$A$6,0)),"")</f>
      </c>
      <c r="AA114" s="94" t="str">
        <f>IFERROR(INDEX('Cost_Components'!$U$2:$U$6,MATCH(E114,'Cost_Components'!$A$2:$A$6,0)),"")</f>
      </c>
      <c r="AB114" s="95" t="str">
        <f>IFERROR(INDEX('Cost_Components'!$V$2:$V$6,MATCH(E114,'Cost_Components'!$A$2:$A$6,0)),"")</f>
      </c>
      <c r="AC114" s="96" t="str">
        <f>IFERROR(INDEX('Cost_Components'!$M$2:$M$6,MATCH(E114,'Cost_Components'!$A$2:$A$6,0)),"")</f>
      </c>
      <c r="AD114" s="97" t="str">
        <f>IFERROR(INDEX('Cost_Components'!$N$2:$N$6,MATCH(E114,'Cost_Components'!$A$2:$A$6,0)),"")</f>
      </c>
      <c r="AE114" s="34" t="str">
        <f>IFERROR(INDEX('Cost_Components'!$O$2:$O$6,MATCH(E114,'Cost_Components'!$A$2:$A$6,0)),"")</f>
      </c>
      <c r="AF114" s="98" t="n">
        <v>18257745.4024144</v>
      </c>
      <c r="AG114" s="99" t="n">
        <v>18249802.0286649</v>
      </c>
      <c r="AH114" s="100" t="str">
        <f>IF(H114="shared-count-once",COUNTIFS($A$2:$A$131,A114,$B$2:$B$131,B114,$E$2:$E$131,E114),1)</f>
      </c>
      <c r="AI114" s="101" t="n">
        <v>303644277.16916</v>
      </c>
      <c r="AJ114" s="102" t="str">
        <f>IF(AI114=0,"",Q114/AI114)</f>
      </c>
      <c r="AK114" s="103" t="str">
        <f>IF(AI114=0,"",R114/AI114)</f>
      </c>
      <c r="AL114" s="104" t="str">
        <f>IF(AI114=0,"",S114/AI114)</f>
      </c>
      <c r="AM114" s="105" t="str">
        <f>IF(AI114=0,"",Y114/AI114)</f>
      </c>
    </row>
    <row r="115">
      <c r="A115" t="s">
        <v>115</v>
      </c>
      <c r="B115" s="73" t="n">
        <v>2034</v>
      </c>
      <c r="C115" t="s">
        <v>231</v>
      </c>
      <c r="D115" t="s">
        <v>235</v>
      </c>
      <c r="E115" s="74" t="s">
        <v>273</v>
      </c>
      <c r="F115" s="75" t="s">
        <v>274</v>
      </c>
      <c r="G115" s="76" t="s">
        <v>232</v>
      </c>
      <c r="H115" s="77" t="s">
        <v>239</v>
      </c>
      <c r="I115" s="78" t="s">
        <v>277</v>
      </c>
      <c r="J115" s="79" t="str">
        <f>IFERROR(INDEX('Cost_Components'!$K$2:$K$6,MATCH(E115,'Cost_Components'!$A$2:$A$6,0)),"")</f>
      </c>
      <c r="K115" s="106" t="n">
        <v>0.257205309215233</v>
      </c>
      <c r="L115" s="80" t="str">
        <f>IFERROR(INDEX('Cost_Components'!$S$2:$S$6,MATCH(E115,'Cost_Components'!$A$2:$A$6,0)),"")</f>
      </c>
      <c r="M115" s="81" t="str">
        <f>IFERROR(INDEX('Cost_Components'!$L$2:$L$6,MATCH(E115,'Cost_Components'!$A$2:$A$6,0)),"")</f>
      </c>
      <c r="N115" s="82" t="str">
        <f>IFERROR(INDEX('Cost_Components'!$P$2:$P$6,MATCH(E115,'Cost_Components'!$A$2:$A$6,0)),"")</f>
      </c>
      <c r="O115" s="83" t="str">
        <f>AF115*J115</f>
      </c>
      <c r="P115" s="84" t="str">
        <f>AG115*J115</f>
      </c>
      <c r="Q115" s="85" t="str">
        <f>P115*L115*M115*N115</f>
      </c>
      <c r="R115" s="86" t="str">
        <f>O115*K115*M115*N115</f>
      </c>
      <c r="S115" s="87" t="str">
        <f>R115-Q115</f>
      </c>
      <c r="T115" s="34" t="str">
        <f>IFERROR(INDEX('Cost_Components'!$R$2:$R$6,MATCH(E115,'Cost_Components'!$A$2:$A$6,0)),"")</f>
      </c>
      <c r="U115" s="88" t="str">
        <f>IFERROR(INDEX('Cost_Components'!$Q$2:$Q$6,MATCH(E115,'Cost_Components'!$A$2:$A$6,0)),"")</f>
      </c>
      <c r="V115" s="89" t="str">
        <f>1/(1+'Calculation_Assumptions'!$B$5)^(B115-'Calculation_Assumptions'!$B$2)</f>
      </c>
      <c r="W115" s="90" t="str">
        <f>Q115*V115</f>
      </c>
      <c r="X115" s="91" t="str">
        <f>R115*V115</f>
      </c>
      <c r="Y115" s="92" t="str">
        <f>S115*V115</f>
      </c>
      <c r="Z115" s="93" t="str">
        <f>IFERROR(INDEX('Cost_Components'!$T$2:$T$6,MATCH(E115,'Cost_Components'!$A$2:$A$6,0)),"")</f>
      </c>
      <c r="AA115" s="94" t="str">
        <f>IFERROR(INDEX('Cost_Components'!$U$2:$U$6,MATCH(E115,'Cost_Components'!$A$2:$A$6,0)),"")</f>
      </c>
      <c r="AB115" s="95" t="str">
        <f>IFERROR(INDEX('Cost_Components'!$V$2:$V$6,MATCH(E115,'Cost_Components'!$A$2:$A$6,0)),"")</f>
      </c>
      <c r="AC115" s="96" t="str">
        <f>IFERROR(INDEX('Cost_Components'!$M$2:$M$6,MATCH(E115,'Cost_Components'!$A$2:$A$6,0)),"")</f>
      </c>
      <c r="AD115" s="97" t="str">
        <f>IFERROR(INDEX('Cost_Components'!$N$2:$N$6,MATCH(E115,'Cost_Components'!$A$2:$A$6,0)),"")</f>
      </c>
      <c r="AE115" s="34" t="str">
        <f>IFERROR(INDEX('Cost_Components'!$O$2:$O$6,MATCH(E115,'Cost_Components'!$A$2:$A$6,0)),"")</f>
      </c>
      <c r="AF115" s="98" t="n">
        <v>18689261.8357601</v>
      </c>
      <c r="AG115" s="99" t="n">
        <v>18676437.5832843</v>
      </c>
      <c r="AH115" s="100" t="str">
        <f>IF(H115="shared-count-once",COUNTIFS($A$2:$A$131,A115,$B$2:$B$131,B115,$E$2:$E$131,E115),1)</f>
      </c>
      <c r="AI115" s="101" t="n">
        <v>305332541.184984</v>
      </c>
      <c r="AJ115" s="102" t="str">
        <f>IF(AI115=0,"",Q115/AI115)</f>
      </c>
      <c r="AK115" s="103" t="str">
        <f>IF(AI115=0,"",R115/AI115)</f>
      </c>
      <c r="AL115" s="104" t="str">
        <f>IF(AI115=0,"",S115/AI115)</f>
      </c>
      <c r="AM115" s="105" t="str">
        <f>IF(AI115=0,"",Y115/AI115)</f>
      </c>
    </row>
    <row r="116">
      <c r="A116" t="s">
        <v>115</v>
      </c>
      <c r="B116" s="73" t="n">
        <v>2035</v>
      </c>
      <c r="C116" t="s">
        <v>231</v>
      </c>
      <c r="D116" t="s">
        <v>235</v>
      </c>
      <c r="E116" s="74" t="s">
        <v>273</v>
      </c>
      <c r="F116" s="75" t="s">
        <v>274</v>
      </c>
      <c r="G116" s="76" t="s">
        <v>232</v>
      </c>
      <c r="H116" s="77" t="s">
        <v>239</v>
      </c>
      <c r="I116" s="78" t="s">
        <v>277</v>
      </c>
      <c r="J116" s="79" t="str">
        <f>IFERROR(INDEX('Cost_Components'!$K$2:$K$6,MATCH(E116,'Cost_Components'!$A$2:$A$6,0)),"")</f>
      </c>
      <c r="K116" s="106" t="n">
        <v>0.283754424346027</v>
      </c>
      <c r="L116" s="80" t="str">
        <f>IFERROR(INDEX('Cost_Components'!$S$2:$S$6,MATCH(E116,'Cost_Components'!$A$2:$A$6,0)),"")</f>
      </c>
      <c r="M116" s="81" t="str">
        <f>IFERROR(INDEX('Cost_Components'!$L$2:$L$6,MATCH(E116,'Cost_Components'!$A$2:$A$6,0)),"")</f>
      </c>
      <c r="N116" s="82" t="str">
        <f>IFERROR(INDEX('Cost_Components'!$P$2:$P$6,MATCH(E116,'Cost_Components'!$A$2:$A$6,0)),"")</f>
      </c>
      <c r="O116" s="83" t="str">
        <f>AF116*J116</f>
      </c>
      <c r="P116" s="84" t="str">
        <f>AG116*J116</f>
      </c>
      <c r="Q116" s="85" t="str">
        <f>P116*L116*M116*N116</f>
      </c>
      <c r="R116" s="86" t="str">
        <f>O116*K116*M116*N116</f>
      </c>
      <c r="S116" s="87" t="str">
        <f>R116-Q116</f>
      </c>
      <c r="T116" s="34" t="str">
        <f>IFERROR(INDEX('Cost_Components'!$R$2:$R$6,MATCH(E116,'Cost_Components'!$A$2:$A$6,0)),"")</f>
      </c>
      <c r="U116" s="88" t="str">
        <f>IFERROR(INDEX('Cost_Components'!$Q$2:$Q$6,MATCH(E116,'Cost_Components'!$A$2:$A$6,0)),"")</f>
      </c>
      <c r="V116" s="89" t="str">
        <f>1/(1+'Calculation_Assumptions'!$B$5)^(B116-'Calculation_Assumptions'!$B$2)</f>
      </c>
      <c r="W116" s="90" t="str">
        <f>Q116*V116</f>
      </c>
      <c r="X116" s="91" t="str">
        <f>R116*V116</f>
      </c>
      <c r="Y116" s="92" t="str">
        <f>S116*V116</f>
      </c>
      <c r="Z116" s="93" t="str">
        <f>IFERROR(INDEX('Cost_Components'!$T$2:$T$6,MATCH(E116,'Cost_Components'!$A$2:$A$6,0)),"")</f>
      </c>
      <c r="AA116" s="94" t="str">
        <f>IFERROR(INDEX('Cost_Components'!$U$2:$U$6,MATCH(E116,'Cost_Components'!$A$2:$A$6,0)),"")</f>
      </c>
      <c r="AB116" s="95" t="str">
        <f>IFERROR(INDEX('Cost_Components'!$V$2:$V$6,MATCH(E116,'Cost_Components'!$A$2:$A$6,0)),"")</f>
      </c>
      <c r="AC116" s="96" t="str">
        <f>IFERROR(INDEX('Cost_Components'!$M$2:$M$6,MATCH(E116,'Cost_Components'!$A$2:$A$6,0)),"")</f>
      </c>
      <c r="AD116" s="97" t="str">
        <f>IFERROR(INDEX('Cost_Components'!$N$2:$N$6,MATCH(E116,'Cost_Components'!$A$2:$A$6,0)),"")</f>
      </c>
      <c r="AE116" s="34" t="str">
        <f>IFERROR(INDEX('Cost_Components'!$O$2:$O$6,MATCH(E116,'Cost_Components'!$A$2:$A$6,0)),"")</f>
      </c>
      <c r="AF116" s="98" t="n">
        <v>19120832.7155192</v>
      </c>
      <c r="AG116" s="99" t="n">
        <v>19101916.5677958</v>
      </c>
      <c r="AH116" s="100" t="str">
        <f>IF(H116="shared-count-once",COUNTIFS($A$2:$A$131,A116,$B$2:$B$131,B116,$E$2:$E$131,E116),1)</f>
      </c>
      <c r="AI116" s="101" t="n">
        <v>306964650.16712</v>
      </c>
      <c r="AJ116" s="102" t="str">
        <f>IF(AI116=0,"",Q116/AI116)</f>
      </c>
      <c r="AK116" s="103" t="str">
        <f>IF(AI116=0,"",R116/AI116)</f>
      </c>
      <c r="AL116" s="104" t="str">
        <f>IF(AI116=0,"",S116/AI116)</f>
      </c>
      <c r="AM116" s="105" t="str">
        <f>IF(AI116=0,"",Y116/AI116)</f>
      </c>
    </row>
    <row r="117">
      <c r="A117" t="s">
        <v>115</v>
      </c>
      <c r="B117" s="73" t="n">
        <v>2036</v>
      </c>
      <c r="C117" t="s">
        <v>231</v>
      </c>
      <c r="D117" t="s">
        <v>235</v>
      </c>
      <c r="E117" s="74" t="s">
        <v>273</v>
      </c>
      <c r="F117" s="75" t="s">
        <v>274</v>
      </c>
      <c r="G117" s="76" t="s">
        <v>232</v>
      </c>
      <c r="H117" s="77" t="s">
        <v>239</v>
      </c>
      <c r="I117" s="78" t="s">
        <v>277</v>
      </c>
      <c r="J117" s="79" t="str">
        <f>IFERROR(INDEX('Cost_Components'!$K$2:$K$6,MATCH(E117,'Cost_Components'!$A$2:$A$6,0)),"")</f>
      </c>
      <c r="K117" s="106" t="n">
        <v>0.310303539476822</v>
      </c>
      <c r="L117" s="80" t="str">
        <f>IFERROR(INDEX('Cost_Components'!$S$2:$S$6,MATCH(E117,'Cost_Components'!$A$2:$A$6,0)),"")</f>
      </c>
      <c r="M117" s="81" t="str">
        <f>IFERROR(INDEX('Cost_Components'!$L$2:$L$6,MATCH(E117,'Cost_Components'!$A$2:$A$6,0)),"")</f>
      </c>
      <c r="N117" s="82" t="str">
        <f>IFERROR(INDEX('Cost_Components'!$P$2:$P$6,MATCH(E117,'Cost_Components'!$A$2:$A$6,0)),"")</f>
      </c>
      <c r="O117" s="83" t="str">
        <f>AF117*J117</f>
      </c>
      <c r="P117" s="84" t="str">
        <f>AG117*J117</f>
      </c>
      <c r="Q117" s="85" t="str">
        <f>P117*L117*M117*N117</f>
      </c>
      <c r="R117" s="86" t="str">
        <f>O117*K117*M117*N117</f>
      </c>
      <c r="S117" s="87" t="str">
        <f>R117-Q117</f>
      </c>
      <c r="T117" s="34" t="str">
        <f>IFERROR(INDEX('Cost_Components'!$R$2:$R$6,MATCH(E117,'Cost_Components'!$A$2:$A$6,0)),"")</f>
      </c>
      <c r="U117" s="88" t="str">
        <f>IFERROR(INDEX('Cost_Components'!$Q$2:$Q$6,MATCH(E117,'Cost_Components'!$A$2:$A$6,0)),"")</f>
      </c>
      <c r="V117" s="89" t="str">
        <f>1/(1+'Calculation_Assumptions'!$B$5)^(B117-'Calculation_Assumptions'!$B$2)</f>
      </c>
      <c r="W117" s="90" t="str">
        <f>Q117*V117</f>
      </c>
      <c r="X117" s="91" t="str">
        <f>R117*V117</f>
      </c>
      <c r="Y117" s="92" t="str">
        <f>S117*V117</f>
      </c>
      <c r="Z117" s="93" t="str">
        <f>IFERROR(INDEX('Cost_Components'!$T$2:$T$6,MATCH(E117,'Cost_Components'!$A$2:$A$6,0)),"")</f>
      </c>
      <c r="AA117" s="94" t="str">
        <f>IFERROR(INDEX('Cost_Components'!$U$2:$U$6,MATCH(E117,'Cost_Components'!$A$2:$A$6,0)),"")</f>
      </c>
      <c r="AB117" s="95" t="str">
        <f>IFERROR(INDEX('Cost_Components'!$V$2:$V$6,MATCH(E117,'Cost_Components'!$A$2:$A$6,0)),"")</f>
      </c>
      <c r="AC117" s="96" t="str">
        <f>IFERROR(INDEX('Cost_Components'!$M$2:$M$6,MATCH(E117,'Cost_Components'!$A$2:$A$6,0)),"")</f>
      </c>
      <c r="AD117" s="97" t="str">
        <f>IFERROR(INDEX('Cost_Components'!$N$2:$N$6,MATCH(E117,'Cost_Components'!$A$2:$A$6,0)),"")</f>
      </c>
      <c r="AE117" s="34" t="str">
        <f>IFERROR(INDEX('Cost_Components'!$O$2:$O$6,MATCH(E117,'Cost_Components'!$A$2:$A$6,0)),"")</f>
      </c>
      <c r="AF117" s="98" t="n">
        <v>19553066.6671978</v>
      </c>
      <c r="AG117" s="99" t="n">
        <v>19526805.7427516</v>
      </c>
      <c r="AH117" s="100" t="str">
        <f>IF(H117="shared-count-once",COUNTIFS($A$2:$A$131,A117,$B$2:$B$131,B117,$E$2:$E$131,E117),1)</f>
      </c>
      <c r="AI117" s="101" t="n">
        <v>308542769.756622</v>
      </c>
      <c r="AJ117" s="102" t="str">
        <f>IF(AI117=0,"",Q117/AI117)</f>
      </c>
      <c r="AK117" s="103" t="str">
        <f>IF(AI117=0,"",R117/AI117)</f>
      </c>
      <c r="AL117" s="104" t="str">
        <f>IF(AI117=0,"",S117/AI117)</f>
      </c>
      <c r="AM117" s="105" t="str">
        <f>IF(AI117=0,"",Y117/AI117)</f>
      </c>
    </row>
    <row r="118">
      <c r="A118" t="s">
        <v>115</v>
      </c>
      <c r="B118" s="73" t="n">
        <v>2037</v>
      </c>
      <c r="C118" t="s">
        <v>231</v>
      </c>
      <c r="D118" t="s">
        <v>235</v>
      </c>
      <c r="E118" s="74" t="s">
        <v>273</v>
      </c>
      <c r="F118" s="75" t="s">
        <v>274</v>
      </c>
      <c r="G118" s="76" t="s">
        <v>232</v>
      </c>
      <c r="H118" s="77" t="s">
        <v>239</v>
      </c>
      <c r="I118" s="78" t="s">
        <v>277</v>
      </c>
      <c r="J118" s="79" t="str">
        <f>IFERROR(INDEX('Cost_Components'!$K$2:$K$6,MATCH(E118,'Cost_Components'!$A$2:$A$6,0)),"")</f>
      </c>
      <c r="K118" s="106" t="n">
        <v>0.336852654607616</v>
      </c>
      <c r="L118" s="80" t="str">
        <f>IFERROR(INDEX('Cost_Components'!$S$2:$S$6,MATCH(E118,'Cost_Components'!$A$2:$A$6,0)),"")</f>
      </c>
      <c r="M118" s="81" t="str">
        <f>IFERROR(INDEX('Cost_Components'!$L$2:$L$6,MATCH(E118,'Cost_Components'!$A$2:$A$6,0)),"")</f>
      </c>
      <c r="N118" s="82" t="str">
        <f>IFERROR(INDEX('Cost_Components'!$P$2:$P$6,MATCH(E118,'Cost_Components'!$A$2:$A$6,0)),"")</f>
      </c>
      <c r="O118" s="83" t="str">
        <f>AF118*J118</f>
      </c>
      <c r="P118" s="84" t="str">
        <f>AG118*J118</f>
      </c>
      <c r="Q118" s="85" t="str">
        <f>P118*L118*M118*N118</f>
      </c>
      <c r="R118" s="86" t="str">
        <f>O118*K118*M118*N118</f>
      </c>
      <c r="S118" s="87" t="str">
        <f>R118-Q118</f>
      </c>
      <c r="T118" s="34" t="str">
        <f>IFERROR(INDEX('Cost_Components'!$R$2:$R$6,MATCH(E118,'Cost_Components'!$A$2:$A$6,0)),"")</f>
      </c>
      <c r="U118" s="88" t="str">
        <f>IFERROR(INDEX('Cost_Components'!$Q$2:$Q$6,MATCH(E118,'Cost_Components'!$A$2:$A$6,0)),"")</f>
      </c>
      <c r="V118" s="89" t="str">
        <f>1/(1+'Calculation_Assumptions'!$B$5)^(B118-'Calculation_Assumptions'!$B$2)</f>
      </c>
      <c r="W118" s="90" t="str">
        <f>Q118*V118</f>
      </c>
      <c r="X118" s="91" t="str">
        <f>R118*V118</f>
      </c>
      <c r="Y118" s="92" t="str">
        <f>S118*V118</f>
      </c>
      <c r="Z118" s="93" t="str">
        <f>IFERROR(INDEX('Cost_Components'!$T$2:$T$6,MATCH(E118,'Cost_Components'!$A$2:$A$6,0)),"")</f>
      </c>
      <c r="AA118" s="94" t="str">
        <f>IFERROR(INDEX('Cost_Components'!$U$2:$U$6,MATCH(E118,'Cost_Components'!$A$2:$A$6,0)),"")</f>
      </c>
      <c r="AB118" s="95" t="str">
        <f>IFERROR(INDEX('Cost_Components'!$V$2:$V$6,MATCH(E118,'Cost_Components'!$A$2:$A$6,0)),"")</f>
      </c>
      <c r="AC118" s="96" t="str">
        <f>IFERROR(INDEX('Cost_Components'!$M$2:$M$6,MATCH(E118,'Cost_Components'!$A$2:$A$6,0)),"")</f>
      </c>
      <c r="AD118" s="97" t="str">
        <f>IFERROR(INDEX('Cost_Components'!$N$2:$N$6,MATCH(E118,'Cost_Components'!$A$2:$A$6,0)),"")</f>
      </c>
      <c r="AE118" s="34" t="str">
        <f>IFERROR(INDEX('Cost_Components'!$O$2:$O$6,MATCH(E118,'Cost_Components'!$A$2:$A$6,0)),"")</f>
      </c>
      <c r="AF118" s="98" t="n">
        <v>19986376.2950974</v>
      </c>
      <c r="AG118" s="99" t="n">
        <v>19951492.7245041</v>
      </c>
      <c r="AH118" s="100" t="str">
        <f>IF(H118="shared-count-once",COUNTIFS($A$2:$A$131,A118,$B$2:$B$131,B118,$E$2:$E$131,E118),1)</f>
      </c>
      <c r="AI118" s="101" t="n">
        <v>310068287.63643</v>
      </c>
      <c r="AJ118" s="102" t="str">
        <f>IF(AI118=0,"",Q118/AI118)</f>
      </c>
      <c r="AK118" s="103" t="str">
        <f>IF(AI118=0,"",R118/AI118)</f>
      </c>
      <c r="AL118" s="104" t="str">
        <f>IF(AI118=0,"",S118/AI118)</f>
      </c>
      <c r="AM118" s="105" t="str">
        <f>IF(AI118=0,"",Y118/AI118)</f>
      </c>
    </row>
    <row r="119">
      <c r="A119" t="s">
        <v>115</v>
      </c>
      <c r="B119" s="73" t="n">
        <v>2038</v>
      </c>
      <c r="C119" t="s">
        <v>231</v>
      </c>
      <c r="D119" t="s">
        <v>235</v>
      </c>
      <c r="E119" s="74" t="s">
        <v>273</v>
      </c>
      <c r="F119" s="75" t="s">
        <v>274</v>
      </c>
      <c r="G119" s="76" t="s">
        <v>232</v>
      </c>
      <c r="H119" s="77" t="s">
        <v>239</v>
      </c>
      <c r="I119" s="78" t="s">
        <v>277</v>
      </c>
      <c r="J119" s="79" t="str">
        <f>IFERROR(INDEX('Cost_Components'!$K$2:$K$6,MATCH(E119,'Cost_Components'!$A$2:$A$6,0)),"")</f>
      </c>
      <c r="K119" s="106" t="n">
        <v>0.363401769738411</v>
      </c>
      <c r="L119" s="80" t="str">
        <f>IFERROR(INDEX('Cost_Components'!$S$2:$S$6,MATCH(E119,'Cost_Components'!$A$2:$A$6,0)),"")</f>
      </c>
      <c r="M119" s="81" t="str">
        <f>IFERROR(INDEX('Cost_Components'!$L$2:$L$6,MATCH(E119,'Cost_Components'!$A$2:$A$6,0)),"")</f>
      </c>
      <c r="N119" s="82" t="str">
        <f>IFERROR(INDEX('Cost_Components'!$P$2:$P$6,MATCH(E119,'Cost_Components'!$A$2:$A$6,0)),"")</f>
      </c>
      <c r="O119" s="83" t="str">
        <f>AF119*J119</f>
      </c>
      <c r="P119" s="84" t="str">
        <f>AG119*J119</f>
      </c>
      <c r="Q119" s="85" t="str">
        <f>P119*L119*M119*N119</f>
      </c>
      <c r="R119" s="86" t="str">
        <f>O119*K119*M119*N119</f>
      </c>
      <c r="S119" s="87" t="str">
        <f>R119-Q119</f>
      </c>
      <c r="T119" s="34" t="str">
        <f>IFERROR(INDEX('Cost_Components'!$R$2:$R$6,MATCH(E119,'Cost_Components'!$A$2:$A$6,0)),"")</f>
      </c>
      <c r="U119" s="88" t="str">
        <f>IFERROR(INDEX('Cost_Components'!$Q$2:$Q$6,MATCH(E119,'Cost_Components'!$A$2:$A$6,0)),"")</f>
      </c>
      <c r="V119" s="89" t="str">
        <f>1/(1+'Calculation_Assumptions'!$B$5)^(B119-'Calculation_Assumptions'!$B$2)</f>
      </c>
      <c r="W119" s="90" t="str">
        <f>Q119*V119</f>
      </c>
      <c r="X119" s="91" t="str">
        <f>R119*V119</f>
      </c>
      <c r="Y119" s="92" t="str">
        <f>S119*V119</f>
      </c>
      <c r="Z119" s="93" t="str">
        <f>IFERROR(INDEX('Cost_Components'!$T$2:$T$6,MATCH(E119,'Cost_Components'!$A$2:$A$6,0)),"")</f>
      </c>
      <c r="AA119" s="94" t="str">
        <f>IFERROR(INDEX('Cost_Components'!$U$2:$U$6,MATCH(E119,'Cost_Components'!$A$2:$A$6,0)),"")</f>
      </c>
      <c r="AB119" s="95" t="str">
        <f>IFERROR(INDEX('Cost_Components'!$V$2:$V$6,MATCH(E119,'Cost_Components'!$A$2:$A$6,0)),"")</f>
      </c>
      <c r="AC119" s="96" t="str">
        <f>IFERROR(INDEX('Cost_Components'!$M$2:$M$6,MATCH(E119,'Cost_Components'!$A$2:$A$6,0)),"")</f>
      </c>
      <c r="AD119" s="97" t="str">
        <f>IFERROR(INDEX('Cost_Components'!$N$2:$N$6,MATCH(E119,'Cost_Components'!$A$2:$A$6,0)),"")</f>
      </c>
      <c r="AE119" s="34" t="str">
        <f>IFERROR(INDEX('Cost_Components'!$O$2:$O$6,MATCH(E119,'Cost_Components'!$A$2:$A$6,0)),"")</f>
      </c>
      <c r="AF119" s="98" t="n">
        <v>20419842.9901209</v>
      </c>
      <c r="AG119" s="99" t="n">
        <v>20375030.6756504</v>
      </c>
      <c r="AH119" s="100" t="str">
        <f>IF(H119="shared-count-once",COUNTIFS($A$2:$A$131,A119,$B$2:$B$131,B119,$E$2:$E$131,E119),1)</f>
      </c>
      <c r="AI119" s="101" t="n">
        <v>311532999.13163</v>
      </c>
      <c r="AJ119" s="102" t="str">
        <f>IF(AI119=0,"",Q119/AI119)</f>
      </c>
      <c r="AK119" s="103" t="str">
        <f>IF(AI119=0,"",R119/AI119)</f>
      </c>
      <c r="AL119" s="104" t="str">
        <f>IF(AI119=0,"",S119/AI119)</f>
      </c>
      <c r="AM119" s="105" t="str">
        <f>IF(AI119=0,"",Y119/AI119)</f>
      </c>
    </row>
    <row r="120">
      <c r="A120" t="s">
        <v>115</v>
      </c>
      <c r="B120" s="73" t="n">
        <v>2039</v>
      </c>
      <c r="C120" t="s">
        <v>231</v>
      </c>
      <c r="D120" t="s">
        <v>235</v>
      </c>
      <c r="E120" s="74" t="s">
        <v>273</v>
      </c>
      <c r="F120" s="75" t="s">
        <v>274</v>
      </c>
      <c r="G120" s="76" t="s">
        <v>232</v>
      </c>
      <c r="H120" s="77" t="s">
        <v>239</v>
      </c>
      <c r="I120" s="78" t="s">
        <v>277</v>
      </c>
      <c r="J120" s="79" t="str">
        <f>IFERROR(INDEX('Cost_Components'!$K$2:$K$6,MATCH(E120,'Cost_Components'!$A$2:$A$6,0)),"")</f>
      </c>
      <c r="K120" s="106" t="n">
        <v>0.389950884869205</v>
      </c>
      <c r="L120" s="80" t="str">
        <f>IFERROR(INDEX('Cost_Components'!$S$2:$S$6,MATCH(E120,'Cost_Components'!$A$2:$A$6,0)),"")</f>
      </c>
      <c r="M120" s="81" t="str">
        <f>IFERROR(INDEX('Cost_Components'!$L$2:$L$6,MATCH(E120,'Cost_Components'!$A$2:$A$6,0)),"")</f>
      </c>
      <c r="N120" s="82" t="str">
        <f>IFERROR(INDEX('Cost_Components'!$P$2:$P$6,MATCH(E120,'Cost_Components'!$A$2:$A$6,0)),"")</f>
      </c>
      <c r="O120" s="83" t="str">
        <f>AF120*J120</f>
      </c>
      <c r="P120" s="84" t="str">
        <f>AG120*J120</f>
      </c>
      <c r="Q120" s="85" t="str">
        <f>P120*L120*M120*N120</f>
      </c>
      <c r="R120" s="86" t="str">
        <f>O120*K120*M120*N120</f>
      </c>
      <c r="S120" s="87" t="str">
        <f>R120-Q120</f>
      </c>
      <c r="T120" s="34" t="str">
        <f>IFERROR(INDEX('Cost_Components'!$R$2:$R$6,MATCH(E120,'Cost_Components'!$A$2:$A$6,0)),"")</f>
      </c>
      <c r="U120" s="88" t="str">
        <f>IFERROR(INDEX('Cost_Components'!$Q$2:$Q$6,MATCH(E120,'Cost_Components'!$A$2:$A$6,0)),"")</f>
      </c>
      <c r="V120" s="89" t="str">
        <f>1/(1+'Calculation_Assumptions'!$B$5)^(B120-'Calculation_Assumptions'!$B$2)</f>
      </c>
      <c r="W120" s="90" t="str">
        <f>Q120*V120</f>
      </c>
      <c r="X120" s="91" t="str">
        <f>R120*V120</f>
      </c>
      <c r="Y120" s="92" t="str">
        <f>S120*V120</f>
      </c>
      <c r="Z120" s="93" t="str">
        <f>IFERROR(INDEX('Cost_Components'!$T$2:$T$6,MATCH(E120,'Cost_Components'!$A$2:$A$6,0)),"")</f>
      </c>
      <c r="AA120" s="94" t="str">
        <f>IFERROR(INDEX('Cost_Components'!$U$2:$U$6,MATCH(E120,'Cost_Components'!$A$2:$A$6,0)),"")</f>
      </c>
      <c r="AB120" s="95" t="str">
        <f>IFERROR(INDEX('Cost_Components'!$V$2:$V$6,MATCH(E120,'Cost_Components'!$A$2:$A$6,0)),"")</f>
      </c>
      <c r="AC120" s="96" t="str">
        <f>IFERROR(INDEX('Cost_Components'!$M$2:$M$6,MATCH(E120,'Cost_Components'!$A$2:$A$6,0)),"")</f>
      </c>
      <c r="AD120" s="97" t="str">
        <f>IFERROR(INDEX('Cost_Components'!$N$2:$N$6,MATCH(E120,'Cost_Components'!$A$2:$A$6,0)),"")</f>
      </c>
      <c r="AE120" s="34" t="str">
        <f>IFERROR(INDEX('Cost_Components'!$O$2:$O$6,MATCH(E120,'Cost_Components'!$A$2:$A$6,0)),"")</f>
      </c>
      <c r="AF120" s="98" t="n">
        <v>20851310.2302934</v>
      </c>
      <c r="AG120" s="99" t="n">
        <v>20795232.2002214</v>
      </c>
      <c r="AH120" s="100" t="str">
        <f>IF(H120="shared-count-once",COUNTIFS($A$2:$A$131,A120,$B$2:$B$131,B120,$E$2:$E$131,E120),1)</f>
      </c>
      <c r="AI120" s="101" t="n">
        <v>312936391.858479</v>
      </c>
      <c r="AJ120" s="102" t="str">
        <f>IF(AI120=0,"",Q120/AI120)</f>
      </c>
      <c r="AK120" s="103" t="str">
        <f>IF(AI120=0,"",R120/AI120)</f>
      </c>
      <c r="AL120" s="104" t="str">
        <f>IF(AI120=0,"",S120/AI120)</f>
      </c>
      <c r="AM120" s="105" t="str">
        <f>IF(AI120=0,"",Y120/AI120)</f>
      </c>
    </row>
    <row r="121">
      <c r="A121" t="s">
        <v>115</v>
      </c>
      <c r="B121" s="73" t="n">
        <v>2040</v>
      </c>
      <c r="C121" t="s">
        <v>231</v>
      </c>
      <c r="D121" t="s">
        <v>235</v>
      </c>
      <c r="E121" s="74" t="s">
        <v>273</v>
      </c>
      <c r="F121" s="75" t="s">
        <v>274</v>
      </c>
      <c r="G121" s="76" t="s">
        <v>232</v>
      </c>
      <c r="H121" s="77" t="s">
        <v>239</v>
      </c>
      <c r="I121" s="78" t="s">
        <v>277</v>
      </c>
      <c r="J121" s="79" t="str">
        <f>IFERROR(INDEX('Cost_Components'!$K$2:$K$6,MATCH(E121,'Cost_Components'!$A$2:$A$6,0)),"")</f>
      </c>
      <c r="K121" s="106" t="n">
        <v>0.4165</v>
      </c>
      <c r="L121" s="80" t="str">
        <f>IFERROR(INDEX('Cost_Components'!$S$2:$S$6,MATCH(E121,'Cost_Components'!$A$2:$A$6,0)),"")</f>
      </c>
      <c r="M121" s="81" t="str">
        <f>IFERROR(INDEX('Cost_Components'!$L$2:$L$6,MATCH(E121,'Cost_Components'!$A$2:$A$6,0)),"")</f>
      </c>
      <c r="N121" s="82" t="str">
        <f>IFERROR(INDEX('Cost_Components'!$P$2:$P$6,MATCH(E121,'Cost_Components'!$A$2:$A$6,0)),"")</f>
      </c>
      <c r="O121" s="83" t="str">
        <f>AF121*J121</f>
      </c>
      <c r="P121" s="84" t="str">
        <f>AG121*J121</f>
      </c>
      <c r="Q121" s="85" t="str">
        <f>P121*L121*M121*N121</f>
      </c>
      <c r="R121" s="86" t="str">
        <f>O121*K121*M121*N121</f>
      </c>
      <c r="S121" s="87" t="str">
        <f>R121-Q121</f>
      </c>
      <c r="T121" s="34" t="str">
        <f>IFERROR(INDEX('Cost_Components'!$R$2:$R$6,MATCH(E121,'Cost_Components'!$A$2:$A$6,0)),"")</f>
      </c>
      <c r="U121" s="88" t="str">
        <f>IFERROR(INDEX('Cost_Components'!$Q$2:$Q$6,MATCH(E121,'Cost_Components'!$A$2:$A$6,0)),"")</f>
      </c>
      <c r="V121" s="89" t="str">
        <f>1/(1+'Calculation_Assumptions'!$B$5)^(B121-'Calculation_Assumptions'!$B$2)</f>
      </c>
      <c r="W121" s="90" t="str">
        <f>Q121*V121</f>
      </c>
      <c r="X121" s="91" t="str">
        <f>R121*V121</f>
      </c>
      <c r="Y121" s="92" t="str">
        <f>S121*V121</f>
      </c>
      <c r="Z121" s="93" t="str">
        <f>IFERROR(INDEX('Cost_Components'!$T$2:$T$6,MATCH(E121,'Cost_Components'!$A$2:$A$6,0)),"")</f>
      </c>
      <c r="AA121" s="94" t="str">
        <f>IFERROR(INDEX('Cost_Components'!$U$2:$U$6,MATCH(E121,'Cost_Components'!$A$2:$A$6,0)),"")</f>
      </c>
      <c r="AB121" s="95" t="str">
        <f>IFERROR(INDEX('Cost_Components'!$V$2:$V$6,MATCH(E121,'Cost_Components'!$A$2:$A$6,0)),"")</f>
      </c>
      <c r="AC121" s="96" t="str">
        <f>IFERROR(INDEX('Cost_Components'!$M$2:$M$6,MATCH(E121,'Cost_Components'!$A$2:$A$6,0)),"")</f>
      </c>
      <c r="AD121" s="97" t="str">
        <f>IFERROR(INDEX('Cost_Components'!$N$2:$N$6,MATCH(E121,'Cost_Components'!$A$2:$A$6,0)),"")</f>
      </c>
      <c r="AE121" s="34" t="str">
        <f>IFERROR(INDEX('Cost_Components'!$O$2:$O$6,MATCH(E121,'Cost_Components'!$A$2:$A$6,0)),"")</f>
      </c>
      <c r="AF121" s="98" t="n">
        <v>21279626.4981505</v>
      </c>
      <c r="AG121" s="99" t="n">
        <v>21210933.1763601</v>
      </c>
      <c r="AH121" s="100" t="str">
        <f>IF(H121="shared-count-once",COUNTIFS($A$2:$A$131,A121,$B$2:$B$131,B121,$E$2:$E$131,E121),1)</f>
      </c>
      <c r="AI121" s="101" t="n">
        <v>314265537.410829</v>
      </c>
      <c r="AJ121" s="102" t="str">
        <f>IF(AI121=0,"",Q121/AI121)</f>
      </c>
      <c r="AK121" s="103" t="str">
        <f>IF(AI121=0,"",R121/AI121)</f>
      </c>
      <c r="AL121" s="104" t="str">
        <f>IF(AI121=0,"",S121/AI121)</f>
      </c>
      <c r="AM121" s="105" t="str">
        <f>IF(AI121=0,"",Y121/AI121)</f>
      </c>
    </row>
    <row r="122">
      <c r="A122" t="s">
        <v>115</v>
      </c>
      <c r="B122" s="73" t="n">
        <v>2041</v>
      </c>
      <c r="C122" t="s">
        <v>231</v>
      </c>
      <c r="D122" t="s">
        <v>235</v>
      </c>
      <c r="E122" s="74" t="s">
        <v>273</v>
      </c>
      <c r="F122" s="75" t="s">
        <v>274</v>
      </c>
      <c r="G122" s="76" t="s">
        <v>232</v>
      </c>
      <c r="H122" s="77" t="s">
        <v>239</v>
      </c>
      <c r="I122" s="78" t="s">
        <v>277</v>
      </c>
      <c r="J122" s="79" t="str">
        <f>IFERROR(INDEX('Cost_Components'!$K$2:$K$6,MATCH(E122,'Cost_Components'!$A$2:$A$6,0)),"")</f>
      </c>
      <c r="K122" s="106" t="n">
        <v>0.4165</v>
      </c>
      <c r="L122" s="80" t="str">
        <f>IFERROR(INDEX('Cost_Components'!$S$2:$S$6,MATCH(E122,'Cost_Components'!$A$2:$A$6,0)),"")</f>
      </c>
      <c r="M122" s="81" t="str">
        <f>IFERROR(INDEX('Cost_Components'!$L$2:$L$6,MATCH(E122,'Cost_Components'!$A$2:$A$6,0)),"")</f>
      </c>
      <c r="N122" s="82" t="str">
        <f>IFERROR(INDEX('Cost_Components'!$P$2:$P$6,MATCH(E122,'Cost_Components'!$A$2:$A$6,0)),"")</f>
      </c>
      <c r="O122" s="83" t="str">
        <f>AF122*J122</f>
      </c>
      <c r="P122" s="84" t="str">
        <f>AG122*J122</f>
      </c>
      <c r="Q122" s="85" t="str">
        <f>P122*L122*M122*N122</f>
      </c>
      <c r="R122" s="86" t="str">
        <f>O122*K122*M122*N122</f>
      </c>
      <c r="S122" s="87" t="str">
        <f>R122-Q122</f>
      </c>
      <c r="T122" s="34" t="str">
        <f>IFERROR(INDEX('Cost_Components'!$R$2:$R$6,MATCH(E122,'Cost_Components'!$A$2:$A$6,0)),"")</f>
      </c>
      <c r="U122" s="88" t="str">
        <f>IFERROR(INDEX('Cost_Components'!$Q$2:$Q$6,MATCH(E122,'Cost_Components'!$A$2:$A$6,0)),"")</f>
      </c>
      <c r="V122" s="89" t="str">
        <f>1/(1+'Calculation_Assumptions'!$B$5)^(B122-'Calculation_Assumptions'!$B$2)</f>
      </c>
      <c r="W122" s="90" t="str">
        <f>Q122*V122</f>
      </c>
      <c r="X122" s="91" t="str">
        <f>R122*V122</f>
      </c>
      <c r="Y122" s="92" t="str">
        <f>S122*V122</f>
      </c>
      <c r="Z122" s="93" t="str">
        <f>IFERROR(INDEX('Cost_Components'!$T$2:$T$6,MATCH(E122,'Cost_Components'!$A$2:$A$6,0)),"")</f>
      </c>
      <c r="AA122" s="94" t="str">
        <f>IFERROR(INDEX('Cost_Components'!$U$2:$U$6,MATCH(E122,'Cost_Components'!$A$2:$A$6,0)),"")</f>
      </c>
      <c r="AB122" s="95" t="str">
        <f>IFERROR(INDEX('Cost_Components'!$V$2:$V$6,MATCH(E122,'Cost_Components'!$A$2:$A$6,0)),"")</f>
      </c>
      <c r="AC122" s="96" t="str">
        <f>IFERROR(INDEX('Cost_Components'!$M$2:$M$6,MATCH(E122,'Cost_Components'!$A$2:$A$6,0)),"")</f>
      </c>
      <c r="AD122" s="97" t="str">
        <f>IFERROR(INDEX('Cost_Components'!$N$2:$N$6,MATCH(E122,'Cost_Components'!$A$2:$A$6,0)),"")</f>
      </c>
      <c r="AE122" s="34" t="str">
        <f>IFERROR(INDEX('Cost_Components'!$O$2:$O$6,MATCH(E122,'Cost_Components'!$A$2:$A$6,0)),"")</f>
      </c>
      <c r="AF122" s="98" t="n">
        <v>21707167.6623767</v>
      </c>
      <c r="AG122" s="99" t="n">
        <v>21626067.3217193</v>
      </c>
      <c r="AH122" s="100" t="str">
        <f>IF(H122="shared-count-once",COUNTIFS($A$2:$A$131,A122,$B$2:$B$131,B122,$E$2:$E$131,E122),1)</f>
      </c>
      <c r="AI122" s="101" t="n">
        <v>315525215.312548</v>
      </c>
      <c r="AJ122" s="102" t="str">
        <f>IF(AI122=0,"",Q122/AI122)</f>
      </c>
      <c r="AK122" s="103" t="str">
        <f>IF(AI122=0,"",R122/AI122)</f>
      </c>
      <c r="AL122" s="104" t="str">
        <f>IF(AI122=0,"",S122/AI122)</f>
      </c>
      <c r="AM122" s="105" t="str">
        <f>IF(AI122=0,"",Y122/AI122)</f>
      </c>
    </row>
    <row r="123">
      <c r="A123" t="s">
        <v>115</v>
      </c>
      <c r="B123" s="73" t="n">
        <v>2042</v>
      </c>
      <c r="C123" t="s">
        <v>231</v>
      </c>
      <c r="D123" t="s">
        <v>235</v>
      </c>
      <c r="E123" s="74" t="s">
        <v>273</v>
      </c>
      <c r="F123" s="75" t="s">
        <v>274</v>
      </c>
      <c r="G123" s="76" t="s">
        <v>232</v>
      </c>
      <c r="H123" s="77" t="s">
        <v>239</v>
      </c>
      <c r="I123" s="78" t="s">
        <v>277</v>
      </c>
      <c r="J123" s="79" t="str">
        <f>IFERROR(INDEX('Cost_Components'!$K$2:$K$6,MATCH(E123,'Cost_Components'!$A$2:$A$6,0)),"")</f>
      </c>
      <c r="K123" s="106" t="n">
        <v>0.4165</v>
      </c>
      <c r="L123" s="80" t="str">
        <f>IFERROR(INDEX('Cost_Components'!$S$2:$S$6,MATCH(E123,'Cost_Components'!$A$2:$A$6,0)),"")</f>
      </c>
      <c r="M123" s="81" t="str">
        <f>IFERROR(INDEX('Cost_Components'!$L$2:$L$6,MATCH(E123,'Cost_Components'!$A$2:$A$6,0)),"")</f>
      </c>
      <c r="N123" s="82" t="str">
        <f>IFERROR(INDEX('Cost_Components'!$P$2:$P$6,MATCH(E123,'Cost_Components'!$A$2:$A$6,0)),"")</f>
      </c>
      <c r="O123" s="83" t="str">
        <f>AF123*J123</f>
      </c>
      <c r="P123" s="84" t="str">
        <f>AG123*J123</f>
      </c>
      <c r="Q123" s="85" t="str">
        <f>P123*L123*M123*N123</f>
      </c>
      <c r="R123" s="86" t="str">
        <f>O123*K123*M123*N123</f>
      </c>
      <c r="S123" s="87" t="str">
        <f>R123-Q123</f>
      </c>
      <c r="T123" s="34" t="str">
        <f>IFERROR(INDEX('Cost_Components'!$R$2:$R$6,MATCH(E123,'Cost_Components'!$A$2:$A$6,0)),"")</f>
      </c>
      <c r="U123" s="88" t="str">
        <f>IFERROR(INDEX('Cost_Components'!$Q$2:$Q$6,MATCH(E123,'Cost_Components'!$A$2:$A$6,0)),"")</f>
      </c>
      <c r="V123" s="89" t="str">
        <f>1/(1+'Calculation_Assumptions'!$B$5)^(B123-'Calculation_Assumptions'!$B$2)</f>
      </c>
      <c r="W123" s="90" t="str">
        <f>Q123*V123</f>
      </c>
      <c r="X123" s="91" t="str">
        <f>R123*V123</f>
      </c>
      <c r="Y123" s="92" t="str">
        <f>S123*V123</f>
      </c>
      <c r="Z123" s="93" t="str">
        <f>IFERROR(INDEX('Cost_Components'!$T$2:$T$6,MATCH(E123,'Cost_Components'!$A$2:$A$6,0)),"")</f>
      </c>
      <c r="AA123" s="94" t="str">
        <f>IFERROR(INDEX('Cost_Components'!$U$2:$U$6,MATCH(E123,'Cost_Components'!$A$2:$A$6,0)),"")</f>
      </c>
      <c r="AB123" s="95" t="str">
        <f>IFERROR(INDEX('Cost_Components'!$V$2:$V$6,MATCH(E123,'Cost_Components'!$A$2:$A$6,0)),"")</f>
      </c>
      <c r="AC123" s="96" t="str">
        <f>IFERROR(INDEX('Cost_Components'!$M$2:$M$6,MATCH(E123,'Cost_Components'!$A$2:$A$6,0)),"")</f>
      </c>
      <c r="AD123" s="97" t="str">
        <f>IFERROR(INDEX('Cost_Components'!$N$2:$N$6,MATCH(E123,'Cost_Components'!$A$2:$A$6,0)),"")</f>
      </c>
      <c r="AE123" s="34" t="str">
        <f>IFERROR(INDEX('Cost_Components'!$O$2:$O$6,MATCH(E123,'Cost_Components'!$A$2:$A$6,0)),"")</f>
      </c>
      <c r="AF123" s="98" t="n">
        <v>22131466.6708364</v>
      </c>
      <c r="AG123" s="99" t="n">
        <v>22038113.882347</v>
      </c>
      <c r="AH123" s="100" t="str">
        <f>IF(H123="shared-count-once",COUNTIFS($A$2:$A$131,A123,$B$2:$B$131,B123,$E$2:$E$131,E123),1)</f>
      </c>
      <c r="AI123" s="101" t="n">
        <v>316707694.211882</v>
      </c>
      <c r="AJ123" s="102" t="str">
        <f>IF(AI123=0,"",Q123/AI123)</f>
      </c>
      <c r="AK123" s="103" t="str">
        <f>IF(AI123=0,"",R123/AI123)</f>
      </c>
      <c r="AL123" s="104" t="str">
        <f>IF(AI123=0,"",S123/AI123)</f>
      </c>
      <c r="AM123" s="105" t="str">
        <f>IF(AI123=0,"",Y123/AI123)</f>
      </c>
    </row>
    <row r="124">
      <c r="A124" t="s">
        <v>115</v>
      </c>
      <c r="B124" s="73" t="n">
        <v>2043</v>
      </c>
      <c r="C124" t="s">
        <v>231</v>
      </c>
      <c r="D124" t="s">
        <v>235</v>
      </c>
      <c r="E124" s="74" t="s">
        <v>273</v>
      </c>
      <c r="F124" s="75" t="s">
        <v>274</v>
      </c>
      <c r="G124" s="76" t="s">
        <v>232</v>
      </c>
      <c r="H124" s="77" t="s">
        <v>239</v>
      </c>
      <c r="I124" s="78" t="s">
        <v>277</v>
      </c>
      <c r="J124" s="79" t="str">
        <f>IFERROR(INDEX('Cost_Components'!$K$2:$K$6,MATCH(E124,'Cost_Components'!$A$2:$A$6,0)),"")</f>
      </c>
      <c r="K124" s="106" t="n">
        <v>0.4165</v>
      </c>
      <c r="L124" s="80" t="str">
        <f>IFERROR(INDEX('Cost_Components'!$S$2:$S$6,MATCH(E124,'Cost_Components'!$A$2:$A$6,0)),"")</f>
      </c>
      <c r="M124" s="81" t="str">
        <f>IFERROR(INDEX('Cost_Components'!$L$2:$L$6,MATCH(E124,'Cost_Components'!$A$2:$A$6,0)),"")</f>
      </c>
      <c r="N124" s="82" t="str">
        <f>IFERROR(INDEX('Cost_Components'!$P$2:$P$6,MATCH(E124,'Cost_Components'!$A$2:$A$6,0)),"")</f>
      </c>
      <c r="O124" s="83" t="str">
        <f>AF124*J124</f>
      </c>
      <c r="P124" s="84" t="str">
        <f>AG124*J124</f>
      </c>
      <c r="Q124" s="85" t="str">
        <f>P124*L124*M124*N124</f>
      </c>
      <c r="R124" s="86" t="str">
        <f>O124*K124*M124*N124</f>
      </c>
      <c r="S124" s="87" t="str">
        <f>R124-Q124</f>
      </c>
      <c r="T124" s="34" t="str">
        <f>IFERROR(INDEX('Cost_Components'!$R$2:$R$6,MATCH(E124,'Cost_Components'!$A$2:$A$6,0)),"")</f>
      </c>
      <c r="U124" s="88" t="str">
        <f>IFERROR(INDEX('Cost_Components'!$Q$2:$Q$6,MATCH(E124,'Cost_Components'!$A$2:$A$6,0)),"")</f>
      </c>
      <c r="V124" s="89" t="str">
        <f>1/(1+'Calculation_Assumptions'!$B$5)^(B124-'Calculation_Assumptions'!$B$2)</f>
      </c>
      <c r="W124" s="90" t="str">
        <f>Q124*V124</f>
      </c>
      <c r="X124" s="91" t="str">
        <f>R124*V124</f>
      </c>
      <c r="Y124" s="92" t="str">
        <f>S124*V124</f>
      </c>
      <c r="Z124" s="93" t="str">
        <f>IFERROR(INDEX('Cost_Components'!$T$2:$T$6,MATCH(E124,'Cost_Components'!$A$2:$A$6,0)),"")</f>
      </c>
      <c r="AA124" s="94" t="str">
        <f>IFERROR(INDEX('Cost_Components'!$U$2:$U$6,MATCH(E124,'Cost_Components'!$A$2:$A$6,0)),"")</f>
      </c>
      <c r="AB124" s="95" t="str">
        <f>IFERROR(INDEX('Cost_Components'!$V$2:$V$6,MATCH(E124,'Cost_Components'!$A$2:$A$6,0)),"")</f>
      </c>
      <c r="AC124" s="96" t="str">
        <f>IFERROR(INDEX('Cost_Components'!$M$2:$M$6,MATCH(E124,'Cost_Components'!$A$2:$A$6,0)),"")</f>
      </c>
      <c r="AD124" s="97" t="str">
        <f>IFERROR(INDEX('Cost_Components'!$N$2:$N$6,MATCH(E124,'Cost_Components'!$A$2:$A$6,0)),"")</f>
      </c>
      <c r="AE124" s="34" t="str">
        <f>IFERROR(INDEX('Cost_Components'!$O$2:$O$6,MATCH(E124,'Cost_Components'!$A$2:$A$6,0)),"")</f>
      </c>
      <c r="AF124" s="98" t="n">
        <v>22547833.9770026</v>
      </c>
      <c r="AG124" s="99" t="n">
        <v>22442345.2151134</v>
      </c>
      <c r="AH124" s="100" t="str">
        <f>IF(H124="shared-count-once",COUNTIFS($A$2:$A$131,A124,$B$2:$B$131,B124,$E$2:$E$131,E124),1)</f>
      </c>
      <c r="AI124" s="101" t="n">
        <v>317814114.067152</v>
      </c>
      <c r="AJ124" s="102" t="str">
        <f>IF(AI124=0,"",Q124/AI124)</f>
      </c>
      <c r="AK124" s="103" t="str">
        <f>IF(AI124=0,"",R124/AI124)</f>
      </c>
      <c r="AL124" s="104" t="str">
        <f>IF(AI124=0,"",S124/AI124)</f>
      </c>
      <c r="AM124" s="105" t="str">
        <f>IF(AI124=0,"",Y124/AI124)</f>
      </c>
    </row>
    <row r="125">
      <c r="A125" t="s">
        <v>115</v>
      </c>
      <c r="B125" s="73" t="n">
        <v>2044</v>
      </c>
      <c r="C125" t="s">
        <v>231</v>
      </c>
      <c r="D125" t="s">
        <v>235</v>
      </c>
      <c r="E125" s="74" t="s">
        <v>273</v>
      </c>
      <c r="F125" s="75" t="s">
        <v>274</v>
      </c>
      <c r="G125" s="76" t="s">
        <v>232</v>
      </c>
      <c r="H125" s="77" t="s">
        <v>239</v>
      </c>
      <c r="I125" s="78" t="s">
        <v>277</v>
      </c>
      <c r="J125" s="79" t="str">
        <f>IFERROR(INDEX('Cost_Components'!$K$2:$K$6,MATCH(E125,'Cost_Components'!$A$2:$A$6,0)),"")</f>
      </c>
      <c r="K125" s="106" t="n">
        <v>0.4165</v>
      </c>
      <c r="L125" s="80" t="str">
        <f>IFERROR(INDEX('Cost_Components'!$S$2:$S$6,MATCH(E125,'Cost_Components'!$A$2:$A$6,0)),"")</f>
      </c>
      <c r="M125" s="81" t="str">
        <f>IFERROR(INDEX('Cost_Components'!$L$2:$L$6,MATCH(E125,'Cost_Components'!$A$2:$A$6,0)),"")</f>
      </c>
      <c r="N125" s="82" t="str">
        <f>IFERROR(INDEX('Cost_Components'!$P$2:$P$6,MATCH(E125,'Cost_Components'!$A$2:$A$6,0)),"")</f>
      </c>
      <c r="O125" s="83" t="str">
        <f>AF125*J125</f>
      </c>
      <c r="P125" s="84" t="str">
        <f>AG125*J125</f>
      </c>
      <c r="Q125" s="85" t="str">
        <f>P125*L125*M125*N125</f>
      </c>
      <c r="R125" s="86" t="str">
        <f>O125*K125*M125*N125</f>
      </c>
      <c r="S125" s="87" t="str">
        <f>R125-Q125</f>
      </c>
      <c r="T125" s="34" t="str">
        <f>IFERROR(INDEX('Cost_Components'!$R$2:$R$6,MATCH(E125,'Cost_Components'!$A$2:$A$6,0)),"")</f>
      </c>
      <c r="U125" s="88" t="str">
        <f>IFERROR(INDEX('Cost_Components'!$Q$2:$Q$6,MATCH(E125,'Cost_Components'!$A$2:$A$6,0)),"")</f>
      </c>
      <c r="V125" s="89" t="str">
        <f>1/(1+'Calculation_Assumptions'!$B$5)^(B125-'Calculation_Assumptions'!$B$2)</f>
      </c>
      <c r="W125" s="90" t="str">
        <f>Q125*V125</f>
      </c>
      <c r="X125" s="91" t="str">
        <f>R125*V125</f>
      </c>
      <c r="Y125" s="92" t="str">
        <f>S125*V125</f>
      </c>
      <c r="Z125" s="93" t="str">
        <f>IFERROR(INDEX('Cost_Components'!$T$2:$T$6,MATCH(E125,'Cost_Components'!$A$2:$A$6,0)),"")</f>
      </c>
      <c r="AA125" s="94" t="str">
        <f>IFERROR(INDEX('Cost_Components'!$U$2:$U$6,MATCH(E125,'Cost_Components'!$A$2:$A$6,0)),"")</f>
      </c>
      <c r="AB125" s="95" t="str">
        <f>IFERROR(INDEX('Cost_Components'!$V$2:$V$6,MATCH(E125,'Cost_Components'!$A$2:$A$6,0)),"")</f>
      </c>
      <c r="AC125" s="96" t="str">
        <f>IFERROR(INDEX('Cost_Components'!$M$2:$M$6,MATCH(E125,'Cost_Components'!$A$2:$A$6,0)),"")</f>
      </c>
      <c r="AD125" s="97" t="str">
        <f>IFERROR(INDEX('Cost_Components'!$N$2:$N$6,MATCH(E125,'Cost_Components'!$A$2:$A$6,0)),"")</f>
      </c>
      <c r="AE125" s="34" t="str">
        <f>IFERROR(INDEX('Cost_Components'!$O$2:$O$6,MATCH(E125,'Cost_Components'!$A$2:$A$6,0)),"")</f>
      </c>
      <c r="AF125" s="98" t="n">
        <v>22956251.7505443</v>
      </c>
      <c r="AG125" s="99" t="n">
        <v>22838735.1887833</v>
      </c>
      <c r="AH125" s="100" t="str">
        <f>IF(H125="shared-count-once",COUNTIFS($A$2:$A$131,A125,$B$2:$B$131,B125,$E$2:$E$131,E125),1)</f>
      </c>
      <c r="AI125" s="101" t="n">
        <v>318840890.732156</v>
      </c>
      <c r="AJ125" s="102" t="str">
        <f>IF(AI125=0,"",Q125/AI125)</f>
      </c>
      <c r="AK125" s="103" t="str">
        <f>IF(AI125=0,"",R125/AI125)</f>
      </c>
      <c r="AL125" s="104" t="str">
        <f>IF(AI125=0,"",S125/AI125)</f>
      </c>
      <c r="AM125" s="105" t="str">
        <f>IF(AI125=0,"",Y125/AI125)</f>
      </c>
    </row>
    <row r="126">
      <c r="A126" t="s">
        <v>115</v>
      </c>
      <c r="B126" s="73" t="n">
        <v>2045</v>
      </c>
      <c r="C126" t="s">
        <v>231</v>
      </c>
      <c r="D126" t="s">
        <v>235</v>
      </c>
      <c r="E126" s="74" t="s">
        <v>273</v>
      </c>
      <c r="F126" s="75" t="s">
        <v>274</v>
      </c>
      <c r="G126" s="76" t="s">
        <v>232</v>
      </c>
      <c r="H126" s="77" t="s">
        <v>239</v>
      </c>
      <c r="I126" s="78" t="s">
        <v>277</v>
      </c>
      <c r="J126" s="79" t="str">
        <f>IFERROR(INDEX('Cost_Components'!$K$2:$K$6,MATCH(E126,'Cost_Components'!$A$2:$A$6,0)),"")</f>
      </c>
      <c r="K126" s="106" t="n">
        <v>0.4165</v>
      </c>
      <c r="L126" s="80" t="str">
        <f>IFERROR(INDEX('Cost_Components'!$S$2:$S$6,MATCH(E126,'Cost_Components'!$A$2:$A$6,0)),"")</f>
      </c>
      <c r="M126" s="81" t="str">
        <f>IFERROR(INDEX('Cost_Components'!$L$2:$L$6,MATCH(E126,'Cost_Components'!$A$2:$A$6,0)),"")</f>
      </c>
      <c r="N126" s="82" t="str">
        <f>IFERROR(INDEX('Cost_Components'!$P$2:$P$6,MATCH(E126,'Cost_Components'!$A$2:$A$6,0)),"")</f>
      </c>
      <c r="O126" s="83" t="str">
        <f>AF126*J126</f>
      </c>
      <c r="P126" s="84" t="str">
        <f>AG126*J126</f>
      </c>
      <c r="Q126" s="85" t="str">
        <f>P126*L126*M126*N126</f>
      </c>
      <c r="R126" s="86" t="str">
        <f>O126*K126*M126*N126</f>
      </c>
      <c r="S126" s="87" t="str">
        <f>R126-Q126</f>
      </c>
      <c r="T126" s="34" t="str">
        <f>IFERROR(INDEX('Cost_Components'!$R$2:$R$6,MATCH(E126,'Cost_Components'!$A$2:$A$6,0)),"")</f>
      </c>
      <c r="U126" s="88" t="str">
        <f>IFERROR(INDEX('Cost_Components'!$Q$2:$Q$6,MATCH(E126,'Cost_Components'!$A$2:$A$6,0)),"")</f>
      </c>
      <c r="V126" s="89" t="str">
        <f>1/(1+'Calculation_Assumptions'!$B$5)^(B126-'Calculation_Assumptions'!$B$2)</f>
      </c>
      <c r="W126" s="90" t="str">
        <f>Q126*V126</f>
      </c>
      <c r="X126" s="91" t="str">
        <f>R126*V126</f>
      </c>
      <c r="Y126" s="92" t="str">
        <f>S126*V126</f>
      </c>
      <c r="Z126" s="93" t="str">
        <f>IFERROR(INDEX('Cost_Components'!$T$2:$T$6,MATCH(E126,'Cost_Components'!$A$2:$A$6,0)),"")</f>
      </c>
      <c r="AA126" s="94" t="str">
        <f>IFERROR(INDEX('Cost_Components'!$U$2:$U$6,MATCH(E126,'Cost_Components'!$A$2:$A$6,0)),"")</f>
      </c>
      <c r="AB126" s="95" t="str">
        <f>IFERROR(INDEX('Cost_Components'!$V$2:$V$6,MATCH(E126,'Cost_Components'!$A$2:$A$6,0)),"")</f>
      </c>
      <c r="AC126" s="96" t="str">
        <f>IFERROR(INDEX('Cost_Components'!$M$2:$M$6,MATCH(E126,'Cost_Components'!$A$2:$A$6,0)),"")</f>
      </c>
      <c r="AD126" s="97" t="str">
        <f>IFERROR(INDEX('Cost_Components'!$N$2:$N$6,MATCH(E126,'Cost_Components'!$A$2:$A$6,0)),"")</f>
      </c>
      <c r="AE126" s="34" t="str">
        <f>IFERROR(INDEX('Cost_Components'!$O$2:$O$6,MATCH(E126,'Cost_Components'!$A$2:$A$6,0)),"")</f>
      </c>
      <c r="AF126" s="98" t="n">
        <v>23355914.4840013</v>
      </c>
      <c r="AG126" s="99" t="n">
        <v>23226470.3426801</v>
      </c>
      <c r="AH126" s="100" t="str">
        <f>IF(H126="shared-count-once",COUNTIFS($A$2:$A$131,A126,$B$2:$B$131,B126,$E$2:$E$131,E126),1)</f>
      </c>
      <c r="AI126" s="101" t="n">
        <v>319784682.33108</v>
      </c>
      <c r="AJ126" s="102" t="str">
        <f>IF(AI126=0,"",Q126/AI126)</f>
      </c>
      <c r="AK126" s="103" t="str">
        <f>IF(AI126=0,"",R126/AI126)</f>
      </c>
      <c r="AL126" s="104" t="str">
        <f>IF(AI126=0,"",S126/AI126)</f>
      </c>
      <c r="AM126" s="105" t="str">
        <f>IF(AI126=0,"",Y126/AI126)</f>
      </c>
    </row>
    <row r="127">
      <c r="A127" t="s">
        <v>115</v>
      </c>
      <c r="B127" s="73" t="n">
        <v>2046</v>
      </c>
      <c r="C127" t="s">
        <v>231</v>
      </c>
      <c r="D127" t="s">
        <v>235</v>
      </c>
      <c r="E127" s="74" t="s">
        <v>273</v>
      </c>
      <c r="F127" s="75" t="s">
        <v>274</v>
      </c>
      <c r="G127" s="76" t="s">
        <v>232</v>
      </c>
      <c r="H127" s="77" t="s">
        <v>239</v>
      </c>
      <c r="I127" s="78" t="s">
        <v>277</v>
      </c>
      <c r="J127" s="79" t="str">
        <f>IFERROR(INDEX('Cost_Components'!$K$2:$K$6,MATCH(E127,'Cost_Components'!$A$2:$A$6,0)),"")</f>
      </c>
      <c r="K127" s="106" t="n">
        <v>0.4165</v>
      </c>
      <c r="L127" s="80" t="str">
        <f>IFERROR(INDEX('Cost_Components'!$S$2:$S$6,MATCH(E127,'Cost_Components'!$A$2:$A$6,0)),"")</f>
      </c>
      <c r="M127" s="81" t="str">
        <f>IFERROR(INDEX('Cost_Components'!$L$2:$L$6,MATCH(E127,'Cost_Components'!$A$2:$A$6,0)),"")</f>
      </c>
      <c r="N127" s="82" t="str">
        <f>IFERROR(INDEX('Cost_Components'!$P$2:$P$6,MATCH(E127,'Cost_Components'!$A$2:$A$6,0)),"")</f>
      </c>
      <c r="O127" s="83" t="str">
        <f>AF127*J127</f>
      </c>
      <c r="P127" s="84" t="str">
        <f>AG127*J127</f>
      </c>
      <c r="Q127" s="85" t="str">
        <f>P127*L127*M127*N127</f>
      </c>
      <c r="R127" s="86" t="str">
        <f>O127*K127*M127*N127</f>
      </c>
      <c r="S127" s="87" t="str">
        <f>R127-Q127</f>
      </c>
      <c r="T127" s="34" t="str">
        <f>IFERROR(INDEX('Cost_Components'!$R$2:$R$6,MATCH(E127,'Cost_Components'!$A$2:$A$6,0)),"")</f>
      </c>
      <c r="U127" s="88" t="str">
        <f>IFERROR(INDEX('Cost_Components'!$Q$2:$Q$6,MATCH(E127,'Cost_Components'!$A$2:$A$6,0)),"")</f>
      </c>
      <c r="V127" s="89" t="str">
        <f>1/(1+'Calculation_Assumptions'!$B$5)^(B127-'Calculation_Assumptions'!$B$2)</f>
      </c>
      <c r="W127" s="90" t="str">
        <f>Q127*V127</f>
      </c>
      <c r="X127" s="91" t="str">
        <f>R127*V127</f>
      </c>
      <c r="Y127" s="92" t="str">
        <f>S127*V127</f>
      </c>
      <c r="Z127" s="93" t="str">
        <f>IFERROR(INDEX('Cost_Components'!$T$2:$T$6,MATCH(E127,'Cost_Components'!$A$2:$A$6,0)),"")</f>
      </c>
      <c r="AA127" s="94" t="str">
        <f>IFERROR(INDEX('Cost_Components'!$U$2:$U$6,MATCH(E127,'Cost_Components'!$A$2:$A$6,0)),"")</f>
      </c>
      <c r="AB127" s="95" t="str">
        <f>IFERROR(INDEX('Cost_Components'!$V$2:$V$6,MATCH(E127,'Cost_Components'!$A$2:$A$6,0)),"")</f>
      </c>
      <c r="AC127" s="96" t="str">
        <f>IFERROR(INDEX('Cost_Components'!$M$2:$M$6,MATCH(E127,'Cost_Components'!$A$2:$A$6,0)),"")</f>
      </c>
      <c r="AD127" s="97" t="str">
        <f>IFERROR(INDEX('Cost_Components'!$N$2:$N$6,MATCH(E127,'Cost_Components'!$A$2:$A$6,0)),"")</f>
      </c>
      <c r="AE127" s="34" t="str">
        <f>IFERROR(INDEX('Cost_Components'!$O$2:$O$6,MATCH(E127,'Cost_Components'!$A$2:$A$6,0)),"")</f>
      </c>
      <c r="AF127" s="98" t="n">
        <v>23750663.7381486</v>
      </c>
      <c r="AG127" s="99" t="n">
        <v>23609385.5366324</v>
      </c>
      <c r="AH127" s="100" t="str">
        <f>IF(H127="shared-count-once",COUNTIFS($A$2:$A$131,A127,$B$2:$B$131,B127,$E$2:$E$131,E127),1)</f>
      </c>
      <c r="AI127" s="101" t="n">
        <v>320645615.981408</v>
      </c>
      <c r="AJ127" s="102" t="str">
        <f>IF(AI127=0,"",Q127/AI127)</f>
      </c>
      <c r="AK127" s="103" t="str">
        <f>IF(AI127=0,"",R127/AI127)</f>
      </c>
      <c r="AL127" s="104" t="str">
        <f>IF(AI127=0,"",S127/AI127)</f>
      </c>
      <c r="AM127" s="105" t="str">
        <f>IF(AI127=0,"",Y127/AI127)</f>
      </c>
    </row>
    <row r="128">
      <c r="A128" t="s">
        <v>115</v>
      </c>
      <c r="B128" s="73" t="n">
        <v>2047</v>
      </c>
      <c r="C128" t="s">
        <v>231</v>
      </c>
      <c r="D128" t="s">
        <v>235</v>
      </c>
      <c r="E128" s="74" t="s">
        <v>273</v>
      </c>
      <c r="F128" s="75" t="s">
        <v>274</v>
      </c>
      <c r="G128" s="76" t="s">
        <v>232</v>
      </c>
      <c r="H128" s="77" t="s">
        <v>239</v>
      </c>
      <c r="I128" s="78" t="s">
        <v>277</v>
      </c>
      <c r="J128" s="79" t="str">
        <f>IFERROR(INDEX('Cost_Components'!$K$2:$K$6,MATCH(E128,'Cost_Components'!$A$2:$A$6,0)),"")</f>
      </c>
      <c r="K128" s="106" t="n">
        <v>0.4165</v>
      </c>
      <c r="L128" s="80" t="str">
        <f>IFERROR(INDEX('Cost_Components'!$S$2:$S$6,MATCH(E128,'Cost_Components'!$A$2:$A$6,0)),"")</f>
      </c>
      <c r="M128" s="81" t="str">
        <f>IFERROR(INDEX('Cost_Components'!$L$2:$L$6,MATCH(E128,'Cost_Components'!$A$2:$A$6,0)),"")</f>
      </c>
      <c r="N128" s="82" t="str">
        <f>IFERROR(INDEX('Cost_Components'!$P$2:$P$6,MATCH(E128,'Cost_Components'!$A$2:$A$6,0)),"")</f>
      </c>
      <c r="O128" s="83" t="str">
        <f>AF128*J128</f>
      </c>
      <c r="P128" s="84" t="str">
        <f>AG128*J128</f>
      </c>
      <c r="Q128" s="85" t="str">
        <f>P128*L128*M128*N128</f>
      </c>
      <c r="R128" s="86" t="str">
        <f>O128*K128*M128*N128</f>
      </c>
      <c r="S128" s="87" t="str">
        <f>R128-Q128</f>
      </c>
      <c r="T128" s="34" t="str">
        <f>IFERROR(INDEX('Cost_Components'!$R$2:$R$6,MATCH(E128,'Cost_Components'!$A$2:$A$6,0)),"")</f>
      </c>
      <c r="U128" s="88" t="str">
        <f>IFERROR(INDEX('Cost_Components'!$Q$2:$Q$6,MATCH(E128,'Cost_Components'!$A$2:$A$6,0)),"")</f>
      </c>
      <c r="V128" s="89" t="str">
        <f>1/(1+'Calculation_Assumptions'!$B$5)^(B128-'Calculation_Assumptions'!$B$2)</f>
      </c>
      <c r="W128" s="90" t="str">
        <f>Q128*V128</f>
      </c>
      <c r="X128" s="91" t="str">
        <f>R128*V128</f>
      </c>
      <c r="Y128" s="92" t="str">
        <f>S128*V128</f>
      </c>
      <c r="Z128" s="93" t="str">
        <f>IFERROR(INDEX('Cost_Components'!$T$2:$T$6,MATCH(E128,'Cost_Components'!$A$2:$A$6,0)),"")</f>
      </c>
      <c r="AA128" s="94" t="str">
        <f>IFERROR(INDEX('Cost_Components'!$U$2:$U$6,MATCH(E128,'Cost_Components'!$A$2:$A$6,0)),"")</f>
      </c>
      <c r="AB128" s="95" t="str">
        <f>IFERROR(INDEX('Cost_Components'!$V$2:$V$6,MATCH(E128,'Cost_Components'!$A$2:$A$6,0)),"")</f>
      </c>
      <c r="AC128" s="96" t="str">
        <f>IFERROR(INDEX('Cost_Components'!$M$2:$M$6,MATCH(E128,'Cost_Components'!$A$2:$A$6,0)),"")</f>
      </c>
      <c r="AD128" s="97" t="str">
        <f>IFERROR(INDEX('Cost_Components'!$N$2:$N$6,MATCH(E128,'Cost_Components'!$A$2:$A$6,0)),"")</f>
      </c>
      <c r="AE128" s="34" t="str">
        <f>IFERROR(INDEX('Cost_Components'!$O$2:$O$6,MATCH(E128,'Cost_Components'!$A$2:$A$6,0)),"")</f>
      </c>
      <c r="AF128" s="98" t="n">
        <v>24132840.8100241</v>
      </c>
      <c r="AG128" s="99" t="n">
        <v>23979833.4638523</v>
      </c>
      <c r="AH128" s="100" t="str">
        <f>IF(H128="shared-count-once",COUNTIFS($A$2:$A$131,A128,$B$2:$B$131,B128,$E$2:$E$131,E128),1)</f>
      </c>
      <c r="AI128" s="101" t="n">
        <v>321429520.522875</v>
      </c>
      <c r="AJ128" s="102" t="str">
        <f>IF(AI128=0,"",Q128/AI128)</f>
      </c>
      <c r="AK128" s="103" t="str">
        <f>IF(AI128=0,"",R128/AI128)</f>
      </c>
      <c r="AL128" s="104" t="str">
        <f>IF(AI128=0,"",S128/AI128)</f>
      </c>
      <c r="AM128" s="105" t="str">
        <f>IF(AI128=0,"",Y128/AI128)</f>
      </c>
    </row>
    <row r="129">
      <c r="A129" t="s">
        <v>115</v>
      </c>
      <c r="B129" s="73" t="n">
        <v>2048</v>
      </c>
      <c r="C129" t="s">
        <v>231</v>
      </c>
      <c r="D129" t="s">
        <v>235</v>
      </c>
      <c r="E129" s="74" t="s">
        <v>273</v>
      </c>
      <c r="F129" s="75" t="s">
        <v>274</v>
      </c>
      <c r="G129" s="76" t="s">
        <v>232</v>
      </c>
      <c r="H129" s="77" t="s">
        <v>239</v>
      </c>
      <c r="I129" s="78" t="s">
        <v>277</v>
      </c>
      <c r="J129" s="79" t="str">
        <f>IFERROR(INDEX('Cost_Components'!$K$2:$K$6,MATCH(E129,'Cost_Components'!$A$2:$A$6,0)),"")</f>
      </c>
      <c r="K129" s="106" t="n">
        <v>0.4165</v>
      </c>
      <c r="L129" s="80" t="str">
        <f>IFERROR(INDEX('Cost_Components'!$S$2:$S$6,MATCH(E129,'Cost_Components'!$A$2:$A$6,0)),"")</f>
      </c>
      <c r="M129" s="81" t="str">
        <f>IFERROR(INDEX('Cost_Components'!$L$2:$L$6,MATCH(E129,'Cost_Components'!$A$2:$A$6,0)),"")</f>
      </c>
      <c r="N129" s="82" t="str">
        <f>IFERROR(INDEX('Cost_Components'!$P$2:$P$6,MATCH(E129,'Cost_Components'!$A$2:$A$6,0)),"")</f>
      </c>
      <c r="O129" s="83" t="str">
        <f>AF129*J129</f>
      </c>
      <c r="P129" s="84" t="str">
        <f>AG129*J129</f>
      </c>
      <c r="Q129" s="85" t="str">
        <f>P129*L129*M129*N129</f>
      </c>
      <c r="R129" s="86" t="str">
        <f>O129*K129*M129*N129</f>
      </c>
      <c r="S129" s="87" t="str">
        <f>R129-Q129</f>
      </c>
      <c r="T129" s="34" t="str">
        <f>IFERROR(INDEX('Cost_Components'!$R$2:$R$6,MATCH(E129,'Cost_Components'!$A$2:$A$6,0)),"")</f>
      </c>
      <c r="U129" s="88" t="str">
        <f>IFERROR(INDEX('Cost_Components'!$Q$2:$Q$6,MATCH(E129,'Cost_Components'!$A$2:$A$6,0)),"")</f>
      </c>
      <c r="V129" s="89" t="str">
        <f>1/(1+'Calculation_Assumptions'!$B$5)^(B129-'Calculation_Assumptions'!$B$2)</f>
      </c>
      <c r="W129" s="90" t="str">
        <f>Q129*V129</f>
      </c>
      <c r="X129" s="91" t="str">
        <f>R129*V129</f>
      </c>
      <c r="Y129" s="92" t="str">
        <f>S129*V129</f>
      </c>
      <c r="Z129" s="93" t="str">
        <f>IFERROR(INDEX('Cost_Components'!$T$2:$T$6,MATCH(E129,'Cost_Components'!$A$2:$A$6,0)),"")</f>
      </c>
      <c r="AA129" s="94" t="str">
        <f>IFERROR(INDEX('Cost_Components'!$U$2:$U$6,MATCH(E129,'Cost_Components'!$A$2:$A$6,0)),"")</f>
      </c>
      <c r="AB129" s="95" t="str">
        <f>IFERROR(INDEX('Cost_Components'!$V$2:$V$6,MATCH(E129,'Cost_Components'!$A$2:$A$6,0)),"")</f>
      </c>
      <c r="AC129" s="96" t="str">
        <f>IFERROR(INDEX('Cost_Components'!$M$2:$M$6,MATCH(E129,'Cost_Components'!$A$2:$A$6,0)),"")</f>
      </c>
      <c r="AD129" s="97" t="str">
        <f>IFERROR(INDEX('Cost_Components'!$N$2:$N$6,MATCH(E129,'Cost_Components'!$A$2:$A$6,0)),"")</f>
      </c>
      <c r="AE129" s="34" t="str">
        <f>IFERROR(INDEX('Cost_Components'!$O$2:$O$6,MATCH(E129,'Cost_Components'!$A$2:$A$6,0)),"")</f>
      </c>
      <c r="AF129" s="98" t="n">
        <v>24503285.3736313</v>
      </c>
      <c r="AG129" s="99" t="n">
        <v>24338676.5063209</v>
      </c>
      <c r="AH129" s="100" t="str">
        <f>IF(H129="shared-count-once",COUNTIFS($A$2:$A$131,A129,$B$2:$B$131,B129,$E$2:$E$131,E129),1)</f>
      </c>
      <c r="AI129" s="101" t="n">
        <v>322136832.260161</v>
      </c>
      <c r="AJ129" s="102" t="str">
        <f>IF(AI129=0,"",Q129/AI129)</f>
      </c>
      <c r="AK129" s="103" t="str">
        <f>IF(AI129=0,"",R129/AI129)</f>
      </c>
      <c r="AL129" s="104" t="str">
        <f>IF(AI129=0,"",S129/AI129)</f>
      </c>
      <c r="AM129" s="105" t="str">
        <f>IF(AI129=0,"",Y129/AI129)</f>
      </c>
    </row>
    <row r="130">
      <c r="A130" t="s">
        <v>115</v>
      </c>
      <c r="B130" s="73" t="n">
        <v>2049</v>
      </c>
      <c r="C130" t="s">
        <v>231</v>
      </c>
      <c r="D130" t="s">
        <v>235</v>
      </c>
      <c r="E130" s="74" t="s">
        <v>273</v>
      </c>
      <c r="F130" s="75" t="s">
        <v>274</v>
      </c>
      <c r="G130" s="76" t="s">
        <v>232</v>
      </c>
      <c r="H130" s="77" t="s">
        <v>239</v>
      </c>
      <c r="I130" s="78" t="s">
        <v>277</v>
      </c>
      <c r="J130" s="79" t="str">
        <f>IFERROR(INDEX('Cost_Components'!$K$2:$K$6,MATCH(E130,'Cost_Components'!$A$2:$A$6,0)),"")</f>
      </c>
      <c r="K130" s="106" t="n">
        <v>0.4165</v>
      </c>
      <c r="L130" s="80" t="str">
        <f>IFERROR(INDEX('Cost_Components'!$S$2:$S$6,MATCH(E130,'Cost_Components'!$A$2:$A$6,0)),"")</f>
      </c>
      <c r="M130" s="81" t="str">
        <f>IFERROR(INDEX('Cost_Components'!$L$2:$L$6,MATCH(E130,'Cost_Components'!$A$2:$A$6,0)),"")</f>
      </c>
      <c r="N130" s="82" t="str">
        <f>IFERROR(INDEX('Cost_Components'!$P$2:$P$6,MATCH(E130,'Cost_Components'!$A$2:$A$6,0)),"")</f>
      </c>
      <c r="O130" s="83" t="str">
        <f>AF130*J130</f>
      </c>
      <c r="P130" s="84" t="str">
        <f>AG130*J130</f>
      </c>
      <c r="Q130" s="85" t="str">
        <f>P130*L130*M130*N130</f>
      </c>
      <c r="R130" s="86" t="str">
        <f>O130*K130*M130*N130</f>
      </c>
      <c r="S130" s="87" t="str">
        <f>R130-Q130</f>
      </c>
      <c r="T130" s="34" t="str">
        <f>IFERROR(INDEX('Cost_Components'!$R$2:$R$6,MATCH(E130,'Cost_Components'!$A$2:$A$6,0)),"")</f>
      </c>
      <c r="U130" s="88" t="str">
        <f>IFERROR(INDEX('Cost_Components'!$Q$2:$Q$6,MATCH(E130,'Cost_Components'!$A$2:$A$6,0)),"")</f>
      </c>
      <c r="V130" s="89" t="str">
        <f>1/(1+'Calculation_Assumptions'!$B$5)^(B130-'Calculation_Assumptions'!$B$2)</f>
      </c>
      <c r="W130" s="90" t="str">
        <f>Q130*V130</f>
      </c>
      <c r="X130" s="91" t="str">
        <f>R130*V130</f>
      </c>
      <c r="Y130" s="92" t="str">
        <f>S130*V130</f>
      </c>
      <c r="Z130" s="93" t="str">
        <f>IFERROR(INDEX('Cost_Components'!$T$2:$T$6,MATCH(E130,'Cost_Components'!$A$2:$A$6,0)),"")</f>
      </c>
      <c r="AA130" s="94" t="str">
        <f>IFERROR(INDEX('Cost_Components'!$U$2:$U$6,MATCH(E130,'Cost_Components'!$A$2:$A$6,0)),"")</f>
      </c>
      <c r="AB130" s="95" t="str">
        <f>IFERROR(INDEX('Cost_Components'!$V$2:$V$6,MATCH(E130,'Cost_Components'!$A$2:$A$6,0)),"")</f>
      </c>
      <c r="AC130" s="96" t="str">
        <f>IFERROR(INDEX('Cost_Components'!$M$2:$M$6,MATCH(E130,'Cost_Components'!$A$2:$A$6,0)),"")</f>
      </c>
      <c r="AD130" s="97" t="str">
        <f>IFERROR(INDEX('Cost_Components'!$N$2:$N$6,MATCH(E130,'Cost_Components'!$A$2:$A$6,0)),"")</f>
      </c>
      <c r="AE130" s="34" t="str">
        <f>IFERROR(INDEX('Cost_Components'!$O$2:$O$6,MATCH(E130,'Cost_Components'!$A$2:$A$6,0)),"")</f>
      </c>
      <c r="AF130" s="98" t="n">
        <v>24864978.5691999</v>
      </c>
      <c r="AG130" s="99" t="n">
        <v>24688908.7388375</v>
      </c>
      <c r="AH130" s="100" t="str">
        <f>IF(H130="shared-count-once",COUNTIFS($A$2:$A$131,A130,$B$2:$B$131,B130,$E$2:$E$131,E130),1)</f>
      </c>
      <c r="AI130" s="101" t="n">
        <v>322765819.752681</v>
      </c>
      <c r="AJ130" s="102" t="str">
        <f>IF(AI130=0,"",Q130/AI130)</f>
      </c>
      <c r="AK130" s="103" t="str">
        <f>IF(AI130=0,"",R130/AI130)</f>
      </c>
      <c r="AL130" s="104" t="str">
        <f>IF(AI130=0,"",S130/AI130)</f>
      </c>
      <c r="AM130" s="105" t="str">
        <f>IF(AI130=0,"",Y130/AI130)</f>
      </c>
    </row>
    <row r="131">
      <c r="A131" t="s">
        <v>115</v>
      </c>
      <c r="B131" s="73" t="n">
        <v>2050</v>
      </c>
      <c r="C131" t="s">
        <v>231</v>
      </c>
      <c r="D131" t="s">
        <v>235</v>
      </c>
      <c r="E131" s="74" t="s">
        <v>273</v>
      </c>
      <c r="F131" s="75" t="s">
        <v>274</v>
      </c>
      <c r="G131" s="76" t="s">
        <v>232</v>
      </c>
      <c r="H131" s="77" t="s">
        <v>239</v>
      </c>
      <c r="I131" s="78" t="s">
        <v>277</v>
      </c>
      <c r="J131" s="79" t="str">
        <f>IFERROR(INDEX('Cost_Components'!$K$2:$K$6,MATCH(E131,'Cost_Components'!$A$2:$A$6,0)),"")</f>
      </c>
      <c r="K131" s="106" t="n">
        <v>0.4165</v>
      </c>
      <c r="L131" s="80" t="str">
        <f>IFERROR(INDEX('Cost_Components'!$S$2:$S$6,MATCH(E131,'Cost_Components'!$A$2:$A$6,0)),"")</f>
      </c>
      <c r="M131" s="81" t="str">
        <f>IFERROR(INDEX('Cost_Components'!$L$2:$L$6,MATCH(E131,'Cost_Components'!$A$2:$A$6,0)),"")</f>
      </c>
      <c r="N131" s="82" t="str">
        <f>IFERROR(INDEX('Cost_Components'!$P$2:$P$6,MATCH(E131,'Cost_Components'!$A$2:$A$6,0)),"")</f>
      </c>
      <c r="O131" s="83" t="str">
        <f>AF131*J131</f>
      </c>
      <c r="P131" s="84" t="str">
        <f>AG131*J131</f>
      </c>
      <c r="Q131" s="85" t="str">
        <f>P131*L131*M131*N131</f>
      </c>
      <c r="R131" s="86" t="str">
        <f>O131*K131*M131*N131</f>
      </c>
      <c r="S131" s="87" t="str">
        <f>R131-Q131</f>
      </c>
      <c r="T131" s="34" t="str">
        <f>IFERROR(INDEX('Cost_Components'!$R$2:$R$6,MATCH(E131,'Cost_Components'!$A$2:$A$6,0)),"")</f>
      </c>
      <c r="U131" s="88" t="str">
        <f>IFERROR(INDEX('Cost_Components'!$Q$2:$Q$6,MATCH(E131,'Cost_Components'!$A$2:$A$6,0)),"")</f>
      </c>
      <c r="V131" s="89" t="str">
        <f>1/(1+'Calculation_Assumptions'!$B$5)^(B131-'Calculation_Assumptions'!$B$2)</f>
      </c>
      <c r="W131" s="90" t="str">
        <f>Q131*V131</f>
      </c>
      <c r="X131" s="91" t="str">
        <f>R131*V131</f>
      </c>
      <c r="Y131" s="92" t="str">
        <f>S131*V131</f>
      </c>
      <c r="Z131" s="93" t="str">
        <f>IFERROR(INDEX('Cost_Components'!$T$2:$T$6,MATCH(E131,'Cost_Components'!$A$2:$A$6,0)),"")</f>
      </c>
      <c r="AA131" s="94" t="str">
        <f>IFERROR(INDEX('Cost_Components'!$U$2:$U$6,MATCH(E131,'Cost_Components'!$A$2:$A$6,0)),"")</f>
      </c>
      <c r="AB131" s="95" t="str">
        <f>IFERROR(INDEX('Cost_Components'!$V$2:$V$6,MATCH(E131,'Cost_Components'!$A$2:$A$6,0)),"")</f>
      </c>
      <c r="AC131" s="96" t="str">
        <f>IFERROR(INDEX('Cost_Components'!$M$2:$M$6,MATCH(E131,'Cost_Components'!$A$2:$A$6,0)),"")</f>
      </c>
      <c r="AD131" s="97" t="str">
        <f>IFERROR(INDEX('Cost_Components'!$N$2:$N$6,MATCH(E131,'Cost_Components'!$A$2:$A$6,0)),"")</f>
      </c>
      <c r="AE131" s="34" t="str">
        <f>IFERROR(INDEX('Cost_Components'!$O$2:$O$6,MATCH(E131,'Cost_Components'!$A$2:$A$6,0)),"")</f>
      </c>
      <c r="AF131" s="98" t="n">
        <v>25217766.8116693</v>
      </c>
      <c r="AG131" s="99" t="n">
        <v>25030420.5714067</v>
      </c>
      <c r="AH131" s="100" t="str">
        <f>IF(H131="shared-count-once",COUNTIFS($A$2:$A$131,A131,$B$2:$B$131,B131,$E$2:$E$131,E131),1)</f>
      </c>
      <c r="AI131" s="101" t="n">
        <v>323312042.563285</v>
      </c>
      <c r="AJ131" s="102" t="str">
        <f>IF(AI131=0,"",Q131/AI131)</f>
      </c>
      <c r="AK131" s="103" t="str">
        <f>IF(AI131=0,"",R131/AI131)</f>
      </c>
      <c r="AL131" s="104" t="str">
        <f>IF(AI131=0,"",S131/AI131)</f>
      </c>
      <c r="AM131" s="105" t="str">
        <f>IF(AI131=0,"",Y131/AI131)</f>
      </c>
    </row>
  </sheetData>
  <autoFilter ref="A1:AM1"/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5.71" hidden="0" customWidth="1"/>
    <col min="4" max="4" width="15.71" hidden="0" customWidth="1"/>
    <col min="5" max="5" width="18.71" hidden="0" customWidth="1"/>
    <col min="6" max="6" width="23.71" hidden="0" customWidth="1"/>
    <col min="7" max="7" width="29.71" hidden="0" customWidth="1"/>
    <col min="8" max="8" width="34.71" hidden="0" customWidth="1"/>
    <col min="9" max="9" width="21.71" hidden="0" customWidth="1"/>
    <col min="10" max="10" width="26.71" hidden="0" customWidth="1"/>
    <col min="11" max="11" width="26.71" hidden="0" customWidth="1"/>
    <col min="12" max="12" width="29.71" hidden="0" customWidth="1"/>
    <col min="13" max="13" width="34.71" hidden="0" customWidth="1"/>
  </cols>
  <sheetData>
    <row r="1" ht="28" customHeight="1">
      <c r="A1" s="1" t="s">
        <v>285</v>
      </c>
      <c r="B1" s="1" t="s">
        <v>42</v>
      </c>
      <c r="C1" s="1" t="s">
        <v>317</v>
      </c>
      <c r="D1" s="1" t="s">
        <v>318</v>
      </c>
      <c r="E1" s="1" t="s">
        <v>319</v>
      </c>
      <c r="F1" s="1" t="s">
        <v>320</v>
      </c>
      <c r="G1" s="1" t="s">
        <v>321</v>
      </c>
      <c r="H1" s="1" t="s">
        <v>322</v>
      </c>
      <c r="I1" s="1" t="s">
        <v>312</v>
      </c>
      <c r="J1" s="1" t="s">
        <v>323</v>
      </c>
      <c r="K1" s="1" t="s">
        <v>324</v>
      </c>
      <c r="L1" s="1" t="s">
        <v>325</v>
      </c>
      <c r="M1" s="1" t="s">
        <v>326</v>
      </c>
    </row>
    <row r="2">
      <c r="A2" t="s">
        <v>115</v>
      </c>
      <c r="B2" s="107" t="n">
        <v>2025</v>
      </c>
      <c r="C2" s="108" t="str">
        <f>SUMIFS('Annual_Cost'!$Q$2:$Q$131,'Annual_Cost'!$A$2:$A$131,A2,'Annual_Cost'!$B$2:$B$131,B2)</f>
      </c>
      <c r="D2" s="109" t="str">
        <f>SUMIFS('Annual_Cost'!$R$2:$R$131,'Annual_Cost'!$A$2:$A$131,A2,'Annual_Cost'!$B$2:$B$131,B2)</f>
      </c>
      <c r="E2" s="110" t="str">
        <f>SUMIFS('Annual_Cost'!$S$2:$S$131,'Annual_Cost'!$A$2:$A$131,A2,'Annual_Cost'!$B$2:$B$131,B2)</f>
      </c>
      <c r="F2" s="111" t="str">
        <f>SUMIFS('Annual_Cost'!$Y$2:$Y$131,'Annual_Cost'!$A$2:$A$131,A2,'Annual_Cost'!$B$2:$B$131,B2)</f>
      </c>
      <c r="G2" s="112" t="str">
        <f>SUMIFS($E$2:E2,$A$2:A2,A2)</f>
      </c>
      <c r="H2" s="113" t="str">
        <f>SUMIFS($F$2:F2,$A$2:A2,A2)</f>
      </c>
      <c r="I2" s="114" t="n">
        <v>288391907.644456</v>
      </c>
      <c r="J2" s="115" t="str">
        <f>IF(I2=0,"",C2/I2)</f>
      </c>
      <c r="K2" s="116" t="str">
        <f>IF(I2=0,"",D2/I2)</f>
      </c>
      <c r="L2" s="117" t="str">
        <f>IF(I2=0,"",E2/I2)</f>
      </c>
      <c r="M2" s="118" t="str">
        <f>IF(I2=0,"",F2/I2)</f>
      </c>
    </row>
    <row r="3">
      <c r="A3" t="s">
        <v>115</v>
      </c>
      <c r="B3" s="107" t="n">
        <v>2026</v>
      </c>
      <c r="C3" s="108" t="str">
        <f>SUMIFS('Annual_Cost'!$Q$2:$Q$131,'Annual_Cost'!$A$2:$A$131,A3,'Annual_Cost'!$B$2:$B$131,B3)</f>
      </c>
      <c r="D3" s="109" t="str">
        <f>SUMIFS('Annual_Cost'!$R$2:$R$131,'Annual_Cost'!$A$2:$A$131,A3,'Annual_Cost'!$B$2:$B$131,B3)</f>
      </c>
      <c r="E3" s="110" t="str">
        <f>SUMIFS('Annual_Cost'!$S$2:$S$131,'Annual_Cost'!$A$2:$A$131,A3,'Annual_Cost'!$B$2:$B$131,B3)</f>
      </c>
      <c r="F3" s="111" t="str">
        <f>SUMIFS('Annual_Cost'!$Y$2:$Y$131,'Annual_Cost'!$A$2:$A$131,A3,'Annual_Cost'!$B$2:$B$131,B3)</f>
      </c>
      <c r="G3" s="112" t="str">
        <f>SUMIFS($E$2:E3,$A$2:A3,A3)</f>
      </c>
      <c r="H3" s="113" t="str">
        <f>SUMIFS($F$2:F3,$A$2:A3,A3)</f>
      </c>
      <c r="I3" s="114" t="n">
        <v>290472130.233437</v>
      </c>
      <c r="J3" s="115" t="str">
        <f>IF(I3=0,"",C3/I3)</f>
      </c>
      <c r="K3" s="116" t="str">
        <f>IF(I3=0,"",D3/I3)</f>
      </c>
      <c r="L3" s="117" t="str">
        <f>IF(I3=0,"",E3/I3)</f>
      </c>
      <c r="M3" s="118" t="str">
        <f>IF(I3=0,"",F3/I3)</f>
      </c>
    </row>
    <row r="4">
      <c r="A4" t="s">
        <v>115</v>
      </c>
      <c r="B4" s="107" t="n">
        <v>2027</v>
      </c>
      <c r="C4" s="108" t="str">
        <f>SUMIFS('Annual_Cost'!$Q$2:$Q$131,'Annual_Cost'!$A$2:$A$131,A4,'Annual_Cost'!$B$2:$B$131,B4)</f>
      </c>
      <c r="D4" s="109" t="str">
        <f>SUMIFS('Annual_Cost'!$R$2:$R$131,'Annual_Cost'!$A$2:$A$131,A4,'Annual_Cost'!$B$2:$B$131,B4)</f>
      </c>
      <c r="E4" s="110" t="str">
        <f>SUMIFS('Annual_Cost'!$S$2:$S$131,'Annual_Cost'!$A$2:$A$131,A4,'Annual_Cost'!$B$2:$B$131,B4)</f>
      </c>
      <c r="F4" s="111" t="str">
        <f>SUMIFS('Annual_Cost'!$Y$2:$Y$131,'Annual_Cost'!$A$2:$A$131,A4,'Annual_Cost'!$B$2:$B$131,B4)</f>
      </c>
      <c r="G4" s="112" t="str">
        <f>SUMIFS($E$2:E4,$A$2:A4,A4)</f>
      </c>
      <c r="H4" s="113" t="str">
        <f>SUMIFS($F$2:F4,$A$2:A4,A4)</f>
      </c>
      <c r="I4" s="114" t="n">
        <v>292505080.826208</v>
      </c>
      <c r="J4" s="115" t="str">
        <f>IF(I4=0,"",C4/I4)</f>
      </c>
      <c r="K4" s="116" t="str">
        <f>IF(I4=0,"",D4/I4)</f>
      </c>
      <c r="L4" s="117" t="str">
        <f>IF(I4=0,"",E4/I4)</f>
      </c>
      <c r="M4" s="118" t="str">
        <f>IF(I4=0,"",F4/I4)</f>
      </c>
    </row>
    <row r="5">
      <c r="A5" t="s">
        <v>115</v>
      </c>
      <c r="B5" s="107" t="n">
        <v>2028</v>
      </c>
      <c r="C5" s="108" t="str">
        <f>SUMIFS('Annual_Cost'!$Q$2:$Q$131,'Annual_Cost'!$A$2:$A$131,A5,'Annual_Cost'!$B$2:$B$131,B5)</f>
      </c>
      <c r="D5" s="109" t="str">
        <f>SUMIFS('Annual_Cost'!$R$2:$R$131,'Annual_Cost'!$A$2:$A$131,A5,'Annual_Cost'!$B$2:$B$131,B5)</f>
      </c>
      <c r="E5" s="110" t="str">
        <f>SUMIFS('Annual_Cost'!$S$2:$S$131,'Annual_Cost'!$A$2:$A$131,A5,'Annual_Cost'!$B$2:$B$131,B5)</f>
      </c>
      <c r="F5" s="111" t="str">
        <f>SUMIFS('Annual_Cost'!$Y$2:$Y$131,'Annual_Cost'!$A$2:$A$131,A5,'Annual_Cost'!$B$2:$B$131,B5)</f>
      </c>
      <c r="G5" s="112" t="str">
        <f>SUMIFS($E$2:E5,$A$2:A5,A5)</f>
      </c>
      <c r="H5" s="113" t="str">
        <f>SUMIFS($F$2:F5,$A$2:A5,A5)</f>
      </c>
      <c r="I5" s="114" t="n">
        <v>294484707.921554</v>
      </c>
      <c r="J5" s="115" t="str">
        <f>IF(I5=0,"",C5/I5)</f>
      </c>
      <c r="K5" s="116" t="str">
        <f>IF(I5=0,"",D5/I5)</f>
      </c>
      <c r="L5" s="117" t="str">
        <f>IF(I5=0,"",E5/I5)</f>
      </c>
      <c r="M5" s="118" t="str">
        <f>IF(I5=0,"",F5/I5)</f>
      </c>
    </row>
    <row r="6">
      <c r="A6" t="s">
        <v>115</v>
      </c>
      <c r="B6" s="107" t="n">
        <v>2029</v>
      </c>
      <c r="C6" s="108" t="str">
        <f>SUMIFS('Annual_Cost'!$Q$2:$Q$131,'Annual_Cost'!$A$2:$A$131,A6,'Annual_Cost'!$B$2:$B$131,B6)</f>
      </c>
      <c r="D6" s="109" t="str">
        <f>SUMIFS('Annual_Cost'!$R$2:$R$131,'Annual_Cost'!$A$2:$A$131,A6,'Annual_Cost'!$B$2:$B$131,B6)</f>
      </c>
      <c r="E6" s="110" t="str">
        <f>SUMIFS('Annual_Cost'!$S$2:$S$131,'Annual_Cost'!$A$2:$A$131,A6,'Annual_Cost'!$B$2:$B$131,B6)</f>
      </c>
      <c r="F6" s="111" t="str">
        <f>SUMIFS('Annual_Cost'!$Y$2:$Y$131,'Annual_Cost'!$A$2:$A$131,A6,'Annual_Cost'!$B$2:$B$131,B6)</f>
      </c>
      <c r="G6" s="112" t="str">
        <f>SUMIFS($E$2:E6,$A$2:A6,A6)</f>
      </c>
      <c r="H6" s="113" t="str">
        <f>SUMIFS($F$2:F6,$A$2:A6,A6)</f>
      </c>
      <c r="I6" s="114" t="n">
        <v>296414030.31143</v>
      </c>
      <c r="J6" s="115" t="str">
        <f>IF(I6=0,"",C6/I6)</f>
      </c>
      <c r="K6" s="116" t="str">
        <f>IF(I6=0,"",D6/I6)</f>
      </c>
      <c r="L6" s="117" t="str">
        <f>IF(I6=0,"",E6/I6)</f>
      </c>
      <c r="M6" s="118" t="str">
        <f>IF(I6=0,"",F6/I6)</f>
      </c>
    </row>
    <row r="7">
      <c r="A7" t="s">
        <v>115</v>
      </c>
      <c r="B7" s="107" t="n">
        <v>2030</v>
      </c>
      <c r="C7" s="108" t="str">
        <f>SUMIFS('Annual_Cost'!$Q$2:$Q$131,'Annual_Cost'!$A$2:$A$131,A7,'Annual_Cost'!$B$2:$B$131,B7)</f>
      </c>
      <c r="D7" s="109" t="str">
        <f>SUMIFS('Annual_Cost'!$R$2:$R$131,'Annual_Cost'!$A$2:$A$131,A7,'Annual_Cost'!$B$2:$B$131,B7)</f>
      </c>
      <c r="E7" s="110" t="str">
        <f>SUMIFS('Annual_Cost'!$S$2:$S$131,'Annual_Cost'!$A$2:$A$131,A7,'Annual_Cost'!$B$2:$B$131,B7)</f>
      </c>
      <c r="F7" s="111" t="str">
        <f>SUMIFS('Annual_Cost'!$Y$2:$Y$131,'Annual_Cost'!$A$2:$A$131,A7,'Annual_Cost'!$B$2:$B$131,B7)</f>
      </c>
      <c r="G7" s="112" t="str">
        <f>SUMIFS($E$2:E7,$A$2:A7,A7)</f>
      </c>
      <c r="H7" s="113" t="str">
        <f>SUMIFS($F$2:F7,$A$2:A7,A7)</f>
      </c>
      <c r="I7" s="114" t="n">
        <v>298289404.664994</v>
      </c>
      <c r="J7" s="115" t="str">
        <f>IF(I7=0,"",C7/I7)</f>
      </c>
      <c r="K7" s="116" t="str">
        <f>IF(I7=0,"",D7/I7)</f>
      </c>
      <c r="L7" s="117" t="str">
        <f>IF(I7=0,"",E7/I7)</f>
      </c>
      <c r="M7" s="118" t="str">
        <f>IF(I7=0,"",F7/I7)</f>
      </c>
    </row>
    <row r="8">
      <c r="A8" t="s">
        <v>115</v>
      </c>
      <c r="B8" s="107" t="n">
        <v>2031</v>
      </c>
      <c r="C8" s="108" t="str">
        <f>SUMIFS('Annual_Cost'!$Q$2:$Q$131,'Annual_Cost'!$A$2:$A$131,A8,'Annual_Cost'!$B$2:$B$131,B8)</f>
      </c>
      <c r="D8" s="109" t="str">
        <f>SUMIFS('Annual_Cost'!$R$2:$R$131,'Annual_Cost'!$A$2:$A$131,A8,'Annual_Cost'!$B$2:$B$131,B8)</f>
      </c>
      <c r="E8" s="110" t="str">
        <f>SUMIFS('Annual_Cost'!$S$2:$S$131,'Annual_Cost'!$A$2:$A$131,A8,'Annual_Cost'!$B$2:$B$131,B8)</f>
      </c>
      <c r="F8" s="111" t="str">
        <f>SUMIFS('Annual_Cost'!$Y$2:$Y$131,'Annual_Cost'!$A$2:$A$131,A8,'Annual_Cost'!$B$2:$B$131,B8)</f>
      </c>
      <c r="G8" s="112" t="str">
        <f>SUMIFS($E$2:E8,$A$2:A8,A8)</f>
      </c>
      <c r="H8" s="113" t="str">
        <f>SUMIFS($F$2:F8,$A$2:A8,A8)</f>
      </c>
      <c r="I8" s="114" t="n">
        <v>300119636.925519</v>
      </c>
      <c r="J8" s="115" t="str">
        <f>IF(I8=0,"",C8/I8)</f>
      </c>
      <c r="K8" s="116" t="str">
        <f>IF(I8=0,"",D8/I8)</f>
      </c>
      <c r="L8" s="117" t="str">
        <f>IF(I8=0,"",E8/I8)</f>
      </c>
      <c r="M8" s="118" t="str">
        <f>IF(I8=0,"",F8/I8)</f>
      </c>
    </row>
    <row r="9">
      <c r="A9" t="s">
        <v>115</v>
      </c>
      <c r="B9" s="107" t="n">
        <v>2032</v>
      </c>
      <c r="C9" s="108" t="str">
        <f>SUMIFS('Annual_Cost'!$Q$2:$Q$131,'Annual_Cost'!$A$2:$A$131,A9,'Annual_Cost'!$B$2:$B$131,B9)</f>
      </c>
      <c r="D9" s="109" t="str">
        <f>SUMIFS('Annual_Cost'!$R$2:$R$131,'Annual_Cost'!$A$2:$A$131,A9,'Annual_Cost'!$B$2:$B$131,B9)</f>
      </c>
      <c r="E9" s="110" t="str">
        <f>SUMIFS('Annual_Cost'!$S$2:$S$131,'Annual_Cost'!$A$2:$A$131,A9,'Annual_Cost'!$B$2:$B$131,B9)</f>
      </c>
      <c r="F9" s="111" t="str">
        <f>SUMIFS('Annual_Cost'!$Y$2:$Y$131,'Annual_Cost'!$A$2:$A$131,A9,'Annual_Cost'!$B$2:$B$131,B9)</f>
      </c>
      <c r="G9" s="112" t="str">
        <f>SUMIFS($E$2:E9,$A$2:A9,A9)</f>
      </c>
      <c r="H9" s="113" t="str">
        <f>SUMIFS($F$2:F9,$A$2:A9,A9)</f>
      </c>
      <c r="I9" s="114" t="n">
        <v>301904628.083541</v>
      </c>
      <c r="J9" s="115" t="str">
        <f>IF(I9=0,"",C9/I9)</f>
      </c>
      <c r="K9" s="116" t="str">
        <f>IF(I9=0,"",D9/I9)</f>
      </c>
      <c r="L9" s="117" t="str">
        <f>IF(I9=0,"",E9/I9)</f>
      </c>
      <c r="M9" s="118" t="str">
        <f>IF(I9=0,"",F9/I9)</f>
      </c>
    </row>
    <row r="10">
      <c r="A10" t="s">
        <v>115</v>
      </c>
      <c r="B10" s="107" t="n">
        <v>2033</v>
      </c>
      <c r="C10" s="108" t="str">
        <f>SUMIFS('Annual_Cost'!$Q$2:$Q$131,'Annual_Cost'!$A$2:$A$131,A10,'Annual_Cost'!$B$2:$B$131,B10)</f>
      </c>
      <c r="D10" s="109" t="str">
        <f>SUMIFS('Annual_Cost'!$R$2:$R$131,'Annual_Cost'!$A$2:$A$131,A10,'Annual_Cost'!$B$2:$B$131,B10)</f>
      </c>
      <c r="E10" s="110" t="str">
        <f>SUMIFS('Annual_Cost'!$S$2:$S$131,'Annual_Cost'!$A$2:$A$131,A10,'Annual_Cost'!$B$2:$B$131,B10)</f>
      </c>
      <c r="F10" s="111" t="str">
        <f>SUMIFS('Annual_Cost'!$Y$2:$Y$131,'Annual_Cost'!$A$2:$A$131,A10,'Annual_Cost'!$B$2:$B$131,B10)</f>
      </c>
      <c r="G10" s="112" t="str">
        <f>SUMIFS($E$2:E10,$A$2:A10,A10)</f>
      </c>
      <c r="H10" s="113" t="str">
        <f>SUMIFS($F$2:F10,$A$2:A10,A10)</f>
      </c>
      <c r="I10" s="114" t="n">
        <v>303644277.16916</v>
      </c>
      <c r="J10" s="115" t="str">
        <f>IF(I10=0,"",C10/I10)</f>
      </c>
      <c r="K10" s="116" t="str">
        <f>IF(I10=0,"",D10/I10)</f>
      </c>
      <c r="L10" s="117" t="str">
        <f>IF(I10=0,"",E10/I10)</f>
      </c>
      <c r="M10" s="118" t="str">
        <f>IF(I10=0,"",F10/I10)</f>
      </c>
    </row>
    <row r="11">
      <c r="A11" t="s">
        <v>115</v>
      </c>
      <c r="B11" s="107" t="n">
        <v>2034</v>
      </c>
      <c r="C11" s="108" t="str">
        <f>SUMIFS('Annual_Cost'!$Q$2:$Q$131,'Annual_Cost'!$A$2:$A$131,A11,'Annual_Cost'!$B$2:$B$131,B11)</f>
      </c>
      <c r="D11" s="109" t="str">
        <f>SUMIFS('Annual_Cost'!$R$2:$R$131,'Annual_Cost'!$A$2:$A$131,A11,'Annual_Cost'!$B$2:$B$131,B11)</f>
      </c>
      <c r="E11" s="110" t="str">
        <f>SUMIFS('Annual_Cost'!$S$2:$S$131,'Annual_Cost'!$A$2:$A$131,A11,'Annual_Cost'!$B$2:$B$131,B11)</f>
      </c>
      <c r="F11" s="111" t="str">
        <f>SUMIFS('Annual_Cost'!$Y$2:$Y$131,'Annual_Cost'!$A$2:$A$131,A11,'Annual_Cost'!$B$2:$B$131,B11)</f>
      </c>
      <c r="G11" s="112" t="str">
        <f>SUMIFS($E$2:E11,$A$2:A11,A11)</f>
      </c>
      <c r="H11" s="113" t="str">
        <f>SUMIFS($F$2:F11,$A$2:A11,A11)</f>
      </c>
      <c r="I11" s="114" t="n">
        <v>305332541.184984</v>
      </c>
      <c r="J11" s="115" t="str">
        <f>IF(I11=0,"",C11/I11)</f>
      </c>
      <c r="K11" s="116" t="str">
        <f>IF(I11=0,"",D11/I11)</f>
      </c>
      <c r="L11" s="117" t="str">
        <f>IF(I11=0,"",E11/I11)</f>
      </c>
      <c r="M11" s="118" t="str">
        <f>IF(I11=0,"",F11/I11)</f>
      </c>
    </row>
    <row r="12">
      <c r="A12" t="s">
        <v>115</v>
      </c>
      <c r="B12" s="107" t="n">
        <v>2035</v>
      </c>
      <c r="C12" s="108" t="str">
        <f>SUMIFS('Annual_Cost'!$Q$2:$Q$131,'Annual_Cost'!$A$2:$A$131,A12,'Annual_Cost'!$B$2:$B$131,B12)</f>
      </c>
      <c r="D12" s="109" t="str">
        <f>SUMIFS('Annual_Cost'!$R$2:$R$131,'Annual_Cost'!$A$2:$A$131,A12,'Annual_Cost'!$B$2:$B$131,B12)</f>
      </c>
      <c r="E12" s="110" t="str">
        <f>SUMIFS('Annual_Cost'!$S$2:$S$131,'Annual_Cost'!$A$2:$A$131,A12,'Annual_Cost'!$B$2:$B$131,B12)</f>
      </c>
      <c r="F12" s="111" t="str">
        <f>SUMIFS('Annual_Cost'!$Y$2:$Y$131,'Annual_Cost'!$A$2:$A$131,A12,'Annual_Cost'!$B$2:$B$131,B12)</f>
      </c>
      <c r="G12" s="112" t="str">
        <f>SUMIFS($E$2:E12,$A$2:A12,A12)</f>
      </c>
      <c r="H12" s="113" t="str">
        <f>SUMIFS($F$2:F12,$A$2:A12,A12)</f>
      </c>
      <c r="I12" s="114" t="n">
        <v>306964650.16712</v>
      </c>
      <c r="J12" s="115" t="str">
        <f>IF(I12=0,"",C12/I12)</f>
      </c>
      <c r="K12" s="116" t="str">
        <f>IF(I12=0,"",D12/I12)</f>
      </c>
      <c r="L12" s="117" t="str">
        <f>IF(I12=0,"",E12/I12)</f>
      </c>
      <c r="M12" s="118" t="str">
        <f>IF(I12=0,"",F12/I12)</f>
      </c>
    </row>
    <row r="13">
      <c r="A13" t="s">
        <v>115</v>
      </c>
      <c r="B13" s="107" t="n">
        <v>2036</v>
      </c>
      <c r="C13" s="108" t="str">
        <f>SUMIFS('Annual_Cost'!$Q$2:$Q$131,'Annual_Cost'!$A$2:$A$131,A13,'Annual_Cost'!$B$2:$B$131,B13)</f>
      </c>
      <c r="D13" s="109" t="str">
        <f>SUMIFS('Annual_Cost'!$R$2:$R$131,'Annual_Cost'!$A$2:$A$131,A13,'Annual_Cost'!$B$2:$B$131,B13)</f>
      </c>
      <c r="E13" s="110" t="str">
        <f>SUMIFS('Annual_Cost'!$S$2:$S$131,'Annual_Cost'!$A$2:$A$131,A13,'Annual_Cost'!$B$2:$B$131,B13)</f>
      </c>
      <c r="F13" s="111" t="str">
        <f>SUMIFS('Annual_Cost'!$Y$2:$Y$131,'Annual_Cost'!$A$2:$A$131,A13,'Annual_Cost'!$B$2:$B$131,B13)</f>
      </c>
      <c r="G13" s="112" t="str">
        <f>SUMIFS($E$2:E13,$A$2:A13,A13)</f>
      </c>
      <c r="H13" s="113" t="str">
        <f>SUMIFS($F$2:F13,$A$2:A13,A13)</f>
      </c>
      <c r="I13" s="114" t="n">
        <v>308542769.756622</v>
      </c>
      <c r="J13" s="115" t="str">
        <f>IF(I13=0,"",C13/I13)</f>
      </c>
      <c r="K13" s="116" t="str">
        <f>IF(I13=0,"",D13/I13)</f>
      </c>
      <c r="L13" s="117" t="str">
        <f>IF(I13=0,"",E13/I13)</f>
      </c>
      <c r="M13" s="118" t="str">
        <f>IF(I13=0,"",F13/I13)</f>
      </c>
    </row>
    <row r="14">
      <c r="A14" t="s">
        <v>115</v>
      </c>
      <c r="B14" s="107" t="n">
        <v>2037</v>
      </c>
      <c r="C14" s="108" t="str">
        <f>SUMIFS('Annual_Cost'!$Q$2:$Q$131,'Annual_Cost'!$A$2:$A$131,A14,'Annual_Cost'!$B$2:$B$131,B14)</f>
      </c>
      <c r="D14" s="109" t="str">
        <f>SUMIFS('Annual_Cost'!$R$2:$R$131,'Annual_Cost'!$A$2:$A$131,A14,'Annual_Cost'!$B$2:$B$131,B14)</f>
      </c>
      <c r="E14" s="110" t="str">
        <f>SUMIFS('Annual_Cost'!$S$2:$S$131,'Annual_Cost'!$A$2:$A$131,A14,'Annual_Cost'!$B$2:$B$131,B14)</f>
      </c>
      <c r="F14" s="111" t="str">
        <f>SUMIFS('Annual_Cost'!$Y$2:$Y$131,'Annual_Cost'!$A$2:$A$131,A14,'Annual_Cost'!$B$2:$B$131,B14)</f>
      </c>
      <c r="G14" s="112" t="str">
        <f>SUMIFS($E$2:E14,$A$2:A14,A14)</f>
      </c>
      <c r="H14" s="113" t="str">
        <f>SUMIFS($F$2:F14,$A$2:A14,A14)</f>
      </c>
      <c r="I14" s="114" t="n">
        <v>310068287.63643</v>
      </c>
      <c r="J14" s="115" t="str">
        <f>IF(I14=0,"",C14/I14)</f>
      </c>
      <c r="K14" s="116" t="str">
        <f>IF(I14=0,"",D14/I14)</f>
      </c>
      <c r="L14" s="117" t="str">
        <f>IF(I14=0,"",E14/I14)</f>
      </c>
      <c r="M14" s="118" t="str">
        <f>IF(I14=0,"",F14/I14)</f>
      </c>
    </row>
    <row r="15">
      <c r="A15" t="s">
        <v>115</v>
      </c>
      <c r="B15" s="107" t="n">
        <v>2038</v>
      </c>
      <c r="C15" s="108" t="str">
        <f>SUMIFS('Annual_Cost'!$Q$2:$Q$131,'Annual_Cost'!$A$2:$A$131,A15,'Annual_Cost'!$B$2:$B$131,B15)</f>
      </c>
      <c r="D15" s="109" t="str">
        <f>SUMIFS('Annual_Cost'!$R$2:$R$131,'Annual_Cost'!$A$2:$A$131,A15,'Annual_Cost'!$B$2:$B$131,B15)</f>
      </c>
      <c r="E15" s="110" t="str">
        <f>SUMIFS('Annual_Cost'!$S$2:$S$131,'Annual_Cost'!$A$2:$A$131,A15,'Annual_Cost'!$B$2:$B$131,B15)</f>
      </c>
      <c r="F15" s="111" t="str">
        <f>SUMIFS('Annual_Cost'!$Y$2:$Y$131,'Annual_Cost'!$A$2:$A$131,A15,'Annual_Cost'!$B$2:$B$131,B15)</f>
      </c>
      <c r="G15" s="112" t="str">
        <f>SUMIFS($E$2:E15,$A$2:A15,A15)</f>
      </c>
      <c r="H15" s="113" t="str">
        <f>SUMIFS($F$2:F15,$A$2:A15,A15)</f>
      </c>
      <c r="I15" s="114" t="n">
        <v>311532999.13163</v>
      </c>
      <c r="J15" s="115" t="str">
        <f>IF(I15=0,"",C15/I15)</f>
      </c>
      <c r="K15" s="116" t="str">
        <f>IF(I15=0,"",D15/I15)</f>
      </c>
      <c r="L15" s="117" t="str">
        <f>IF(I15=0,"",E15/I15)</f>
      </c>
      <c r="M15" s="118" t="str">
        <f>IF(I15=0,"",F15/I15)</f>
      </c>
    </row>
    <row r="16">
      <c r="A16" t="s">
        <v>115</v>
      </c>
      <c r="B16" s="107" t="n">
        <v>2039</v>
      </c>
      <c r="C16" s="108" t="str">
        <f>SUMIFS('Annual_Cost'!$Q$2:$Q$131,'Annual_Cost'!$A$2:$A$131,A16,'Annual_Cost'!$B$2:$B$131,B16)</f>
      </c>
      <c r="D16" s="109" t="str">
        <f>SUMIFS('Annual_Cost'!$R$2:$R$131,'Annual_Cost'!$A$2:$A$131,A16,'Annual_Cost'!$B$2:$B$131,B16)</f>
      </c>
      <c r="E16" s="110" t="str">
        <f>SUMIFS('Annual_Cost'!$S$2:$S$131,'Annual_Cost'!$A$2:$A$131,A16,'Annual_Cost'!$B$2:$B$131,B16)</f>
      </c>
      <c r="F16" s="111" t="str">
        <f>SUMIFS('Annual_Cost'!$Y$2:$Y$131,'Annual_Cost'!$A$2:$A$131,A16,'Annual_Cost'!$B$2:$B$131,B16)</f>
      </c>
      <c r="G16" s="112" t="str">
        <f>SUMIFS($E$2:E16,$A$2:A16,A16)</f>
      </c>
      <c r="H16" s="113" t="str">
        <f>SUMIFS($F$2:F16,$A$2:A16,A16)</f>
      </c>
      <c r="I16" s="114" t="n">
        <v>312936391.858479</v>
      </c>
      <c r="J16" s="115" t="str">
        <f>IF(I16=0,"",C16/I16)</f>
      </c>
      <c r="K16" s="116" t="str">
        <f>IF(I16=0,"",D16/I16)</f>
      </c>
      <c r="L16" s="117" t="str">
        <f>IF(I16=0,"",E16/I16)</f>
      </c>
      <c r="M16" s="118" t="str">
        <f>IF(I16=0,"",F16/I16)</f>
      </c>
    </row>
    <row r="17">
      <c r="A17" t="s">
        <v>115</v>
      </c>
      <c r="B17" s="107" t="n">
        <v>2040</v>
      </c>
      <c r="C17" s="108" t="str">
        <f>SUMIFS('Annual_Cost'!$Q$2:$Q$131,'Annual_Cost'!$A$2:$A$131,A17,'Annual_Cost'!$B$2:$B$131,B17)</f>
      </c>
      <c r="D17" s="109" t="str">
        <f>SUMIFS('Annual_Cost'!$R$2:$R$131,'Annual_Cost'!$A$2:$A$131,A17,'Annual_Cost'!$B$2:$B$131,B17)</f>
      </c>
      <c r="E17" s="110" t="str">
        <f>SUMIFS('Annual_Cost'!$S$2:$S$131,'Annual_Cost'!$A$2:$A$131,A17,'Annual_Cost'!$B$2:$B$131,B17)</f>
      </c>
      <c r="F17" s="111" t="str">
        <f>SUMIFS('Annual_Cost'!$Y$2:$Y$131,'Annual_Cost'!$A$2:$A$131,A17,'Annual_Cost'!$B$2:$B$131,B17)</f>
      </c>
      <c r="G17" s="112" t="str">
        <f>SUMIFS($E$2:E17,$A$2:A17,A17)</f>
      </c>
      <c r="H17" s="113" t="str">
        <f>SUMIFS($F$2:F17,$A$2:A17,A17)</f>
      </c>
      <c r="I17" s="114" t="n">
        <v>314265537.410829</v>
      </c>
      <c r="J17" s="115" t="str">
        <f>IF(I17=0,"",C17/I17)</f>
      </c>
      <c r="K17" s="116" t="str">
        <f>IF(I17=0,"",D17/I17)</f>
      </c>
      <c r="L17" s="117" t="str">
        <f>IF(I17=0,"",E17/I17)</f>
      </c>
      <c r="M17" s="118" t="str">
        <f>IF(I17=0,"",F17/I17)</f>
      </c>
    </row>
    <row r="18">
      <c r="A18" t="s">
        <v>115</v>
      </c>
      <c r="B18" s="107" t="n">
        <v>2041</v>
      </c>
      <c r="C18" s="108" t="str">
        <f>SUMIFS('Annual_Cost'!$Q$2:$Q$131,'Annual_Cost'!$A$2:$A$131,A18,'Annual_Cost'!$B$2:$B$131,B18)</f>
      </c>
      <c r="D18" s="109" t="str">
        <f>SUMIFS('Annual_Cost'!$R$2:$R$131,'Annual_Cost'!$A$2:$A$131,A18,'Annual_Cost'!$B$2:$B$131,B18)</f>
      </c>
      <c r="E18" s="110" t="str">
        <f>SUMIFS('Annual_Cost'!$S$2:$S$131,'Annual_Cost'!$A$2:$A$131,A18,'Annual_Cost'!$B$2:$B$131,B18)</f>
      </c>
      <c r="F18" s="111" t="str">
        <f>SUMIFS('Annual_Cost'!$Y$2:$Y$131,'Annual_Cost'!$A$2:$A$131,A18,'Annual_Cost'!$B$2:$B$131,B18)</f>
      </c>
      <c r="G18" s="112" t="str">
        <f>SUMIFS($E$2:E18,$A$2:A18,A18)</f>
      </c>
      <c r="H18" s="113" t="str">
        <f>SUMIFS($F$2:F18,$A$2:A18,A18)</f>
      </c>
      <c r="I18" s="114" t="n">
        <v>315525215.312548</v>
      </c>
      <c r="J18" s="115" t="str">
        <f>IF(I18=0,"",C18/I18)</f>
      </c>
      <c r="K18" s="116" t="str">
        <f>IF(I18=0,"",D18/I18)</f>
      </c>
      <c r="L18" s="117" t="str">
        <f>IF(I18=0,"",E18/I18)</f>
      </c>
      <c r="M18" s="118" t="str">
        <f>IF(I18=0,"",F18/I18)</f>
      </c>
    </row>
    <row r="19">
      <c r="A19" t="s">
        <v>115</v>
      </c>
      <c r="B19" s="107" t="n">
        <v>2042</v>
      </c>
      <c r="C19" s="108" t="str">
        <f>SUMIFS('Annual_Cost'!$Q$2:$Q$131,'Annual_Cost'!$A$2:$A$131,A19,'Annual_Cost'!$B$2:$B$131,B19)</f>
      </c>
      <c r="D19" s="109" t="str">
        <f>SUMIFS('Annual_Cost'!$R$2:$R$131,'Annual_Cost'!$A$2:$A$131,A19,'Annual_Cost'!$B$2:$B$131,B19)</f>
      </c>
      <c r="E19" s="110" t="str">
        <f>SUMIFS('Annual_Cost'!$S$2:$S$131,'Annual_Cost'!$A$2:$A$131,A19,'Annual_Cost'!$B$2:$B$131,B19)</f>
      </c>
      <c r="F19" s="111" t="str">
        <f>SUMIFS('Annual_Cost'!$Y$2:$Y$131,'Annual_Cost'!$A$2:$A$131,A19,'Annual_Cost'!$B$2:$B$131,B19)</f>
      </c>
      <c r="G19" s="112" t="str">
        <f>SUMIFS($E$2:E19,$A$2:A19,A19)</f>
      </c>
      <c r="H19" s="113" t="str">
        <f>SUMIFS($F$2:F19,$A$2:A19,A19)</f>
      </c>
      <c r="I19" s="114" t="n">
        <v>316707694.211882</v>
      </c>
      <c r="J19" s="115" t="str">
        <f>IF(I19=0,"",C19/I19)</f>
      </c>
      <c r="K19" s="116" t="str">
        <f>IF(I19=0,"",D19/I19)</f>
      </c>
      <c r="L19" s="117" t="str">
        <f>IF(I19=0,"",E19/I19)</f>
      </c>
      <c r="M19" s="118" t="str">
        <f>IF(I19=0,"",F19/I19)</f>
      </c>
    </row>
    <row r="20">
      <c r="A20" t="s">
        <v>115</v>
      </c>
      <c r="B20" s="107" t="n">
        <v>2043</v>
      </c>
      <c r="C20" s="108" t="str">
        <f>SUMIFS('Annual_Cost'!$Q$2:$Q$131,'Annual_Cost'!$A$2:$A$131,A20,'Annual_Cost'!$B$2:$B$131,B20)</f>
      </c>
      <c r="D20" s="109" t="str">
        <f>SUMIFS('Annual_Cost'!$R$2:$R$131,'Annual_Cost'!$A$2:$A$131,A20,'Annual_Cost'!$B$2:$B$131,B20)</f>
      </c>
      <c r="E20" s="110" t="str">
        <f>SUMIFS('Annual_Cost'!$S$2:$S$131,'Annual_Cost'!$A$2:$A$131,A20,'Annual_Cost'!$B$2:$B$131,B20)</f>
      </c>
      <c r="F20" s="111" t="str">
        <f>SUMIFS('Annual_Cost'!$Y$2:$Y$131,'Annual_Cost'!$A$2:$A$131,A20,'Annual_Cost'!$B$2:$B$131,B20)</f>
      </c>
      <c r="G20" s="112" t="str">
        <f>SUMIFS($E$2:E20,$A$2:A20,A20)</f>
      </c>
      <c r="H20" s="113" t="str">
        <f>SUMIFS($F$2:F20,$A$2:A20,A20)</f>
      </c>
      <c r="I20" s="114" t="n">
        <v>317814114.067152</v>
      </c>
      <c r="J20" s="115" t="str">
        <f>IF(I20=0,"",C20/I20)</f>
      </c>
      <c r="K20" s="116" t="str">
        <f>IF(I20=0,"",D20/I20)</f>
      </c>
      <c r="L20" s="117" t="str">
        <f>IF(I20=0,"",E20/I20)</f>
      </c>
      <c r="M20" s="118" t="str">
        <f>IF(I20=0,"",F20/I20)</f>
      </c>
    </row>
    <row r="21">
      <c r="A21" t="s">
        <v>115</v>
      </c>
      <c r="B21" s="107" t="n">
        <v>2044</v>
      </c>
      <c r="C21" s="108" t="str">
        <f>SUMIFS('Annual_Cost'!$Q$2:$Q$131,'Annual_Cost'!$A$2:$A$131,A21,'Annual_Cost'!$B$2:$B$131,B21)</f>
      </c>
      <c r="D21" s="109" t="str">
        <f>SUMIFS('Annual_Cost'!$R$2:$R$131,'Annual_Cost'!$A$2:$A$131,A21,'Annual_Cost'!$B$2:$B$131,B21)</f>
      </c>
      <c r="E21" s="110" t="str">
        <f>SUMIFS('Annual_Cost'!$S$2:$S$131,'Annual_Cost'!$A$2:$A$131,A21,'Annual_Cost'!$B$2:$B$131,B21)</f>
      </c>
      <c r="F21" s="111" t="str">
        <f>SUMIFS('Annual_Cost'!$Y$2:$Y$131,'Annual_Cost'!$A$2:$A$131,A21,'Annual_Cost'!$B$2:$B$131,B21)</f>
      </c>
      <c r="G21" s="112" t="str">
        <f>SUMIFS($E$2:E21,$A$2:A21,A21)</f>
      </c>
      <c r="H21" s="113" t="str">
        <f>SUMIFS($F$2:F21,$A$2:A21,A21)</f>
      </c>
      <c r="I21" s="114" t="n">
        <v>318840890.732156</v>
      </c>
      <c r="J21" s="115" t="str">
        <f>IF(I21=0,"",C21/I21)</f>
      </c>
      <c r="K21" s="116" t="str">
        <f>IF(I21=0,"",D21/I21)</f>
      </c>
      <c r="L21" s="117" t="str">
        <f>IF(I21=0,"",E21/I21)</f>
      </c>
      <c r="M21" s="118" t="str">
        <f>IF(I21=0,"",F21/I21)</f>
      </c>
    </row>
    <row r="22">
      <c r="A22" t="s">
        <v>115</v>
      </c>
      <c r="B22" s="107" t="n">
        <v>2045</v>
      </c>
      <c r="C22" s="108" t="str">
        <f>SUMIFS('Annual_Cost'!$Q$2:$Q$131,'Annual_Cost'!$A$2:$A$131,A22,'Annual_Cost'!$B$2:$B$131,B22)</f>
      </c>
      <c r="D22" s="109" t="str">
        <f>SUMIFS('Annual_Cost'!$R$2:$R$131,'Annual_Cost'!$A$2:$A$131,A22,'Annual_Cost'!$B$2:$B$131,B22)</f>
      </c>
      <c r="E22" s="110" t="str">
        <f>SUMIFS('Annual_Cost'!$S$2:$S$131,'Annual_Cost'!$A$2:$A$131,A22,'Annual_Cost'!$B$2:$B$131,B22)</f>
      </c>
      <c r="F22" s="111" t="str">
        <f>SUMIFS('Annual_Cost'!$Y$2:$Y$131,'Annual_Cost'!$A$2:$A$131,A22,'Annual_Cost'!$B$2:$B$131,B22)</f>
      </c>
      <c r="G22" s="112" t="str">
        <f>SUMIFS($E$2:E22,$A$2:A22,A22)</f>
      </c>
      <c r="H22" s="113" t="str">
        <f>SUMIFS($F$2:F22,$A$2:A22,A22)</f>
      </c>
      <c r="I22" s="114" t="n">
        <v>319784682.33108</v>
      </c>
      <c r="J22" s="115" t="str">
        <f>IF(I22=0,"",C22/I22)</f>
      </c>
      <c r="K22" s="116" t="str">
        <f>IF(I22=0,"",D22/I22)</f>
      </c>
      <c r="L22" s="117" t="str">
        <f>IF(I22=0,"",E22/I22)</f>
      </c>
      <c r="M22" s="118" t="str">
        <f>IF(I22=0,"",F22/I22)</f>
      </c>
    </row>
    <row r="23">
      <c r="A23" t="s">
        <v>115</v>
      </c>
      <c r="B23" s="107" t="n">
        <v>2046</v>
      </c>
      <c r="C23" s="108" t="str">
        <f>SUMIFS('Annual_Cost'!$Q$2:$Q$131,'Annual_Cost'!$A$2:$A$131,A23,'Annual_Cost'!$B$2:$B$131,B23)</f>
      </c>
      <c r="D23" s="109" t="str">
        <f>SUMIFS('Annual_Cost'!$R$2:$R$131,'Annual_Cost'!$A$2:$A$131,A23,'Annual_Cost'!$B$2:$B$131,B23)</f>
      </c>
      <c r="E23" s="110" t="str">
        <f>SUMIFS('Annual_Cost'!$S$2:$S$131,'Annual_Cost'!$A$2:$A$131,A23,'Annual_Cost'!$B$2:$B$131,B23)</f>
      </c>
      <c r="F23" s="111" t="str">
        <f>SUMIFS('Annual_Cost'!$Y$2:$Y$131,'Annual_Cost'!$A$2:$A$131,A23,'Annual_Cost'!$B$2:$B$131,B23)</f>
      </c>
      <c r="G23" s="112" t="str">
        <f>SUMIFS($E$2:E23,$A$2:A23,A23)</f>
      </c>
      <c r="H23" s="113" t="str">
        <f>SUMIFS($F$2:F23,$A$2:A23,A23)</f>
      </c>
      <c r="I23" s="114" t="n">
        <v>320645615.981408</v>
      </c>
      <c r="J23" s="115" t="str">
        <f>IF(I23=0,"",C23/I23)</f>
      </c>
      <c r="K23" s="116" t="str">
        <f>IF(I23=0,"",D23/I23)</f>
      </c>
      <c r="L23" s="117" t="str">
        <f>IF(I23=0,"",E23/I23)</f>
      </c>
      <c r="M23" s="118" t="str">
        <f>IF(I23=0,"",F23/I23)</f>
      </c>
    </row>
    <row r="24">
      <c r="A24" t="s">
        <v>115</v>
      </c>
      <c r="B24" s="107" t="n">
        <v>2047</v>
      </c>
      <c r="C24" s="108" t="str">
        <f>SUMIFS('Annual_Cost'!$Q$2:$Q$131,'Annual_Cost'!$A$2:$A$131,A24,'Annual_Cost'!$B$2:$B$131,B24)</f>
      </c>
      <c r="D24" s="109" t="str">
        <f>SUMIFS('Annual_Cost'!$R$2:$R$131,'Annual_Cost'!$A$2:$A$131,A24,'Annual_Cost'!$B$2:$B$131,B24)</f>
      </c>
      <c r="E24" s="110" t="str">
        <f>SUMIFS('Annual_Cost'!$S$2:$S$131,'Annual_Cost'!$A$2:$A$131,A24,'Annual_Cost'!$B$2:$B$131,B24)</f>
      </c>
      <c r="F24" s="111" t="str">
        <f>SUMIFS('Annual_Cost'!$Y$2:$Y$131,'Annual_Cost'!$A$2:$A$131,A24,'Annual_Cost'!$B$2:$B$131,B24)</f>
      </c>
      <c r="G24" s="112" t="str">
        <f>SUMIFS($E$2:E24,$A$2:A24,A24)</f>
      </c>
      <c r="H24" s="113" t="str">
        <f>SUMIFS($F$2:F24,$A$2:A24,A24)</f>
      </c>
      <c r="I24" s="114" t="n">
        <v>321429520.522875</v>
      </c>
      <c r="J24" s="115" t="str">
        <f>IF(I24=0,"",C24/I24)</f>
      </c>
      <c r="K24" s="116" t="str">
        <f>IF(I24=0,"",D24/I24)</f>
      </c>
      <c r="L24" s="117" t="str">
        <f>IF(I24=0,"",E24/I24)</f>
      </c>
      <c r="M24" s="118" t="str">
        <f>IF(I24=0,"",F24/I24)</f>
      </c>
    </row>
    <row r="25">
      <c r="A25" t="s">
        <v>115</v>
      </c>
      <c r="B25" s="107" t="n">
        <v>2048</v>
      </c>
      <c r="C25" s="108" t="str">
        <f>SUMIFS('Annual_Cost'!$Q$2:$Q$131,'Annual_Cost'!$A$2:$A$131,A25,'Annual_Cost'!$B$2:$B$131,B25)</f>
      </c>
      <c r="D25" s="109" t="str">
        <f>SUMIFS('Annual_Cost'!$R$2:$R$131,'Annual_Cost'!$A$2:$A$131,A25,'Annual_Cost'!$B$2:$B$131,B25)</f>
      </c>
      <c r="E25" s="110" t="str">
        <f>SUMIFS('Annual_Cost'!$S$2:$S$131,'Annual_Cost'!$A$2:$A$131,A25,'Annual_Cost'!$B$2:$B$131,B25)</f>
      </c>
      <c r="F25" s="111" t="str">
        <f>SUMIFS('Annual_Cost'!$Y$2:$Y$131,'Annual_Cost'!$A$2:$A$131,A25,'Annual_Cost'!$B$2:$B$131,B25)</f>
      </c>
      <c r="G25" s="112" t="str">
        <f>SUMIFS($E$2:E25,$A$2:A25,A25)</f>
      </c>
      <c r="H25" s="113" t="str">
        <f>SUMIFS($F$2:F25,$A$2:A25,A25)</f>
      </c>
      <c r="I25" s="114" t="n">
        <v>322136832.260161</v>
      </c>
      <c r="J25" s="115" t="str">
        <f>IF(I25=0,"",C25/I25)</f>
      </c>
      <c r="K25" s="116" t="str">
        <f>IF(I25=0,"",D25/I25)</f>
      </c>
      <c r="L25" s="117" t="str">
        <f>IF(I25=0,"",E25/I25)</f>
      </c>
      <c r="M25" s="118" t="str">
        <f>IF(I25=0,"",F25/I25)</f>
      </c>
    </row>
    <row r="26">
      <c r="A26" t="s">
        <v>115</v>
      </c>
      <c r="B26" s="107" t="n">
        <v>2049</v>
      </c>
      <c r="C26" s="108" t="str">
        <f>SUMIFS('Annual_Cost'!$Q$2:$Q$131,'Annual_Cost'!$A$2:$A$131,A26,'Annual_Cost'!$B$2:$B$131,B26)</f>
      </c>
      <c r="D26" s="109" t="str">
        <f>SUMIFS('Annual_Cost'!$R$2:$R$131,'Annual_Cost'!$A$2:$A$131,A26,'Annual_Cost'!$B$2:$B$131,B26)</f>
      </c>
      <c r="E26" s="110" t="str">
        <f>SUMIFS('Annual_Cost'!$S$2:$S$131,'Annual_Cost'!$A$2:$A$131,A26,'Annual_Cost'!$B$2:$B$131,B26)</f>
      </c>
      <c r="F26" s="111" t="str">
        <f>SUMIFS('Annual_Cost'!$Y$2:$Y$131,'Annual_Cost'!$A$2:$A$131,A26,'Annual_Cost'!$B$2:$B$131,B26)</f>
      </c>
      <c r="G26" s="112" t="str">
        <f>SUMIFS($E$2:E26,$A$2:A26,A26)</f>
      </c>
      <c r="H26" s="113" t="str">
        <f>SUMIFS($F$2:F26,$A$2:A26,A26)</f>
      </c>
      <c r="I26" s="114" t="n">
        <v>322765819.752681</v>
      </c>
      <c r="J26" s="115" t="str">
        <f>IF(I26=0,"",C26/I26)</f>
      </c>
      <c r="K26" s="116" t="str">
        <f>IF(I26=0,"",D26/I26)</f>
      </c>
      <c r="L26" s="117" t="str">
        <f>IF(I26=0,"",E26/I26)</f>
      </c>
      <c r="M26" s="118" t="str">
        <f>IF(I26=0,"",F26/I26)</f>
      </c>
    </row>
    <row r="27">
      <c r="A27" t="s">
        <v>115</v>
      </c>
      <c r="B27" s="107" t="n">
        <v>2050</v>
      </c>
      <c r="C27" s="108" t="str">
        <f>SUMIFS('Annual_Cost'!$Q$2:$Q$131,'Annual_Cost'!$A$2:$A$131,A27,'Annual_Cost'!$B$2:$B$131,B27)</f>
      </c>
      <c r="D27" s="109" t="str">
        <f>SUMIFS('Annual_Cost'!$R$2:$R$131,'Annual_Cost'!$A$2:$A$131,A27,'Annual_Cost'!$B$2:$B$131,B27)</f>
      </c>
      <c r="E27" s="110" t="str">
        <f>SUMIFS('Annual_Cost'!$S$2:$S$131,'Annual_Cost'!$A$2:$A$131,A27,'Annual_Cost'!$B$2:$B$131,B27)</f>
      </c>
      <c r="F27" s="111" t="str">
        <f>SUMIFS('Annual_Cost'!$Y$2:$Y$131,'Annual_Cost'!$A$2:$A$131,A27,'Annual_Cost'!$B$2:$B$131,B27)</f>
      </c>
      <c r="G27" s="112" t="str">
        <f>SUMIFS($E$2:E27,$A$2:A27,A27)</f>
      </c>
      <c r="H27" s="113" t="str">
        <f>SUMIFS($F$2:F27,$A$2:A27,A27)</f>
      </c>
      <c r="I27" s="114" t="n">
        <v>323312042.563285</v>
      </c>
      <c r="J27" s="115" t="str">
        <f>IF(I27=0,"",C27/I27)</f>
      </c>
      <c r="K27" s="116" t="str">
        <f>IF(I27=0,"",D27/I27)</f>
      </c>
      <c r="L27" s="117" t="str">
        <f>IF(I27=0,"",E27/I27)</f>
      </c>
      <c r="M27" s="118" t="str">
        <f>IF(I27=0,"",F27/I27)</f>
      </c>
    </row>
  </sheetData>
  <autoFilter ref="A1:M1"/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16.71" hidden="0" customWidth="1"/>
    <col min="4" max="4" width="15.71" hidden="0" customWidth="1"/>
    <col min="5" max="5" width="18.71" hidden="0" customWidth="1"/>
    <col min="6" max="6" width="23.71" hidden="0" customWidth="1"/>
    <col min="7" max="7" width="24.71" hidden="0" customWidth="1"/>
    <col min="8" max="8" width="11.71" hidden="0" customWidth="1"/>
    <col min="9" max="9" width="23.71" hidden="0" customWidth="1"/>
    <col min="10" max="10" width="36.71" hidden="0" customWidth="1"/>
    <col min="11" max="11" width="34.71" hidden="0" customWidth="1"/>
  </cols>
  <sheetData>
    <row r="1" ht="28" customHeight="1">
      <c r="A1" s="1" t="s">
        <v>285</v>
      </c>
      <c r="B1" s="1" t="s">
        <v>286</v>
      </c>
      <c r="C1" s="1" t="s">
        <v>291</v>
      </c>
      <c r="D1" s="1" t="s">
        <v>293</v>
      </c>
      <c r="E1" s="1" t="s">
        <v>319</v>
      </c>
      <c r="F1" s="1" t="s">
        <v>320</v>
      </c>
      <c r="G1" s="1" t="s">
        <v>327</v>
      </c>
      <c r="H1" s="1" t="s">
        <v>328</v>
      </c>
      <c r="I1" s="1" t="s">
        <v>329</v>
      </c>
      <c r="J1" s="1" t="s">
        <v>315</v>
      </c>
      <c r="K1" s="1" t="s">
        <v>316</v>
      </c>
    </row>
    <row r="2">
      <c r="A2" t="s">
        <v>115</v>
      </c>
      <c r="B2" s="32" t="s">
        <v>294</v>
      </c>
      <c r="C2" s="119" t="str">
        <f>SUMIFS('Annual_Mortality'!$H$2:$H$365,'Annual_Mortality'!$A$2:$A$365,A2)</f>
      </c>
      <c r="D2" s="120" t="str">
        <f>SUMIFS('Annual_Mortality'!$J$2:$J$365,'Annual_Mortality'!$A$2:$A$365,A2)</f>
      </c>
      <c r="E2" s="121" t="str">
        <f>SUMIFS('Budget_Impact'!$E$2:$E$27,'Budget_Impact'!$A$2:$A$27,A2)</f>
      </c>
      <c r="F2" s="122" t="str">
        <f>SUMIFS('Budget_Impact'!$F$2:$F$27,'Budget_Impact'!$A$2:$A$27,A2)</f>
      </c>
      <c r="G2" s="123" t="str">
        <f>IF(C2&gt;0,F2/C2,"")</f>
      </c>
      <c r="H2" s="126" t="str">
        <f>IF(AND(C2&gt;0,F2&lt;0),"Dominant (more health, lower cost)",IF(AND(C2&lt;=0,F2&gt;0),"Dominated (less/no health, higher cost)",IF(AND(C2&lt;=0,F2&lt;=0),"No deaths averted; ratio not defined","USD per death averted")))</f>
      </c>
      <c r="I2" s="34" t="str">
        <f>IF(AND(ABS(F2-SUMIFS('Budget_Impact'!$F$2:$F$27,'Budget_Impact'!$A$2:$A$27,A2))&lt;='Calculation_Assumptions'!$B$11,ABS(C2-SUMIFS('Annual_Mortality'!$H$2:$H$365,'Annual_Mortality'!$A$2:$A$365,A2))&lt;='Calculation_Assumptions'!$B$11),"consistent","mismatch")</f>
      </c>
      <c r="J2" s="124" t="str">
        <f>IFERROR(AVERAGEIFS('Budget_Impact'!$L$2:$L$27,'Budget_Impact'!$A$2:$A$27,A2,'Budget_Impact'!$B$2:$B$27,"&gt;="&amp;('Calculation_Assumptions'!$B$2+1)),"")</f>
      </c>
      <c r="K2" s="125" t="str">
        <f>IFERROR(AVERAGEIFS('Budget_Impact'!$M$2:$M$27,'Budget_Impact'!$A$2:$A$27,A2,'Budget_Impact'!$B$2:$B$27,"&gt;="&amp;('Calculation_Assumptions'!$B$2+1)),"")</f>
      </c>
    </row>
  </sheetData>
  <autoFilter ref="A1:K1"/>
  <conditionalFormatting sqref="I2:I2">
    <cfRule type="containsText" dxfId="0" priority="3" operator="containsText" text="consistent">
      <formula>NOT(ISERROR(SEARCH("consistent", I2)))</formula>
    </cfRule>
    <cfRule type="containsText" dxfId="1" priority="2" operator="containsText" text="mismatch">
      <formula>NOT(ISERROR(SEARCH("mismatch", I2)))</formula>
    </cfRule>
  </conditionalFormatting>
  <conditionalFormatting sqref="H2:H2">
    <cfRule type="containsText" dxfId="2" priority="1" operator="containsText" text="Dominated">
      <formula>NOT(ISERROR(SEARCH("Dominated", H2)))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2.71" hidden="0" customWidth="1"/>
    <col min="2" max="2" width="16.71" hidden="0" customWidth="1"/>
    <col min="3" max="3" width="12.71" hidden="0" customWidth="1"/>
    <col min="4" max="4" width="16.71" hidden="0" customWidth="1"/>
    <col min="5" max="5" width="17.71" hidden="0" customWidth="1"/>
    <col min="6" max="6" width="16.71" hidden="0" customWidth="1"/>
    <col min="7" max="7" width="15.71" hidden="0" customWidth="1"/>
    <col min="8" max="8" width="16.71" hidden="0" customWidth="1"/>
    <col min="9" max="9" width="15.71" hidden="0" customWidth="1"/>
    <col min="10" max="10" width="12.71" hidden="0" customWidth="1"/>
    <col min="11" max="11" width="12.71" hidden="0" customWidth="1"/>
    <col min="12" max="12" width="13.71" hidden="0" customWidth="1"/>
    <col min="13" max="13" width="12.71" hidden="0" customWidth="1"/>
    <col min="14" max="14" width="12.71" hidden="0" customWidth="1"/>
    <col min="15" max="15" width="13.71" hidden="0" customWidth="1"/>
    <col min="16" max="16" width="12.71" hidden="0" customWidth="1"/>
    <col min="17" max="17" width="12.71" hidden="0" customWidth="1"/>
    <col min="18" max="18" width="15.71" hidden="0" customWidth="1"/>
    <col min="19" max="19" width="19.71" hidden="0" customWidth="1"/>
  </cols>
  <sheetData>
    <row r="1" ht="28" customHeight="1">
      <c r="A1" s="1" t="s">
        <v>285</v>
      </c>
      <c r="B1" s="1" t="s">
        <v>286</v>
      </c>
      <c r="C1" s="1" t="s">
        <v>42</v>
      </c>
      <c r="D1" s="1" t="s">
        <v>330</v>
      </c>
      <c r="E1" s="1" t="s">
        <v>331</v>
      </c>
      <c r="F1" s="1" t="s">
        <v>291</v>
      </c>
      <c r="G1" s="1" t="s">
        <v>332</v>
      </c>
      <c r="H1" s="1" t="s">
        <v>333</v>
      </c>
      <c r="I1" s="1" t="s">
        <v>293</v>
      </c>
      <c r="J1" s="1" t="s">
        <v>334</v>
      </c>
      <c r="K1" s="1" t="s">
        <v>335</v>
      </c>
      <c r="L1" s="1" t="s">
        <v>336</v>
      </c>
      <c r="M1" s="1" t="s">
        <v>337</v>
      </c>
      <c r="N1" s="1" t="s">
        <v>338</v>
      </c>
      <c r="O1" s="1" t="s">
        <v>339</v>
      </c>
      <c r="P1" s="1" t="s">
        <v>340</v>
      </c>
      <c r="Q1" s="1" t="s">
        <v>341</v>
      </c>
      <c r="R1" s="1" t="s">
        <v>342</v>
      </c>
      <c r="S1" s="1" t="s">
        <v>343</v>
      </c>
    </row>
    <row r="2">
      <c r="A2" t="s">
        <v>115</v>
      </c>
      <c r="B2" s="32" t="s">
        <v>294</v>
      </c>
      <c r="C2" t="n">
        <v>2025</v>
      </c>
      <c r="D2" s="127" t="n">
        <v>959793.497483952</v>
      </c>
      <c r="E2" s="128" t="n">
        <v>959793.497483952</v>
      </c>
      <c r="F2" s="129" t="str">
        <f>E2-D2</f>
      </c>
      <c r="G2" s="130" t="n">
        <v>2135199.67580268</v>
      </c>
      <c r="H2" s="131" t="n">
        <v>2135199.67580268</v>
      </c>
      <c r="I2" s="132" t="str">
        <f>H2-G2</f>
      </c>
      <c r="J2" s="133" t="n">
        <v>13078630.7318055</v>
      </c>
      <c r="K2" s="134" t="n">
        <v>13078630.7318055</v>
      </c>
      <c r="L2" s="135" t="str">
        <f>K2-J2</f>
      </c>
      <c r="M2" s="136" t="n">
        <v>2439867.79488052</v>
      </c>
      <c r="N2" s="137" t="n">
        <v>2439867.79488052</v>
      </c>
      <c r="O2" s="138" t="str">
        <f>N2-M2</f>
      </c>
      <c r="P2" s="139" t="n">
        <v>15518498.526686</v>
      </c>
      <c r="Q2" s="140" t="n">
        <v>15518498.526686</v>
      </c>
      <c r="R2" s="141" t="str">
        <f>Q2-P2</f>
      </c>
      <c r="S2" s="142" t="str">
        <f>L2</f>
      </c>
    </row>
    <row r="3">
      <c r="A3" t="s">
        <v>115</v>
      </c>
      <c r="B3" s="32" t="s">
        <v>294</v>
      </c>
      <c r="C3" t="n">
        <v>2026</v>
      </c>
      <c r="D3" s="127" t="n">
        <v>980749.04750576</v>
      </c>
      <c r="E3" s="128" t="n">
        <v>980780.305058052</v>
      </c>
      <c r="F3" s="129" t="str">
        <f>E3-D3</f>
      </c>
      <c r="G3" s="130" t="n">
        <v>2178227.71076153</v>
      </c>
      <c r="H3" s="131" t="n">
        <v>2181019.4587223</v>
      </c>
      <c r="I3" s="132" t="str">
        <f>H3-G3</f>
      </c>
      <c r="J3" s="133" t="n">
        <v>13376046.5675276</v>
      </c>
      <c r="K3" s="134" t="n">
        <v>13376482.4651958</v>
      </c>
      <c r="L3" s="135" t="str">
        <f>K3-J3</f>
      </c>
      <c r="M3" s="136" t="n">
        <v>2494798.06041497</v>
      </c>
      <c r="N3" s="137" t="n">
        <v>2495093.0586842</v>
      </c>
      <c r="O3" s="138" t="str">
        <f>N3-M3</f>
      </c>
      <c r="P3" s="139" t="n">
        <v>15870844.6279425</v>
      </c>
      <c r="Q3" s="140" t="n">
        <v>15871575.5238799</v>
      </c>
      <c r="R3" s="141" t="str">
        <f>Q3-P3</f>
      </c>
      <c r="S3" s="142" t="str">
        <f>L3</f>
      </c>
    </row>
    <row r="4">
      <c r="A4" t="s">
        <v>115</v>
      </c>
      <c r="B4" s="32" t="s">
        <v>294</v>
      </c>
      <c r="C4" t="n">
        <v>2027</v>
      </c>
      <c r="D4" s="127" t="n">
        <v>1002900.79183386</v>
      </c>
      <c r="E4" s="128" t="n">
        <v>1003320.79077982</v>
      </c>
      <c r="F4" s="129" t="str">
        <f>E4-D4</f>
      </c>
      <c r="G4" s="130" t="n">
        <v>2222636.3317858</v>
      </c>
      <c r="H4" s="131" t="n">
        <v>2228341.81181597</v>
      </c>
      <c r="I4" s="132" t="str">
        <f>H4-G4</f>
      </c>
      <c r="J4" s="133" t="n">
        <v>13671716.9039542</v>
      </c>
      <c r="K4" s="134" t="n">
        <v>13677394.9809697</v>
      </c>
      <c r="L4" s="135" t="str">
        <f>K4-J4</f>
      </c>
      <c r="M4" s="136" t="n">
        <v>2550403.92878828</v>
      </c>
      <c r="N4" s="137" t="n">
        <v>2551241.04250702</v>
      </c>
      <c r="O4" s="138" t="str">
        <f>N4-M4</f>
      </c>
      <c r="P4" s="139" t="n">
        <v>16222120.8327425</v>
      </c>
      <c r="Q4" s="140" t="n">
        <v>16228636.0234767</v>
      </c>
      <c r="R4" s="141" t="str">
        <f>Q4-P4</f>
      </c>
      <c r="S4" s="142" t="str">
        <f>L4</f>
      </c>
    </row>
    <row r="5">
      <c r="A5" t="s">
        <v>115</v>
      </c>
      <c r="B5" s="32" t="s">
        <v>294</v>
      </c>
      <c r="C5" t="n">
        <v>2028</v>
      </c>
      <c r="D5" s="127" t="n">
        <v>1026461.21337991</v>
      </c>
      <c r="E5" s="128" t="n">
        <v>1027500.46902078</v>
      </c>
      <c r="F5" s="129" t="str">
        <f>E5-D5</f>
      </c>
      <c r="G5" s="130" t="n">
        <v>2279358.41190756</v>
      </c>
      <c r="H5" s="131" t="n">
        <v>2288120.69935235</v>
      </c>
      <c r="I5" s="132" t="str">
        <f>H5-G5</f>
      </c>
      <c r="J5" s="133" t="n">
        <v>13959477.7475049</v>
      </c>
      <c r="K5" s="134" t="n">
        <v>13973849.5476407</v>
      </c>
      <c r="L5" s="135" t="str">
        <f>K5-J5</f>
      </c>
      <c r="M5" s="136" t="n">
        <v>2607513.49816578</v>
      </c>
      <c r="N5" s="137" t="n">
        <v>2609119.51816056</v>
      </c>
      <c r="O5" s="138" t="str">
        <f>N5-M5</f>
      </c>
      <c r="P5" s="139" t="n">
        <v>16566991.2456707</v>
      </c>
      <c r="Q5" s="140" t="n">
        <v>16582969.0658013</v>
      </c>
      <c r="R5" s="141" t="str">
        <f>Q5-P5</f>
      </c>
      <c r="S5" s="142" t="str">
        <f>L5</f>
      </c>
    </row>
    <row r="6">
      <c r="A6" t="s">
        <v>115</v>
      </c>
      <c r="B6" s="32" t="s">
        <v>294</v>
      </c>
      <c r="C6" t="n">
        <v>2029</v>
      </c>
      <c r="D6" s="127" t="n">
        <v>1051753.82215719</v>
      </c>
      <c r="E6" s="128" t="n">
        <v>1053610.41066253</v>
      </c>
      <c r="F6" s="129" t="str">
        <f>E6-D6</f>
      </c>
      <c r="G6" s="130" t="n">
        <v>2324770.94279114</v>
      </c>
      <c r="H6" s="131" t="n">
        <v>2336688.0735738</v>
      </c>
      <c r="I6" s="132" t="str">
        <f>H6-G6</f>
      </c>
      <c r="J6" s="133" t="n">
        <v>14264642.4916928</v>
      </c>
      <c r="K6" s="134" t="n">
        <v>14290695.0468445</v>
      </c>
      <c r="L6" s="135" t="str">
        <f>K6-J6</f>
      </c>
      <c r="M6" s="136" t="n">
        <v>2664803.9380507</v>
      </c>
      <c r="N6" s="137" t="n">
        <v>2667387.14052593</v>
      </c>
      <c r="O6" s="138" t="str">
        <f>N6-M6</f>
      </c>
      <c r="P6" s="139" t="n">
        <v>16929446.4297435</v>
      </c>
      <c r="Q6" s="140" t="n">
        <v>16958082.1873704</v>
      </c>
      <c r="R6" s="141" t="str">
        <f>Q6-P6</f>
      </c>
      <c r="S6" s="142" t="str">
        <f>L6</f>
      </c>
    </row>
    <row r="7">
      <c r="A7" t="s">
        <v>115</v>
      </c>
      <c r="B7" s="32" t="s">
        <v>294</v>
      </c>
      <c r="C7" t="n">
        <v>2030</v>
      </c>
      <c r="D7" s="127" t="n">
        <v>1077960.31032828</v>
      </c>
      <c r="E7" s="128" t="n">
        <v>1080810.21872946</v>
      </c>
      <c r="F7" s="129" t="str">
        <f>E7-D7</f>
      </c>
      <c r="G7" s="130" t="n">
        <v>2371306.32261208</v>
      </c>
      <c r="H7" s="131" t="n">
        <v>2386448.80046728</v>
      </c>
      <c r="I7" s="132" t="str">
        <f>H7-G7</f>
      </c>
      <c r="J7" s="133" t="n">
        <v>14561075.9729683</v>
      </c>
      <c r="K7" s="134" t="n">
        <v>14601429.0838702</v>
      </c>
      <c r="L7" s="135" t="str">
        <f>K7-J7</f>
      </c>
      <c r="M7" s="136" t="n">
        <v>2722183.82531752</v>
      </c>
      <c r="N7" s="137" t="n">
        <v>2725934.7625287</v>
      </c>
      <c r="O7" s="138" t="str">
        <f>N7-M7</f>
      </c>
      <c r="P7" s="139" t="n">
        <v>17283259.7982858</v>
      </c>
      <c r="Q7" s="140" t="n">
        <v>17327363.846399</v>
      </c>
      <c r="R7" s="141" t="str">
        <f>Q7-P7</f>
      </c>
      <c r="S7" s="142" t="str">
        <f>L7</f>
      </c>
    </row>
    <row r="8">
      <c r="A8" t="s">
        <v>115</v>
      </c>
      <c r="B8" s="32" t="s">
        <v>294</v>
      </c>
      <c r="C8" t="n">
        <v>2031</v>
      </c>
      <c r="D8" s="127" t="n">
        <v>1101775.8765348</v>
      </c>
      <c r="E8" s="128" t="n">
        <v>1107157.64124119</v>
      </c>
      <c r="F8" s="129" t="str">
        <f>E8-D8</f>
      </c>
      <c r="G8" s="130" t="n">
        <v>2402707.64798684</v>
      </c>
      <c r="H8" s="131" t="n">
        <v>2435295.40356542</v>
      </c>
      <c r="I8" s="132" t="str">
        <f>H8-G8</f>
      </c>
      <c r="J8" s="133" t="n">
        <v>14835348.3713355</v>
      </c>
      <c r="K8" s="134" t="n">
        <v>14910262.6671564</v>
      </c>
      <c r="L8" s="135" t="str">
        <f>K8-J8</f>
      </c>
      <c r="M8" s="136" t="n">
        <v>2778227.98099986</v>
      </c>
      <c r="N8" s="137" t="n">
        <v>2784742.81884404</v>
      </c>
      <c r="O8" s="138" t="str">
        <f>N8-M8</f>
      </c>
      <c r="P8" s="139" t="n">
        <v>17613576.3523353</v>
      </c>
      <c r="Q8" s="140" t="n">
        <v>17695005.4860005</v>
      </c>
      <c r="R8" s="141" t="str">
        <f>Q8-P8</f>
      </c>
      <c r="S8" s="142" t="str">
        <f>L8</f>
      </c>
    </row>
    <row r="9">
      <c r="A9" t="s">
        <v>115</v>
      </c>
      <c r="B9" s="32" t="s">
        <v>294</v>
      </c>
      <c r="C9" t="n">
        <v>2032</v>
      </c>
      <c r="D9" s="127" t="n">
        <v>1124043.07720101</v>
      </c>
      <c r="E9" s="128" t="n">
        <v>1133979.82552584</v>
      </c>
      <c r="F9" s="129" t="str">
        <f>E9-D9</f>
      </c>
      <c r="G9" s="130" t="n">
        <v>2435622.12484927</v>
      </c>
      <c r="H9" s="131" t="n">
        <v>2486226.86894442</v>
      </c>
      <c r="I9" s="132" t="str">
        <f>H9-G9</f>
      </c>
      <c r="J9" s="133" t="n">
        <v>15077474.572346</v>
      </c>
      <c r="K9" s="134" t="n">
        <v>15212724.6096518</v>
      </c>
      <c r="L9" s="135" t="str">
        <f>K9-J9</f>
      </c>
      <c r="M9" s="136" t="n">
        <v>2833286.36025965</v>
      </c>
      <c r="N9" s="137" t="n">
        <v>2843886.54382644</v>
      </c>
      <c r="O9" s="138" t="str">
        <f>N9-M9</f>
      </c>
      <c r="P9" s="139" t="n">
        <v>17910760.9326057</v>
      </c>
      <c r="Q9" s="140" t="n">
        <v>18056611.1534782</v>
      </c>
      <c r="R9" s="141" t="str">
        <f>Q9-P9</f>
      </c>
      <c r="S9" s="142" t="str">
        <f>L9</f>
      </c>
    </row>
    <row r="10">
      <c r="A10" t="s">
        <v>115</v>
      </c>
      <c r="B10" s="32" t="s">
        <v>294</v>
      </c>
      <c r="C10" t="n">
        <v>2033</v>
      </c>
      <c r="D10" s="127" t="n">
        <v>1144681.48358876</v>
      </c>
      <c r="E10" s="128" t="n">
        <v>1160519.0384788</v>
      </c>
      <c r="F10" s="129" t="str">
        <f>E10-D10</f>
      </c>
      <c r="G10" s="130" t="n">
        <v>2474865.90830736</v>
      </c>
      <c r="H10" s="131" t="n">
        <v>2544179.91308165</v>
      </c>
      <c r="I10" s="132" t="str">
        <f>H10-G10</f>
      </c>
      <c r="J10" s="133" t="n">
        <v>15283831.1257796</v>
      </c>
      <c r="K10" s="134" t="n">
        <v>15498146.8141225</v>
      </c>
      <c r="L10" s="135" t="str">
        <f>K10-J10</f>
      </c>
      <c r="M10" s="136" t="n">
        <v>2888060.85916665</v>
      </c>
      <c r="N10" s="137" t="n">
        <v>2903939.00675972</v>
      </c>
      <c r="O10" s="138" t="str">
        <f>N10-M10</f>
      </c>
      <c r="P10" s="139" t="n">
        <v>18171891.9849462</v>
      </c>
      <c r="Q10" s="140" t="n">
        <v>18402085.8208823</v>
      </c>
      <c r="R10" s="141" t="str">
        <f>Q10-P10</f>
      </c>
      <c r="S10" s="142" t="str">
        <f>L10</f>
      </c>
    </row>
    <row r="11">
      <c r="A11" t="s">
        <v>115</v>
      </c>
      <c r="B11" s="32" t="s">
        <v>294</v>
      </c>
      <c r="C11" t="n">
        <v>2034</v>
      </c>
      <c r="D11" s="127" t="n">
        <v>1164525.81594651</v>
      </c>
      <c r="E11" s="128" t="n">
        <v>1187394.62078838</v>
      </c>
      <c r="F11" s="129" t="str">
        <f>E11-D11</f>
      </c>
      <c r="G11" s="130" t="n">
        <v>2503023.12616378</v>
      </c>
      <c r="H11" s="131" t="n">
        <v>2591241.82717547</v>
      </c>
      <c r="I11" s="132" t="str">
        <f>H11-G11</f>
      </c>
      <c r="J11" s="133" t="n">
        <v>15489758.7735409</v>
      </c>
      <c r="K11" s="134" t="n">
        <v>15799428.4193656</v>
      </c>
      <c r="L11" s="135" t="str">
        <f>K11-J11</f>
      </c>
      <c r="M11" s="136" t="n">
        <v>2941677.39665392</v>
      </c>
      <c r="N11" s="137" t="n">
        <v>2963891.11565708</v>
      </c>
      <c r="O11" s="138" t="str">
        <f>N11-M11</f>
      </c>
      <c r="P11" s="139" t="n">
        <v>18431436.1701948</v>
      </c>
      <c r="Q11" s="140" t="n">
        <v>18763319.5350226</v>
      </c>
      <c r="R11" s="141" t="str">
        <f>Q11-P11</f>
      </c>
      <c r="S11" s="142" t="str">
        <f>L11</f>
      </c>
    </row>
    <row r="12">
      <c r="A12" t="s">
        <v>115</v>
      </c>
      <c r="B12" s="32" t="s">
        <v>294</v>
      </c>
      <c r="C12" t="n">
        <v>2035</v>
      </c>
      <c r="D12" s="127" t="n">
        <v>1183442.38742168</v>
      </c>
      <c r="E12" s="128" t="n">
        <v>1214325.97179281</v>
      </c>
      <c r="F12" s="129" t="str">
        <f>E12-D12</f>
      </c>
      <c r="G12" s="130" t="n">
        <v>2529899.28620587</v>
      </c>
      <c r="H12" s="131" t="n">
        <v>2637338.55759301</v>
      </c>
      <c r="I12" s="132" t="str">
        <f>H12-G12</f>
      </c>
      <c r="J12" s="133" t="n">
        <v>15674394.8910583</v>
      </c>
      <c r="K12" s="134" t="n">
        <v>16093445.8910369</v>
      </c>
      <c r="L12" s="135" t="str">
        <f>K12-J12</f>
      </c>
      <c r="M12" s="136" t="n">
        <v>2994055.85159535</v>
      </c>
      <c r="N12" s="137" t="n">
        <v>3023565.75015719</v>
      </c>
      <c r="O12" s="138" t="str">
        <f>N12-M12</f>
      </c>
      <c r="P12" s="139" t="n">
        <v>18668450.7426536</v>
      </c>
      <c r="Q12" s="140" t="n">
        <v>19117011.6411941</v>
      </c>
      <c r="R12" s="141" t="str">
        <f>Q12-P12</f>
      </c>
      <c r="S12" s="142" t="str">
        <f>L12</f>
      </c>
    </row>
    <row r="13">
      <c r="A13" t="s">
        <v>115</v>
      </c>
      <c r="B13" s="32" t="s">
        <v>294</v>
      </c>
      <c r="C13" t="n">
        <v>2036</v>
      </c>
      <c r="D13" s="127" t="n">
        <v>1202170.73477271</v>
      </c>
      <c r="E13" s="128" t="n">
        <v>1242005.19631071</v>
      </c>
      <c r="F13" s="129" t="str">
        <f>E13-D13</f>
      </c>
      <c r="G13" s="130" t="n">
        <v>2560841.34881692</v>
      </c>
      <c r="H13" s="131" t="n">
        <v>2687815.41856241</v>
      </c>
      <c r="I13" s="132" t="str">
        <f>H13-G13</f>
      </c>
      <c r="J13" s="133" t="n">
        <v>15845709.1020202</v>
      </c>
      <c r="K13" s="134" t="n">
        <v>16387284.1170475</v>
      </c>
      <c r="L13" s="135" t="str">
        <f>K13-J13</f>
      </c>
      <c r="M13" s="136" t="n">
        <v>3045530.83080891</v>
      </c>
      <c r="N13" s="137" t="n">
        <v>3083207.24745521</v>
      </c>
      <c r="O13" s="138" t="str">
        <f>N13-M13</f>
      </c>
      <c r="P13" s="139" t="n">
        <v>18891239.9328291</v>
      </c>
      <c r="Q13" s="140" t="n">
        <v>19470491.3645027</v>
      </c>
      <c r="R13" s="141" t="str">
        <f>Q13-P13</f>
      </c>
      <c r="S13" s="142" t="str">
        <f>L13</f>
      </c>
    </row>
    <row r="14">
      <c r="A14" t="s">
        <v>115</v>
      </c>
      <c r="B14" s="32" t="s">
        <v>294</v>
      </c>
      <c r="C14" t="n">
        <v>2037</v>
      </c>
      <c r="D14" s="127" t="n">
        <v>1220256.40495492</v>
      </c>
      <c r="E14" s="128" t="n">
        <v>1269807.80909442</v>
      </c>
      <c r="F14" s="129" t="str">
        <f>E14-D14</f>
      </c>
      <c r="G14" s="130" t="n">
        <v>2590456.88706997</v>
      </c>
      <c r="H14" s="131" t="n">
        <v>2737274.790777</v>
      </c>
      <c r="I14" s="132" t="str">
        <f>H14-G14</f>
      </c>
      <c r="J14" s="133" t="n">
        <v>15997806.1706179</v>
      </c>
      <c r="K14" s="134" t="n">
        <v>16672497.8198669</v>
      </c>
      <c r="L14" s="135" t="str">
        <f>K14-J14</f>
      </c>
      <c r="M14" s="136" t="n">
        <v>3096021.99492523</v>
      </c>
      <c r="N14" s="137" t="n">
        <v>3142666.59064758</v>
      </c>
      <c r="O14" s="138" t="str">
        <f>N14-M14</f>
      </c>
      <c r="P14" s="139" t="n">
        <v>19093828.1655431</v>
      </c>
      <c r="Q14" s="140" t="n">
        <v>19815164.4105145</v>
      </c>
      <c r="R14" s="141" t="str">
        <f>Q14-P14</f>
      </c>
      <c r="S14" s="142" t="str">
        <f>L14</f>
      </c>
    </row>
    <row r="15">
      <c r="A15" t="s">
        <v>115</v>
      </c>
      <c r="B15" s="32" t="s">
        <v>294</v>
      </c>
      <c r="C15" t="n">
        <v>2038</v>
      </c>
      <c r="D15" s="127" t="n">
        <v>1237224.62876545</v>
      </c>
      <c r="E15" s="128" t="n">
        <v>1297176.25542108</v>
      </c>
      <c r="F15" s="129" t="str">
        <f>E15-D15</f>
      </c>
      <c r="G15" s="130" t="n">
        <v>2623083.88877049</v>
      </c>
      <c r="H15" s="131" t="n">
        <v>2790687.02121721</v>
      </c>
      <c r="I15" s="132" t="str">
        <f>H15-G15</f>
      </c>
      <c r="J15" s="133" t="n">
        <v>16125687.4394714</v>
      </c>
      <c r="K15" s="134" t="n">
        <v>16943079.5437892</v>
      </c>
      <c r="L15" s="135" t="str">
        <f>K15-J15</f>
      </c>
      <c r="M15" s="136" t="n">
        <v>3145948.44629215</v>
      </c>
      <c r="N15" s="137" t="n">
        <v>3202368.92676633</v>
      </c>
      <c r="O15" s="138" t="str">
        <f>N15-M15</f>
      </c>
      <c r="P15" s="139" t="n">
        <v>19271635.8857636</v>
      </c>
      <c r="Q15" s="140" t="n">
        <v>20145448.4705555</v>
      </c>
      <c r="R15" s="141" t="str">
        <f>Q15-P15</f>
      </c>
      <c r="S15" s="142" t="str">
        <f>L15</f>
      </c>
    </row>
    <row r="16">
      <c r="A16" t="s">
        <v>115</v>
      </c>
      <c r="B16" s="32" t="s">
        <v>294</v>
      </c>
      <c r="C16" t="n">
        <v>2039</v>
      </c>
      <c r="D16" s="127" t="n">
        <v>1254297.10847253</v>
      </c>
      <c r="E16" s="128" t="n">
        <v>1325347.79629959</v>
      </c>
      <c r="F16" s="129" t="str">
        <f>E16-D16</f>
      </c>
      <c r="G16" s="130" t="n">
        <v>2647361.62606802</v>
      </c>
      <c r="H16" s="131" t="n">
        <v>2835232.8138728</v>
      </c>
      <c r="I16" s="132" t="str">
        <f>H16-G16</f>
      </c>
      <c r="J16" s="133" t="n">
        <v>16247382.6668045</v>
      </c>
      <c r="K16" s="134" t="n">
        <v>17216985.482207</v>
      </c>
      <c r="L16" s="135" t="str">
        <f>K16-J16</f>
      </c>
      <c r="M16" s="136" t="n">
        <v>3194438.97550378</v>
      </c>
      <c r="N16" s="137" t="n">
        <v>3261308.04483665</v>
      </c>
      <c r="O16" s="138" t="str">
        <f>N16-M16</f>
      </c>
      <c r="P16" s="139" t="n">
        <v>19441821.6423083</v>
      </c>
      <c r="Q16" s="140" t="n">
        <v>20478293.5270436</v>
      </c>
      <c r="R16" s="141" t="str">
        <f>Q16-P16</f>
      </c>
      <c r="S16" s="142" t="str">
        <f>L16</f>
      </c>
    </row>
    <row r="17">
      <c r="A17" t="s">
        <v>115</v>
      </c>
      <c r="B17" s="32" t="s">
        <v>294</v>
      </c>
      <c r="C17" t="n">
        <v>2040</v>
      </c>
      <c r="D17" s="127" t="n">
        <v>1270080.72914391</v>
      </c>
      <c r="E17" s="128" t="n">
        <v>1352787.67550619</v>
      </c>
      <c r="F17" s="129" t="str">
        <f>E17-D17</f>
      </c>
      <c r="G17" s="130" t="n">
        <v>2668265.24079142</v>
      </c>
      <c r="H17" s="131" t="n">
        <v>2876390.02123241</v>
      </c>
      <c r="I17" s="132" t="str">
        <f>H17-G17</f>
      </c>
      <c r="J17" s="133" t="n">
        <v>16347516.6194027</v>
      </c>
      <c r="K17" s="134" t="n">
        <v>17477129.0980303</v>
      </c>
      <c r="L17" s="135" t="str">
        <f>K17-J17</f>
      </c>
      <c r="M17" s="136" t="n">
        <v>3241303.52948118</v>
      </c>
      <c r="N17" s="137" t="n">
        <v>3319226.53845978</v>
      </c>
      <c r="O17" s="138" t="str">
        <f>N17-M17</f>
      </c>
      <c r="P17" s="139" t="n">
        <v>19588820.1488839</v>
      </c>
      <c r="Q17" s="140" t="n">
        <v>20796355.63649</v>
      </c>
      <c r="R17" s="141" t="str">
        <f>Q17-P17</f>
      </c>
      <c r="S17" s="142" t="str">
        <f>L17</f>
      </c>
    </row>
    <row r="18">
      <c r="A18" t="s">
        <v>115</v>
      </c>
      <c r="B18" s="32" t="s">
        <v>294</v>
      </c>
      <c r="C18" t="n">
        <v>2041</v>
      </c>
      <c r="D18" s="127" t="n">
        <v>1287047.03382897</v>
      </c>
      <c r="E18" s="128" t="n">
        <v>1380070.96412439</v>
      </c>
      <c r="F18" s="129" t="str">
        <f>E18-D18</f>
      </c>
      <c r="G18" s="130" t="n">
        <v>2714651.13560763</v>
      </c>
      <c r="H18" s="131" t="n">
        <v>2922451.7840816</v>
      </c>
      <c r="I18" s="132" t="str">
        <f>H18-G18</f>
      </c>
      <c r="J18" s="133" t="n">
        <v>16456979.4968815</v>
      </c>
      <c r="K18" s="134" t="n">
        <v>17731269.8507494</v>
      </c>
      <c r="L18" s="135" t="str">
        <f>K18-J18</f>
      </c>
      <c r="M18" s="136" t="n">
        <v>3289082.50976814</v>
      </c>
      <c r="N18" s="137" t="n">
        <v>3376570.77956911</v>
      </c>
      <c r="O18" s="138" t="str">
        <f>N18-M18</f>
      </c>
      <c r="P18" s="139" t="n">
        <v>19746062.0066496</v>
      </c>
      <c r="Q18" s="140" t="n">
        <v>21107840.6303185</v>
      </c>
      <c r="R18" s="141" t="str">
        <f>Q18-P18</f>
      </c>
      <c r="S18" s="142" t="str">
        <f>L18</f>
      </c>
    </row>
    <row r="19">
      <c r="A19" t="s">
        <v>115</v>
      </c>
      <c r="B19" s="32" t="s">
        <v>294</v>
      </c>
      <c r="C19" t="n">
        <v>2042</v>
      </c>
      <c r="D19" s="127" t="n">
        <v>1305701.40552656</v>
      </c>
      <c r="E19" s="128" t="n">
        <v>1406876.34005525</v>
      </c>
      <c r="F19" s="129" t="str">
        <f>E19-D19</f>
      </c>
      <c r="G19" s="130" t="n">
        <v>2755802.68398342</v>
      </c>
      <c r="H19" s="131" t="n">
        <v>2962983.46667384</v>
      </c>
      <c r="I19" s="132" t="str">
        <f>H19-G19</f>
      </c>
      <c r="J19" s="133" t="n">
        <v>16581946.2406914</v>
      </c>
      <c r="K19" s="134" t="n">
        <v>17974111.2649187</v>
      </c>
      <c r="L19" s="135" t="str">
        <f>K19-J19</f>
      </c>
      <c r="M19" s="136" t="n">
        <v>3336996.69912998</v>
      </c>
      <c r="N19" s="137" t="n">
        <v>3432912.59953705</v>
      </c>
      <c r="O19" s="138" t="str">
        <f>N19-M19</f>
      </c>
      <c r="P19" s="139" t="n">
        <v>19918942.9398214</v>
      </c>
      <c r="Q19" s="140" t="n">
        <v>21407023.8644558</v>
      </c>
      <c r="R19" s="141" t="str">
        <f>Q19-P19</f>
      </c>
      <c r="S19" s="142" t="str">
        <f>L19</f>
      </c>
    </row>
    <row r="20">
      <c r="A20" t="s">
        <v>115</v>
      </c>
      <c r="B20" s="32" t="s">
        <v>294</v>
      </c>
      <c r="C20" t="n">
        <v>2043</v>
      </c>
      <c r="D20" s="127" t="n">
        <v>1324803.76599112</v>
      </c>
      <c r="E20" s="128" t="n">
        <v>1432805.18241214</v>
      </c>
      <c r="F20" s="129" t="str">
        <f>E20-D20</f>
      </c>
      <c r="G20" s="130" t="n">
        <v>2801563.46679377</v>
      </c>
      <c r="H20" s="131" t="n">
        <v>3008470.65003363</v>
      </c>
      <c r="I20" s="132" t="str">
        <f>H20-G20</f>
      </c>
      <c r="J20" s="133" t="n">
        <v>16706274.045025</v>
      </c>
      <c r="K20" s="134" t="n">
        <v>18198360.1018222</v>
      </c>
      <c r="L20" s="135" t="str">
        <f>K20-J20</f>
      </c>
      <c r="M20" s="136" t="n">
        <v>3385394.71668624</v>
      </c>
      <c r="N20" s="137" t="n">
        <v>3488845.13943546</v>
      </c>
      <c r="O20" s="138" t="str">
        <f>N20-M20</f>
      </c>
      <c r="P20" s="139" t="n">
        <v>20091668.7617112</v>
      </c>
      <c r="Q20" s="140" t="n">
        <v>21687205.2412577</v>
      </c>
      <c r="R20" s="141" t="str">
        <f>Q20-P20</f>
      </c>
      <c r="S20" s="142" t="str">
        <f>L20</f>
      </c>
    </row>
    <row r="21">
      <c r="A21" t="s">
        <v>115</v>
      </c>
      <c r="B21" s="32" t="s">
        <v>294</v>
      </c>
      <c r="C21" t="n">
        <v>2044</v>
      </c>
      <c r="D21" s="127" t="n">
        <v>1344490.83213763</v>
      </c>
      <c r="E21" s="128" t="n">
        <v>1458339.17974938</v>
      </c>
      <c r="F21" s="129" t="str">
        <f>E21-D21</f>
      </c>
      <c r="G21" s="130" t="n">
        <v>2840588.88027793</v>
      </c>
      <c r="H21" s="131" t="n">
        <v>3046056.68354666</v>
      </c>
      <c r="I21" s="132" t="str">
        <f>H21-G21</f>
      </c>
      <c r="J21" s="133" t="n">
        <v>16841442.7378272</v>
      </c>
      <c r="K21" s="134" t="n">
        <v>18419903.9093603</v>
      </c>
      <c r="L21" s="135" t="str">
        <f>K21-J21</f>
      </c>
      <c r="M21" s="136" t="n">
        <v>3433459.61634188</v>
      </c>
      <c r="N21" s="137" t="n">
        <v>3543582.92973372</v>
      </c>
      <c r="O21" s="138" t="str">
        <f>N21-M21</f>
      </c>
      <c r="P21" s="139" t="n">
        <v>20274902.3541691</v>
      </c>
      <c r="Q21" s="140" t="n">
        <v>21963486.839094</v>
      </c>
      <c r="R21" s="141" t="str">
        <f>Q21-P21</f>
      </c>
      <c r="S21" s="142" t="str">
        <f>L21</f>
      </c>
    </row>
    <row r="22">
      <c r="A22" t="s">
        <v>115</v>
      </c>
      <c r="B22" s="32" t="s">
        <v>294</v>
      </c>
      <c r="C22" t="n">
        <v>2045</v>
      </c>
      <c r="D22" s="127" t="n">
        <v>1365016.91479488</v>
      </c>
      <c r="E22" s="128" t="n">
        <v>1483913.39991598</v>
      </c>
      <c r="F22" s="129" t="str">
        <f>E22-D22</f>
      </c>
      <c r="G22" s="130" t="n">
        <v>2878551.27983489</v>
      </c>
      <c r="H22" s="131" t="n">
        <v>3082224.00698585</v>
      </c>
      <c r="I22" s="132" t="str">
        <f>H22-G22</f>
      </c>
      <c r="J22" s="133" t="n">
        <v>16982202.8944852</v>
      </c>
      <c r="K22" s="134" t="n">
        <v>18635707.8486913</v>
      </c>
      <c r="L22" s="135" t="str">
        <f>K22-J22</f>
      </c>
      <c r="M22" s="136" t="n">
        <v>3480959.94792135</v>
      </c>
      <c r="N22" s="137" t="n">
        <v>3596974.60976764</v>
      </c>
      <c r="O22" s="138" t="str">
        <f>N22-M22</f>
      </c>
      <c r="P22" s="139" t="n">
        <v>20463162.8424066</v>
      </c>
      <c r="Q22" s="140" t="n">
        <v>22232682.4584589</v>
      </c>
      <c r="R22" s="141" t="str">
        <f>Q22-P22</f>
      </c>
      <c r="S22" s="142" t="str">
        <f>L22</f>
      </c>
    </row>
    <row r="23">
      <c r="A23" t="s">
        <v>115</v>
      </c>
      <c r="B23" s="32" t="s">
        <v>294</v>
      </c>
      <c r="C23" t="n">
        <v>2046</v>
      </c>
      <c r="D23" s="127" t="n">
        <v>1386263.32323567</v>
      </c>
      <c r="E23" s="128" t="n">
        <v>1509480.27542461</v>
      </c>
      <c r="F23" s="129" t="str">
        <f>E23-D23</f>
      </c>
      <c r="G23" s="130" t="n">
        <v>2922001.45181583</v>
      </c>
      <c r="H23" s="131" t="n">
        <v>3124046.1784475</v>
      </c>
      <c r="I23" s="132" t="str">
        <f>H23-G23</f>
      </c>
      <c r="J23" s="133" t="n">
        <v>17124658.9403123</v>
      </c>
      <c r="K23" s="134" t="n">
        <v>18842942.5524536</v>
      </c>
      <c r="L23" s="135" t="str">
        <f>K23-J23</f>
      </c>
      <c r="M23" s="136" t="n">
        <v>3528270.93738625</v>
      </c>
      <c r="N23" s="137" t="n">
        <v>3649516.08697985</v>
      </c>
      <c r="O23" s="138" t="str">
        <f>N23-M23</f>
      </c>
      <c r="P23" s="139" t="n">
        <v>20652929.8776986</v>
      </c>
      <c r="Q23" s="140" t="n">
        <v>22492458.6394335</v>
      </c>
      <c r="R23" s="141" t="str">
        <f>Q23-P23</f>
      </c>
      <c r="S23" s="142" t="str">
        <f>L23</f>
      </c>
    </row>
    <row r="24">
      <c r="A24" t="s">
        <v>115</v>
      </c>
      <c r="B24" s="32" t="s">
        <v>294</v>
      </c>
      <c r="C24" t="n">
        <v>2047</v>
      </c>
      <c r="D24" s="127" t="n">
        <v>1407317.10435414</v>
      </c>
      <c r="E24" s="128" t="n">
        <v>1534237.5744132</v>
      </c>
      <c r="F24" s="129" t="str">
        <f>E24-D24</f>
      </c>
      <c r="G24" s="130" t="n">
        <v>2958634.24642019</v>
      </c>
      <c r="H24" s="131" t="n">
        <v>3158904.2402998</v>
      </c>
      <c r="I24" s="132" t="str">
        <f>H24-G24</f>
      </c>
      <c r="J24" s="133" t="n">
        <v>17266026.338612</v>
      </c>
      <c r="K24" s="134" t="n">
        <v>19041387.4378568</v>
      </c>
      <c r="L24" s="135" t="str">
        <f>K24-J24</f>
      </c>
      <c r="M24" s="136" t="n">
        <v>3574822.69197751</v>
      </c>
      <c r="N24" s="137" t="n">
        <v>3700713.68790926</v>
      </c>
      <c r="O24" s="138" t="str">
        <f>N24-M24</f>
      </c>
      <c r="P24" s="139" t="n">
        <v>20840849.0305896</v>
      </c>
      <c r="Q24" s="140" t="n">
        <v>22742101.1257661</v>
      </c>
      <c r="R24" s="141" t="str">
        <f>Q24-P24</f>
      </c>
      <c r="S24" s="142" t="str">
        <f>L24</f>
      </c>
    </row>
    <row r="25">
      <c r="A25" t="s">
        <v>115</v>
      </c>
      <c r="B25" s="32" t="s">
        <v>294</v>
      </c>
      <c r="C25" t="n">
        <v>2048</v>
      </c>
      <c r="D25" s="127" t="n">
        <v>1427575.00162939</v>
      </c>
      <c r="E25" s="128" t="n">
        <v>1557584.97398339</v>
      </c>
      <c r="F25" s="129" t="str">
        <f>E25-D25</f>
      </c>
      <c r="G25" s="130" t="n">
        <v>2995618.5506172</v>
      </c>
      <c r="H25" s="131" t="n">
        <v>3194212.2507101</v>
      </c>
      <c r="I25" s="132" t="str">
        <f>H25-G25</f>
      </c>
      <c r="J25" s="133" t="n">
        <v>17395710.007697</v>
      </c>
      <c r="K25" s="134" t="n">
        <v>19220391.6480863</v>
      </c>
      <c r="L25" s="135" t="str">
        <f>K25-J25</f>
      </c>
      <c r="M25" s="136" t="n">
        <v>3620776.99869622</v>
      </c>
      <c r="N25" s="137" t="n">
        <v>3750826.45017893</v>
      </c>
      <c r="O25" s="138" t="str">
        <f>N25-M25</f>
      </c>
      <c r="P25" s="139" t="n">
        <v>21016487.0063933</v>
      </c>
      <c r="Q25" s="140" t="n">
        <v>22971218.0982652</v>
      </c>
      <c r="R25" s="141" t="str">
        <f>Q25-P25</f>
      </c>
      <c r="S25" s="142" t="str">
        <f>L25</f>
      </c>
    </row>
    <row r="26">
      <c r="A26" t="s">
        <v>115</v>
      </c>
      <c r="B26" s="32" t="s">
        <v>294</v>
      </c>
      <c r="C26" t="n">
        <v>2049</v>
      </c>
      <c r="D26" s="127" t="n">
        <v>1448477.7742046</v>
      </c>
      <c r="E26" s="128" t="n">
        <v>1581148.70872561</v>
      </c>
      <c r="F26" s="129" t="str">
        <f>E26-D26</f>
      </c>
      <c r="G26" s="130" t="n">
        <v>3030826.74690123</v>
      </c>
      <c r="H26" s="131" t="n">
        <v>3227056.88545618</v>
      </c>
      <c r="I26" s="132" t="str">
        <f>H26-G26</f>
      </c>
      <c r="J26" s="133" t="n">
        <v>17531568.7624189</v>
      </c>
      <c r="K26" s="134" t="n">
        <v>19399647.7304913</v>
      </c>
      <c r="L26" s="135" t="str">
        <f>K26-J26</f>
      </c>
      <c r="M26" s="136" t="n">
        <v>3665792.50850271</v>
      </c>
      <c r="N26" s="137" t="n">
        <v>3799503.95708712</v>
      </c>
      <c r="O26" s="138" t="str">
        <f>N26-M26</f>
      </c>
      <c r="P26" s="139" t="n">
        <v>21197361.2709217</v>
      </c>
      <c r="Q26" s="140" t="n">
        <v>23199151.6875784</v>
      </c>
      <c r="R26" s="141" t="str">
        <f>Q26-P26</f>
      </c>
      <c r="S26" s="142" t="str">
        <f>L26</f>
      </c>
    </row>
    <row r="27">
      <c r="A27" t="s">
        <v>115</v>
      </c>
      <c r="B27" s="32" t="s">
        <v>294</v>
      </c>
      <c r="C27" t="n">
        <v>2050</v>
      </c>
      <c r="D27" s="127" t="n">
        <v>1469127.40425746</v>
      </c>
      <c r="E27" s="128" t="n">
        <v>1604008.46344375</v>
      </c>
      <c r="F27" s="129" t="str">
        <f>E27-D27</f>
      </c>
      <c r="G27" s="130" t="n">
        <v>3063666.07405728</v>
      </c>
      <c r="H27" s="131" t="n">
        <v>3257199.2980493</v>
      </c>
      <c r="I27" s="132" t="str">
        <f>H27-G27</f>
      </c>
      <c r="J27" s="133" t="n">
        <v>17664267.5174325</v>
      </c>
      <c r="K27" s="134" t="n">
        <v>19570013.4156094</v>
      </c>
      <c r="L27" s="135" t="str">
        <f>K27-J27</f>
      </c>
      <c r="M27" s="136" t="n">
        <v>3709687.92775049</v>
      </c>
      <c r="N27" s="137" t="n">
        <v>3846594.37842674</v>
      </c>
      <c r="O27" s="138" t="str">
        <f>N27-M27</f>
      </c>
      <c r="P27" s="139" t="n">
        <v>21373955.4451831</v>
      </c>
      <c r="Q27" s="140" t="n">
        <v>23416607.7940361</v>
      </c>
      <c r="R27" s="141" t="str">
        <f>Q27-P27</f>
      </c>
      <c r="S27" s="142" t="str">
        <f>L27</f>
      </c>
    </row>
  </sheetData>
  <autoFilter ref="A1:S1"/>
  <pageMargins left="0.7" right="0.7" top="0.75" bottom="0.75" header="0.3" footer="0.3"/>
  <pageSetup paperSize="9"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2.71" hidden="0" customWidth="1"/>
    <col min="2" max="2" width="16.71" hidden="0" customWidth="1"/>
    <col min="3" max="3" width="12.71" hidden="0" customWidth="1"/>
    <col min="4" max="4" width="16.71" hidden="0" customWidth="1"/>
    <col min="5" max="5" width="19.71" hidden="0" customWidth="1"/>
    <col min="6" max="6" width="12.71" hidden="0" customWidth="1"/>
    <col min="7" max="7" width="12.71" hidden="0" customWidth="1"/>
    <col min="8" max="8" width="12.71" hidden="0" customWidth="1"/>
    <col min="9" max="9" width="14.71" hidden="0" customWidth="1"/>
    <col min="10" max="10" width="22.71" hidden="0" customWidth="1"/>
    <col min="11" max="11" width="12.71" hidden="0" customWidth="1"/>
    <col min="12" max="12" width="15.71" hidden="0" customWidth="1"/>
    <col min="13" max="13" width="16.71" hidden="0" customWidth="1"/>
    <col min="14" max="14" width="12.71" hidden="0" customWidth="1"/>
    <col min="15" max="15" width="12.71" hidden="0" customWidth="1"/>
    <col min="16" max="16" width="16.71" hidden="0" customWidth="1"/>
    <col min="17" max="17" width="22.71" hidden="0" customWidth="1"/>
    <col min="18" max="18" width="22.71" hidden="0" customWidth="1"/>
    <col min="19" max="19" width="22.71" hidden="0" customWidth="1"/>
    <col min="20" max="20" width="22.71" hidden="0" customWidth="1"/>
    <col min="21" max="21" width="13.71" hidden="0" customWidth="1"/>
    <col min="22" max="22" width="13.71" hidden="0" customWidth="1"/>
    <col min="23" max="23" width="14.71" hidden="0" customWidth="1"/>
    <col min="24" max="24" width="12.71" hidden="0" customWidth="1"/>
    <col min="25" max="25" width="12.71" hidden="0" customWidth="1"/>
    <col min="26" max="26" width="20.71" hidden="0" customWidth="1"/>
    <col min="27" max="27" width="17.71" hidden="0" customWidth="1"/>
    <col min="28" max="28" width="22.71" hidden="0" customWidth="1"/>
  </cols>
  <sheetData>
    <row r="1" ht="28" customHeight="1">
      <c r="A1" s="1" t="s">
        <v>285</v>
      </c>
      <c r="B1" s="1" t="s">
        <v>286</v>
      </c>
      <c r="C1" s="1" t="s">
        <v>42</v>
      </c>
      <c r="D1" s="1" t="s">
        <v>291</v>
      </c>
      <c r="E1" s="1" t="s">
        <v>343</v>
      </c>
      <c r="F1" s="1" t="s">
        <v>344</v>
      </c>
      <c r="G1" s="1" t="s">
        <v>345</v>
      </c>
      <c r="H1" s="1" t="s">
        <v>346</v>
      </c>
      <c r="I1" s="1" t="s">
        <v>347</v>
      </c>
      <c r="J1" s="1" t="s">
        <v>348</v>
      </c>
      <c r="K1" s="1" t="s">
        <v>349</v>
      </c>
      <c r="L1" s="1" t="s">
        <v>350</v>
      </c>
      <c r="M1" s="1" t="s">
        <v>351</v>
      </c>
      <c r="N1" s="1" t="s">
        <v>352</v>
      </c>
      <c r="O1" s="1" t="s">
        <v>353</v>
      </c>
      <c r="P1" s="1" t="s">
        <v>354</v>
      </c>
      <c r="Q1" s="1" t="s">
        <v>355</v>
      </c>
      <c r="R1" s="1" t="s">
        <v>356</v>
      </c>
      <c r="S1" s="1" t="s">
        <v>357</v>
      </c>
      <c r="T1" s="1" t="s">
        <v>358</v>
      </c>
      <c r="U1" s="1" t="s">
        <v>359</v>
      </c>
      <c r="V1" s="1" t="s">
        <v>360</v>
      </c>
      <c r="W1" s="1" t="s">
        <v>361</v>
      </c>
      <c r="X1" s="1" t="s">
        <v>362</v>
      </c>
      <c r="Y1" s="1" t="s">
        <v>363</v>
      </c>
      <c r="Z1" s="1" t="s">
        <v>364</v>
      </c>
      <c r="AA1" s="1" t="s">
        <v>365</v>
      </c>
      <c r="AB1" s="1" t="s">
        <v>366</v>
      </c>
    </row>
    <row r="2">
      <c r="A2" t="s">
        <v>115</v>
      </c>
      <c r="B2" s="32" t="s">
        <v>294</v>
      </c>
      <c r="C2" t="n">
        <v>2025</v>
      </c>
      <c r="D2" s="143" t="n">
        <v>0</v>
      </c>
      <c r="E2" s="144" t="n">
        <v>0</v>
      </c>
      <c r="F2" s="145" t="n">
        <v>13851.4910785419</v>
      </c>
      <c r="G2" s="146" t="n">
        <v>74136.3707949527</v>
      </c>
      <c r="H2" s="147" t="n">
        <v>285721235.5</v>
      </c>
      <c r="I2" s="148" t="n">
        <v>37.51</v>
      </c>
      <c r="J2" s="149" t="str">
        <f>'Calculation_Assumptions'!$B$25*G2*(F2/G2)^'Calculation_Assumptions'!$B$26</f>
      </c>
      <c r="K2" s="150" t="str">
        <f>'Calculation_Assumptions'!$B$27*F2</f>
      </c>
      <c r="L2" s="151" t="str">
        <f>MAX(J2,K2)</f>
      </c>
      <c r="M2" s="152" t="str">
        <f>IF(F2=0,"",L2/F2)</f>
      </c>
      <c r="N2" s="153" t="str">
        <f>'Calculation_Assumptions'!$B$28*F2</f>
      </c>
      <c r="O2" s="154" t="str">
        <f>'Calculation_Assumptions'!$B$29*F2</f>
      </c>
      <c r="P2" s="155" t="str">
        <f>IF(I2=0,"",L2/I2)</f>
      </c>
      <c r="Q2" s="156" t="str">
        <f>L2*D2</f>
      </c>
      <c r="R2" s="157" t="str">
        <f>P2*E2</f>
      </c>
      <c r="S2" s="158" t="str">
        <f>N2*D2</f>
      </c>
      <c r="T2" s="159" t="str">
        <f>O2*D2</f>
      </c>
      <c r="U2" s="160" t="str">
        <f>1/(1+'Calculation_Assumptions'!$B$22)^(C2-'Calculation_Assumptions'!$B$21)</f>
      </c>
      <c r="V2" s="161" t="str">
        <f>Q2*U2</f>
      </c>
      <c r="W2" s="162" t="str">
        <f>R2*U2</f>
      </c>
      <c r="X2" s="163" t="str">
        <f>S2*U2</f>
      </c>
      <c r="Y2" s="164" t="str">
        <f>T2*U2</f>
      </c>
      <c r="Z2" s="165" t="str">
        <f>H2*F2</f>
      </c>
      <c r="AA2" s="166" t="str">
        <f>Z2*U2</f>
      </c>
      <c r="AB2" s="167" t="str">
        <f>IF(Z2=0,"",Q2/Z2)</f>
      </c>
    </row>
    <row r="3">
      <c r="A3" t="s">
        <v>115</v>
      </c>
      <c r="B3" s="32" t="s">
        <v>294</v>
      </c>
      <c r="C3" t="n">
        <v>2026</v>
      </c>
      <c r="D3" s="143" t="n">
        <v>31.257552291838</v>
      </c>
      <c r="E3" s="144" t="n">
        <v>435.89766816022</v>
      </c>
      <c r="F3" s="145" t="n">
        <v>14370.1004216288</v>
      </c>
      <c r="G3" s="146" t="n">
        <v>75186.4097436074</v>
      </c>
      <c r="H3" s="147" t="n">
        <v>287886782.5</v>
      </c>
      <c r="I3" s="148" t="n">
        <v>37.5883</v>
      </c>
      <c r="J3" s="149" t="str">
        <f>'Calculation_Assumptions'!$B$25*G3*(F3/G3)^'Calculation_Assumptions'!$B$26</f>
      </c>
      <c r="K3" s="150" t="str">
        <f>'Calculation_Assumptions'!$B$27*F3</f>
      </c>
      <c r="L3" s="151" t="str">
        <f>MAX(J3,K3)</f>
      </c>
      <c r="M3" s="152" t="str">
        <f>IF(F3=0,"",L3/F3)</f>
      </c>
      <c r="N3" s="153" t="str">
        <f>'Calculation_Assumptions'!$B$28*F3</f>
      </c>
      <c r="O3" s="154" t="str">
        <f>'Calculation_Assumptions'!$B$29*F3</f>
      </c>
      <c r="P3" s="155" t="str">
        <f>IF(I3=0,"",L3/I3)</f>
      </c>
      <c r="Q3" s="156" t="str">
        <f>L3*D3</f>
      </c>
      <c r="R3" s="157" t="str">
        <f>P3*E3</f>
      </c>
      <c r="S3" s="158" t="str">
        <f>N3*D3</f>
      </c>
      <c r="T3" s="159" t="str">
        <f>O3*D3</f>
      </c>
      <c r="U3" s="160" t="str">
        <f>1/(1+'Calculation_Assumptions'!$B$22)^(C3-'Calculation_Assumptions'!$B$21)</f>
      </c>
      <c r="V3" s="161" t="str">
        <f>Q3*U3</f>
      </c>
      <c r="W3" s="162" t="str">
        <f>R3*U3</f>
      </c>
      <c r="X3" s="163" t="str">
        <f>S3*U3</f>
      </c>
      <c r="Y3" s="164" t="str">
        <f>T3*U3</f>
      </c>
      <c r="Z3" s="165" t="str">
        <f>H3*F3</f>
      </c>
      <c r="AA3" s="166" t="str">
        <f>Z3*U3</f>
      </c>
      <c r="AB3" s="167" t="str">
        <f>IF(Z3=0,"",Q3/Z3)</f>
      </c>
    </row>
    <row r="4">
      <c r="A4" t="s">
        <v>115</v>
      </c>
      <c r="B4" s="32" t="s">
        <v>294</v>
      </c>
      <c r="C4" t="n">
        <v>2027</v>
      </c>
      <c r="D4" s="143" t="n">
        <v>419.99894596246</v>
      </c>
      <c r="E4" s="144" t="n">
        <v>5678.07701551068</v>
      </c>
      <c r="F4" s="145" t="n">
        <v>14908.1268548478</v>
      </c>
      <c r="G4" s="146" t="n">
        <v>76251.3210387483</v>
      </c>
      <c r="H4" s="147" t="n">
        <v>289986522</v>
      </c>
      <c r="I4" s="148" t="n">
        <v>37.6736</v>
      </c>
      <c r="J4" s="149" t="str">
        <f>'Calculation_Assumptions'!$B$25*G4*(F4/G4)^'Calculation_Assumptions'!$B$26</f>
      </c>
      <c r="K4" s="150" t="str">
        <f>'Calculation_Assumptions'!$B$27*F4</f>
      </c>
      <c r="L4" s="151" t="str">
        <f>MAX(J4,K4)</f>
      </c>
      <c r="M4" s="152" t="str">
        <f>IF(F4=0,"",L4/F4)</f>
      </c>
      <c r="N4" s="153" t="str">
        <f>'Calculation_Assumptions'!$B$28*F4</f>
      </c>
      <c r="O4" s="154" t="str">
        <f>'Calculation_Assumptions'!$B$29*F4</f>
      </c>
      <c r="P4" s="155" t="str">
        <f>IF(I4=0,"",L4/I4)</f>
      </c>
      <c r="Q4" s="156" t="str">
        <f>L4*D4</f>
      </c>
      <c r="R4" s="157" t="str">
        <f>P4*E4</f>
      </c>
      <c r="S4" s="158" t="str">
        <f>N4*D4</f>
      </c>
      <c r="T4" s="159" t="str">
        <f>O4*D4</f>
      </c>
      <c r="U4" s="160" t="str">
        <f>1/(1+'Calculation_Assumptions'!$B$22)^(C4-'Calculation_Assumptions'!$B$21)</f>
      </c>
      <c r="V4" s="161" t="str">
        <f>Q4*U4</f>
      </c>
      <c r="W4" s="162" t="str">
        <f>R4*U4</f>
      </c>
      <c r="X4" s="163" t="str">
        <f>S4*U4</f>
      </c>
      <c r="Y4" s="164" t="str">
        <f>T4*U4</f>
      </c>
      <c r="Z4" s="165" t="str">
        <f>H4*F4</f>
      </c>
      <c r="AA4" s="166" t="str">
        <f>Z4*U4</f>
      </c>
      <c r="AB4" s="167" t="str">
        <f>IF(Z4=0,"",Q4/Z4)</f>
      </c>
    </row>
    <row r="5">
      <c r="A5" t="s">
        <v>115</v>
      </c>
      <c r="B5" s="32" t="s">
        <v>294</v>
      </c>
      <c r="C5" t="n">
        <v>2028</v>
      </c>
      <c r="D5" s="143" t="n">
        <v>1039.25564087089</v>
      </c>
      <c r="E5" s="144" t="n">
        <v>14371.8001358491</v>
      </c>
      <c r="F5" s="145" t="n">
        <v>15466.2973673947</v>
      </c>
      <c r="G5" s="146" t="n">
        <v>77331.3153265521</v>
      </c>
      <c r="H5" s="147" t="n">
        <v>292016778.5</v>
      </c>
      <c r="I5" s="148" t="n">
        <v>36.834</v>
      </c>
      <c r="J5" s="149" t="str">
        <f>'Calculation_Assumptions'!$B$25*G5*(F5/G5)^'Calculation_Assumptions'!$B$26</f>
      </c>
      <c r="K5" s="150" t="str">
        <f>'Calculation_Assumptions'!$B$27*F5</f>
      </c>
      <c r="L5" s="151" t="str">
        <f>MAX(J5,K5)</f>
      </c>
      <c r="M5" s="152" t="str">
        <f>IF(F5=0,"",L5/F5)</f>
      </c>
      <c r="N5" s="153" t="str">
        <f>'Calculation_Assumptions'!$B$28*F5</f>
      </c>
      <c r="O5" s="154" t="str">
        <f>'Calculation_Assumptions'!$B$29*F5</f>
      </c>
      <c r="P5" s="155" t="str">
        <f>IF(I5=0,"",L5/I5)</f>
      </c>
      <c r="Q5" s="156" t="str">
        <f>L5*D5</f>
      </c>
      <c r="R5" s="157" t="str">
        <f>P5*E5</f>
      </c>
      <c r="S5" s="158" t="str">
        <f>N5*D5</f>
      </c>
      <c r="T5" s="159" t="str">
        <f>O5*D5</f>
      </c>
      <c r="U5" s="160" t="str">
        <f>1/(1+'Calculation_Assumptions'!$B$22)^(C5-'Calculation_Assumptions'!$B$21)</f>
      </c>
      <c r="V5" s="161" t="str">
        <f>Q5*U5</f>
      </c>
      <c r="W5" s="162" t="str">
        <f>R5*U5</f>
      </c>
      <c r="X5" s="163" t="str">
        <f>S5*U5</f>
      </c>
      <c r="Y5" s="164" t="str">
        <f>T5*U5</f>
      </c>
      <c r="Z5" s="165" t="str">
        <f>H5*F5</f>
      </c>
      <c r="AA5" s="166" t="str">
        <f>Z5*U5</f>
      </c>
      <c r="AB5" s="167" t="str">
        <f>IF(Z5=0,"",Q5/Z5)</f>
      </c>
    </row>
    <row r="6">
      <c r="A6" t="s">
        <v>115</v>
      </c>
      <c r="B6" s="32" t="s">
        <v>294</v>
      </c>
      <c r="C6" t="n">
        <v>2029</v>
      </c>
      <c r="D6" s="143" t="n">
        <v>1856.58850533635</v>
      </c>
      <c r="E6" s="144" t="n">
        <v>26052.5551517035</v>
      </c>
      <c r="F6" s="145" t="n">
        <v>16045.3661674401</v>
      </c>
      <c r="G6" s="146" t="n">
        <v>78426.6062367069</v>
      </c>
      <c r="H6" s="147" t="n">
        <v>293978109</v>
      </c>
      <c r="I6" s="148" t="n">
        <v>36.9118</v>
      </c>
      <c r="J6" s="149" t="str">
        <f>'Calculation_Assumptions'!$B$25*G6*(F6/G6)^'Calculation_Assumptions'!$B$26</f>
      </c>
      <c r="K6" s="150" t="str">
        <f>'Calculation_Assumptions'!$B$27*F6</f>
      </c>
      <c r="L6" s="151" t="str">
        <f>MAX(J6,K6)</f>
      </c>
      <c r="M6" s="152" t="str">
        <f>IF(F6=0,"",L6/F6)</f>
      </c>
      <c r="N6" s="153" t="str">
        <f>'Calculation_Assumptions'!$B$28*F6</f>
      </c>
      <c r="O6" s="154" t="str">
        <f>'Calculation_Assumptions'!$B$29*F6</f>
      </c>
      <c r="P6" s="155" t="str">
        <f>IF(I6=0,"",L6/I6)</f>
      </c>
      <c r="Q6" s="156" t="str">
        <f>L6*D6</f>
      </c>
      <c r="R6" s="157" t="str">
        <f>P6*E6</f>
      </c>
      <c r="S6" s="158" t="str">
        <f>N6*D6</f>
      </c>
      <c r="T6" s="159" t="str">
        <f>O6*D6</f>
      </c>
      <c r="U6" s="160" t="str">
        <f>1/(1+'Calculation_Assumptions'!$B$22)^(C6-'Calculation_Assumptions'!$B$21)</f>
      </c>
      <c r="V6" s="161" t="str">
        <f>Q6*U6</f>
      </c>
      <c r="W6" s="162" t="str">
        <f>R6*U6</f>
      </c>
      <c r="X6" s="163" t="str">
        <f>S6*U6</f>
      </c>
      <c r="Y6" s="164" t="str">
        <f>T6*U6</f>
      </c>
      <c r="Z6" s="165" t="str">
        <f>H6*F6</f>
      </c>
      <c r="AA6" s="166" t="str">
        <f>Z6*U6</f>
      </c>
      <c r="AB6" s="167" t="str">
        <f>IF(Z6=0,"",Q6/Z6)</f>
      </c>
    </row>
    <row r="7">
      <c r="A7" t="s">
        <v>115</v>
      </c>
      <c r="B7" s="32" t="s">
        <v>294</v>
      </c>
      <c r="C7" t="n">
        <v>2030</v>
      </c>
      <c r="D7" s="143" t="n">
        <v>2849.90840118453</v>
      </c>
      <c r="E7" s="144" t="n">
        <v>40353.1109019831</v>
      </c>
      <c r="F7" s="145" t="n">
        <v>16646.1157012267</v>
      </c>
      <c r="G7" s="146" t="n">
        <v>79537.4104246691</v>
      </c>
      <c r="H7" s="147" t="n">
        <v>295876648</v>
      </c>
      <c r="I7" s="148" t="n">
        <v>36.9927</v>
      </c>
      <c r="J7" s="149" t="str">
        <f>'Calculation_Assumptions'!$B$25*G7*(F7/G7)^'Calculation_Assumptions'!$B$26</f>
      </c>
      <c r="K7" s="150" t="str">
        <f>'Calculation_Assumptions'!$B$27*F7</f>
      </c>
      <c r="L7" s="151" t="str">
        <f>MAX(J7,K7)</f>
      </c>
      <c r="M7" s="152" t="str">
        <f>IF(F7=0,"",L7/F7)</f>
      </c>
      <c r="N7" s="153" t="str">
        <f>'Calculation_Assumptions'!$B$28*F7</f>
      </c>
      <c r="O7" s="154" t="str">
        <f>'Calculation_Assumptions'!$B$29*F7</f>
      </c>
      <c r="P7" s="155" t="str">
        <f>IF(I7=0,"",L7/I7)</f>
      </c>
      <c r="Q7" s="156" t="str">
        <f>L7*D7</f>
      </c>
      <c r="R7" s="157" t="str">
        <f>P7*E7</f>
      </c>
      <c r="S7" s="158" t="str">
        <f>N7*D7</f>
      </c>
      <c r="T7" s="159" t="str">
        <f>O7*D7</f>
      </c>
      <c r="U7" s="160" t="str">
        <f>1/(1+'Calculation_Assumptions'!$B$22)^(C7-'Calculation_Assumptions'!$B$21)</f>
      </c>
      <c r="V7" s="161" t="str">
        <f>Q7*U7</f>
      </c>
      <c r="W7" s="162" t="str">
        <f>R7*U7</f>
      </c>
      <c r="X7" s="163" t="str">
        <f>S7*U7</f>
      </c>
      <c r="Y7" s="164" t="str">
        <f>T7*U7</f>
      </c>
      <c r="Z7" s="165" t="str">
        <f>H7*F7</f>
      </c>
      <c r="AA7" s="166" t="str">
        <f>Z7*U7</f>
      </c>
      <c r="AB7" s="167" t="str">
        <f>IF(Z7=0,"",Q7/Z7)</f>
      </c>
    </row>
    <row r="8">
      <c r="A8" t="s">
        <v>115</v>
      </c>
      <c r="B8" s="32" t="s">
        <v>294</v>
      </c>
      <c r="C8" t="n">
        <v>2031</v>
      </c>
      <c r="D8" s="143" t="n">
        <v>5381.76470639622</v>
      </c>
      <c r="E8" s="144" t="n">
        <v>74914.2958209401</v>
      </c>
      <c r="F8" s="145" t="n">
        <v>17161.0734660986</v>
      </c>
      <c r="G8" s="146" t="n">
        <v>80420.1567986293</v>
      </c>
      <c r="H8" s="147" t="n">
        <v>297719748</v>
      </c>
      <c r="I8" s="148" t="n">
        <v>37.0895</v>
      </c>
      <c r="J8" s="149" t="str">
        <f>'Calculation_Assumptions'!$B$25*G8*(F8/G8)^'Calculation_Assumptions'!$B$26</f>
      </c>
      <c r="K8" s="150" t="str">
        <f>'Calculation_Assumptions'!$B$27*F8</f>
      </c>
      <c r="L8" s="151" t="str">
        <f>MAX(J8,K8)</f>
      </c>
      <c r="M8" s="152" t="str">
        <f>IF(F8=0,"",L8/F8)</f>
      </c>
      <c r="N8" s="153" t="str">
        <f>'Calculation_Assumptions'!$B$28*F8</f>
      </c>
      <c r="O8" s="154" t="str">
        <f>'Calculation_Assumptions'!$B$29*F8</f>
      </c>
      <c r="P8" s="155" t="str">
        <f>IF(I8=0,"",L8/I8)</f>
      </c>
      <c r="Q8" s="156" t="str">
        <f>L8*D8</f>
      </c>
      <c r="R8" s="157" t="str">
        <f>P8*E8</f>
      </c>
      <c r="S8" s="158" t="str">
        <f>N8*D8</f>
      </c>
      <c r="T8" s="159" t="str">
        <f>O8*D8</f>
      </c>
      <c r="U8" s="160" t="str">
        <f>1/(1+'Calculation_Assumptions'!$B$22)^(C8-'Calculation_Assumptions'!$B$21)</f>
      </c>
      <c r="V8" s="161" t="str">
        <f>Q8*U8</f>
      </c>
      <c r="W8" s="162" t="str">
        <f>R8*U8</f>
      </c>
      <c r="X8" s="163" t="str">
        <f>S8*U8</f>
      </c>
      <c r="Y8" s="164" t="str">
        <f>T8*U8</f>
      </c>
      <c r="Z8" s="165" t="str">
        <f>H8*F8</f>
      </c>
      <c r="AA8" s="166" t="str">
        <f>Z8*U8</f>
      </c>
      <c r="AB8" s="167" t="str">
        <f>IF(Z8=0,"",Q8/Z8)</f>
      </c>
    </row>
    <row r="9">
      <c r="A9" t="s">
        <v>115</v>
      </c>
      <c r="B9" s="32" t="s">
        <v>294</v>
      </c>
      <c r="C9" t="n">
        <v>2032</v>
      </c>
      <c r="D9" s="143" t="n">
        <v>9936.74832483693</v>
      </c>
      <c r="E9" s="144" t="n">
        <v>135250.037305787</v>
      </c>
      <c r="F9" s="145" t="n">
        <v>17691.9617642167</v>
      </c>
      <c r="G9" s="146" t="n">
        <v>81312.7003379309</v>
      </c>
      <c r="H9" s="147" t="n">
        <v>299510661.5</v>
      </c>
      <c r="I9" s="148" t="n">
        <v>37.1904</v>
      </c>
      <c r="J9" s="149" t="str">
        <f>'Calculation_Assumptions'!$B$25*G9*(F9/G9)^'Calculation_Assumptions'!$B$26</f>
      </c>
      <c r="K9" s="150" t="str">
        <f>'Calculation_Assumptions'!$B$27*F9</f>
      </c>
      <c r="L9" s="151" t="str">
        <f>MAX(J9,K9)</f>
      </c>
      <c r="M9" s="152" t="str">
        <f>IF(F9=0,"",L9/F9)</f>
      </c>
      <c r="N9" s="153" t="str">
        <f>'Calculation_Assumptions'!$B$28*F9</f>
      </c>
      <c r="O9" s="154" t="str">
        <f>'Calculation_Assumptions'!$B$29*F9</f>
      </c>
      <c r="P9" s="155" t="str">
        <f>IF(I9=0,"",L9/I9)</f>
      </c>
      <c r="Q9" s="156" t="str">
        <f>L9*D9</f>
      </c>
      <c r="R9" s="157" t="str">
        <f>P9*E9</f>
      </c>
      <c r="S9" s="158" t="str">
        <f>N9*D9</f>
      </c>
      <c r="T9" s="159" t="str">
        <f>O9*D9</f>
      </c>
      <c r="U9" s="160" t="str">
        <f>1/(1+'Calculation_Assumptions'!$B$22)^(C9-'Calculation_Assumptions'!$B$21)</f>
      </c>
      <c r="V9" s="161" t="str">
        <f>Q9*U9</f>
      </c>
      <c r="W9" s="162" t="str">
        <f>R9*U9</f>
      </c>
      <c r="X9" s="163" t="str">
        <f>S9*U9</f>
      </c>
      <c r="Y9" s="164" t="str">
        <f>T9*U9</f>
      </c>
      <c r="Z9" s="165" t="str">
        <f>H9*F9</f>
      </c>
      <c r="AA9" s="166" t="str">
        <f>Z9*U9</f>
      </c>
      <c r="AB9" s="167" t="str">
        <f>IF(Z9=0,"",Q9/Z9)</f>
      </c>
    </row>
    <row r="10">
      <c r="A10" t="s">
        <v>115</v>
      </c>
      <c r="B10" s="32" t="s">
        <v>294</v>
      </c>
      <c r="C10" t="n">
        <v>2033</v>
      </c>
      <c r="D10" s="143" t="n">
        <v>15837.5548900437</v>
      </c>
      <c r="E10" s="144" t="n">
        <v>214315.688342946</v>
      </c>
      <c r="F10" s="145" t="n">
        <v>18239.2734163655</v>
      </c>
      <c r="G10" s="146" t="n">
        <v>82215.1497764654</v>
      </c>
      <c r="H10" s="147" t="n">
        <v>301250984.5</v>
      </c>
      <c r="I10" s="148" t="n">
        <v>37.2975</v>
      </c>
      <c r="J10" s="149" t="str">
        <f>'Calculation_Assumptions'!$B$25*G10*(F10/G10)^'Calculation_Assumptions'!$B$26</f>
      </c>
      <c r="K10" s="150" t="str">
        <f>'Calculation_Assumptions'!$B$27*F10</f>
      </c>
      <c r="L10" s="151" t="str">
        <f>MAX(J10,K10)</f>
      </c>
      <c r="M10" s="152" t="str">
        <f>IF(F10=0,"",L10/F10)</f>
      </c>
      <c r="N10" s="153" t="str">
        <f>'Calculation_Assumptions'!$B$28*F10</f>
      </c>
      <c r="O10" s="154" t="str">
        <f>'Calculation_Assumptions'!$B$29*F10</f>
      </c>
      <c r="P10" s="155" t="str">
        <f>IF(I10=0,"",L10/I10)</f>
      </c>
      <c r="Q10" s="156" t="str">
        <f>L10*D10</f>
      </c>
      <c r="R10" s="157" t="str">
        <f>P10*E10</f>
      </c>
      <c r="S10" s="158" t="str">
        <f>N10*D10</f>
      </c>
      <c r="T10" s="159" t="str">
        <f>O10*D10</f>
      </c>
      <c r="U10" s="160" t="str">
        <f>1/(1+'Calculation_Assumptions'!$B$22)^(C10-'Calculation_Assumptions'!$B$21)</f>
      </c>
      <c r="V10" s="161" t="str">
        <f>Q10*U10</f>
      </c>
      <c r="W10" s="162" t="str">
        <f>R10*U10</f>
      </c>
      <c r="X10" s="163" t="str">
        <f>S10*U10</f>
      </c>
      <c r="Y10" s="164" t="str">
        <f>T10*U10</f>
      </c>
      <c r="Z10" s="165" t="str">
        <f>H10*F10</f>
      </c>
      <c r="AA10" s="166" t="str">
        <f>Z10*U10</f>
      </c>
      <c r="AB10" s="167" t="str">
        <f>IF(Z10=0,"",Q10/Z10)</f>
      </c>
    </row>
    <row r="11">
      <c r="A11" t="s">
        <v>115</v>
      </c>
      <c r="B11" s="32" t="s">
        <v>294</v>
      </c>
      <c r="C11" t="n">
        <v>2034</v>
      </c>
      <c r="D11" s="143" t="n">
        <v>22868.8048418698</v>
      </c>
      <c r="E11" s="144" t="n">
        <v>309669.645824657</v>
      </c>
      <c r="F11" s="145" t="n">
        <v>18803.5164890413</v>
      </c>
      <c r="G11" s="146" t="n">
        <v>83127.6150549084</v>
      </c>
      <c r="H11" s="147" t="n">
        <v>302938573</v>
      </c>
      <c r="I11" s="148" t="n">
        <v>37.4064</v>
      </c>
      <c r="J11" s="149" t="str">
        <f>'Calculation_Assumptions'!$B$25*G11*(F11/G11)^'Calculation_Assumptions'!$B$26</f>
      </c>
      <c r="K11" s="150" t="str">
        <f>'Calculation_Assumptions'!$B$27*F11</f>
      </c>
      <c r="L11" s="151" t="str">
        <f>MAX(J11,K11)</f>
      </c>
      <c r="M11" s="152" t="str">
        <f>IF(F11=0,"",L11/F11)</f>
      </c>
      <c r="N11" s="153" t="str">
        <f>'Calculation_Assumptions'!$B$28*F11</f>
      </c>
      <c r="O11" s="154" t="str">
        <f>'Calculation_Assumptions'!$B$29*F11</f>
      </c>
      <c r="P11" s="155" t="str">
        <f>IF(I11=0,"",L11/I11)</f>
      </c>
      <c r="Q11" s="156" t="str">
        <f>L11*D11</f>
      </c>
      <c r="R11" s="157" t="str">
        <f>P11*E11</f>
      </c>
      <c r="S11" s="158" t="str">
        <f>N11*D11</f>
      </c>
      <c r="T11" s="159" t="str">
        <f>O11*D11</f>
      </c>
      <c r="U11" s="160" t="str">
        <f>1/(1+'Calculation_Assumptions'!$B$22)^(C11-'Calculation_Assumptions'!$B$21)</f>
      </c>
      <c r="V11" s="161" t="str">
        <f>Q11*U11</f>
      </c>
      <c r="W11" s="162" t="str">
        <f>R11*U11</f>
      </c>
      <c r="X11" s="163" t="str">
        <f>S11*U11</f>
      </c>
      <c r="Y11" s="164" t="str">
        <f>T11*U11</f>
      </c>
      <c r="Z11" s="165" t="str">
        <f>H11*F11</f>
      </c>
      <c r="AA11" s="166" t="str">
        <f>Z11*U11</f>
      </c>
      <c r="AB11" s="167" t="str">
        <f>IF(Z11=0,"",Q11/Z11)</f>
      </c>
    </row>
    <row r="12">
      <c r="A12" t="s">
        <v>115</v>
      </c>
      <c r="B12" s="32" t="s">
        <v>294</v>
      </c>
      <c r="C12" t="n">
        <v>2035</v>
      </c>
      <c r="D12" s="143" t="n">
        <v>30883.5843711251</v>
      </c>
      <c r="E12" s="144" t="n">
        <v>419050.999978684</v>
      </c>
      <c r="F12" s="145" t="n">
        <v>19385.2147660882</v>
      </c>
      <c r="G12" s="146" t="n">
        <v>84050.2073341125</v>
      </c>
      <c r="H12" s="147" t="n">
        <v>304566622</v>
      </c>
      <c r="I12" s="148" t="n">
        <v>37.5179</v>
      </c>
      <c r="J12" s="149" t="str">
        <f>'Calculation_Assumptions'!$B$25*G12*(F12/G12)^'Calculation_Assumptions'!$B$26</f>
      </c>
      <c r="K12" s="150" t="str">
        <f>'Calculation_Assumptions'!$B$27*F12</f>
      </c>
      <c r="L12" s="151" t="str">
        <f>MAX(J12,K12)</f>
      </c>
      <c r="M12" s="152" t="str">
        <f>IF(F12=0,"",L12/F12)</f>
      </c>
      <c r="N12" s="153" t="str">
        <f>'Calculation_Assumptions'!$B$28*F12</f>
      </c>
      <c r="O12" s="154" t="str">
        <f>'Calculation_Assumptions'!$B$29*F12</f>
      </c>
      <c r="P12" s="155" t="str">
        <f>IF(I12=0,"",L12/I12)</f>
      </c>
      <c r="Q12" s="156" t="str">
        <f>L12*D12</f>
      </c>
      <c r="R12" s="157" t="str">
        <f>P12*E12</f>
      </c>
      <c r="S12" s="158" t="str">
        <f>N12*D12</f>
      </c>
      <c r="T12" s="159" t="str">
        <f>O12*D12</f>
      </c>
      <c r="U12" s="160" t="str">
        <f>1/(1+'Calculation_Assumptions'!$B$22)^(C12-'Calculation_Assumptions'!$B$21)</f>
      </c>
      <c r="V12" s="161" t="str">
        <f>Q12*U12</f>
      </c>
      <c r="W12" s="162" t="str">
        <f>R12*U12</f>
      </c>
      <c r="X12" s="163" t="str">
        <f>S12*U12</f>
      </c>
      <c r="Y12" s="164" t="str">
        <f>T12*U12</f>
      </c>
      <c r="Z12" s="165" t="str">
        <f>H12*F12</f>
      </c>
      <c r="AA12" s="166" t="str">
        <f>Z12*U12</f>
      </c>
      <c r="AB12" s="167" t="str">
        <f>IF(Z12=0,"",Q12/Z12)</f>
      </c>
    </row>
    <row r="13">
      <c r="A13" t="s">
        <v>115</v>
      </c>
      <c r="B13" s="32" t="s">
        <v>294</v>
      </c>
      <c r="C13" t="n">
        <v>2036</v>
      </c>
      <c r="D13" s="143" t="n">
        <v>39834.4615380011</v>
      </c>
      <c r="E13" s="144" t="n">
        <v>541575.015027308</v>
      </c>
      <c r="F13" s="145" t="n">
        <v>19931.358148438</v>
      </c>
      <c r="G13" s="146" t="n">
        <v>84847.8568068913</v>
      </c>
      <c r="H13" s="147" t="n">
        <v>306135098</v>
      </c>
      <c r="I13" s="148" t="n">
        <v>37.6267</v>
      </c>
      <c r="J13" s="149" t="str">
        <f>'Calculation_Assumptions'!$B$25*G13*(F13/G13)^'Calculation_Assumptions'!$B$26</f>
      </c>
      <c r="K13" s="150" t="str">
        <f>'Calculation_Assumptions'!$B$27*F13</f>
      </c>
      <c r="L13" s="151" t="str">
        <f>MAX(J13,K13)</f>
      </c>
      <c r="M13" s="152" t="str">
        <f>IF(F13=0,"",L13/F13)</f>
      </c>
      <c r="N13" s="153" t="str">
        <f>'Calculation_Assumptions'!$B$28*F13</f>
      </c>
      <c r="O13" s="154" t="str">
        <f>'Calculation_Assumptions'!$B$29*F13</f>
      </c>
      <c r="P13" s="155" t="str">
        <f>IF(I13=0,"",L13/I13)</f>
      </c>
      <c r="Q13" s="156" t="str">
        <f>L13*D13</f>
      </c>
      <c r="R13" s="157" t="str">
        <f>P13*E13</f>
      </c>
      <c r="S13" s="158" t="str">
        <f>N13*D13</f>
      </c>
      <c r="T13" s="159" t="str">
        <f>O13*D13</f>
      </c>
      <c r="U13" s="160" t="str">
        <f>1/(1+'Calculation_Assumptions'!$B$22)^(C13-'Calculation_Assumptions'!$B$21)</f>
      </c>
      <c r="V13" s="161" t="str">
        <f>Q13*U13</f>
      </c>
      <c r="W13" s="162" t="str">
        <f>R13*U13</f>
      </c>
      <c r="X13" s="163" t="str">
        <f>S13*U13</f>
      </c>
      <c r="Y13" s="164" t="str">
        <f>T13*U13</f>
      </c>
      <c r="Z13" s="165" t="str">
        <f>H13*F13</f>
      </c>
      <c r="AA13" s="166" t="str">
        <f>Z13*U13</f>
      </c>
      <c r="AB13" s="167" t="str">
        <f>IF(Z13=0,"",Q13/Z13)</f>
      </c>
    </row>
    <row r="14">
      <c r="A14" t="s">
        <v>115</v>
      </c>
      <c r="B14" s="32" t="s">
        <v>294</v>
      </c>
      <c r="C14" t="n">
        <v>2037</v>
      </c>
      <c r="D14" s="143" t="n">
        <v>49551.4041395011</v>
      </c>
      <c r="E14" s="144" t="n">
        <v>674691.649249037</v>
      </c>
      <c r="F14" s="145" t="n">
        <v>20492.8881332929</v>
      </c>
      <c r="G14" s="146" t="n">
        <v>85653.076096588</v>
      </c>
      <c r="H14" s="147" t="n">
        <v>307646417.5</v>
      </c>
      <c r="I14" s="148" t="n">
        <v>37.7369</v>
      </c>
      <c r="J14" s="149" t="str">
        <f>'Calculation_Assumptions'!$B$25*G14*(F14/G14)^'Calculation_Assumptions'!$B$26</f>
      </c>
      <c r="K14" s="150" t="str">
        <f>'Calculation_Assumptions'!$B$27*F14</f>
      </c>
      <c r="L14" s="151" t="str">
        <f>MAX(J14,K14)</f>
      </c>
      <c r="M14" s="152" t="str">
        <f>IF(F14=0,"",L14/F14)</f>
      </c>
      <c r="N14" s="153" t="str">
        <f>'Calculation_Assumptions'!$B$28*F14</f>
      </c>
      <c r="O14" s="154" t="str">
        <f>'Calculation_Assumptions'!$B$29*F14</f>
      </c>
      <c r="P14" s="155" t="str">
        <f>IF(I14=0,"",L14/I14)</f>
      </c>
      <c r="Q14" s="156" t="str">
        <f>L14*D14</f>
      </c>
      <c r="R14" s="157" t="str">
        <f>P14*E14</f>
      </c>
      <c r="S14" s="158" t="str">
        <f>N14*D14</f>
      </c>
      <c r="T14" s="159" t="str">
        <f>O14*D14</f>
      </c>
      <c r="U14" s="160" t="str">
        <f>1/(1+'Calculation_Assumptions'!$B$22)^(C14-'Calculation_Assumptions'!$B$21)</f>
      </c>
      <c r="V14" s="161" t="str">
        <f>Q14*U14</f>
      </c>
      <c r="W14" s="162" t="str">
        <f>R14*U14</f>
      </c>
      <c r="X14" s="163" t="str">
        <f>S14*U14</f>
      </c>
      <c r="Y14" s="164" t="str">
        <f>T14*U14</f>
      </c>
      <c r="Z14" s="165" t="str">
        <f>H14*F14</f>
      </c>
      <c r="AA14" s="166" t="str">
        <f>Z14*U14</f>
      </c>
      <c r="AB14" s="167" t="str">
        <f>IF(Z14=0,"",Q14/Z14)</f>
      </c>
    </row>
    <row r="15">
      <c r="A15" t="s">
        <v>115</v>
      </c>
      <c r="B15" s="32" t="s">
        <v>294</v>
      </c>
      <c r="C15" t="n">
        <v>2038</v>
      </c>
      <c r="D15" s="143" t="n">
        <v>59951.6266556297</v>
      </c>
      <c r="E15" s="144" t="n">
        <v>817392.104317824</v>
      </c>
      <c r="F15" s="145" t="n">
        <v>21070.2382103635</v>
      </c>
      <c r="G15" s="146" t="n">
        <v>86465.9370419363</v>
      </c>
      <c r="H15" s="147" t="n">
        <v>309096448</v>
      </c>
      <c r="I15" s="148" t="n">
        <v>37.8496</v>
      </c>
      <c r="J15" s="149" t="str">
        <f>'Calculation_Assumptions'!$B$25*G15*(F15/G15)^'Calculation_Assumptions'!$B$26</f>
      </c>
      <c r="K15" s="150" t="str">
        <f>'Calculation_Assumptions'!$B$27*F15</f>
      </c>
      <c r="L15" s="151" t="str">
        <f>MAX(J15,K15)</f>
      </c>
      <c r="M15" s="152" t="str">
        <f>IF(F15=0,"",L15/F15)</f>
      </c>
      <c r="N15" s="153" t="str">
        <f>'Calculation_Assumptions'!$B$28*F15</f>
      </c>
      <c r="O15" s="154" t="str">
        <f>'Calculation_Assumptions'!$B$29*F15</f>
      </c>
      <c r="P15" s="155" t="str">
        <f>IF(I15=0,"",L15/I15)</f>
      </c>
      <c r="Q15" s="156" t="str">
        <f>L15*D15</f>
      </c>
      <c r="R15" s="157" t="str">
        <f>P15*E15</f>
      </c>
      <c r="S15" s="158" t="str">
        <f>N15*D15</f>
      </c>
      <c r="T15" s="159" t="str">
        <f>O15*D15</f>
      </c>
      <c r="U15" s="160" t="str">
        <f>1/(1+'Calculation_Assumptions'!$B$22)^(C15-'Calculation_Assumptions'!$B$21)</f>
      </c>
      <c r="V15" s="161" t="str">
        <f>Q15*U15</f>
      </c>
      <c r="W15" s="162" t="str">
        <f>R15*U15</f>
      </c>
      <c r="X15" s="163" t="str">
        <f>S15*U15</f>
      </c>
      <c r="Y15" s="164" t="str">
        <f>T15*U15</f>
      </c>
      <c r="Z15" s="165" t="str">
        <f>H15*F15</f>
      </c>
      <c r="AA15" s="166" t="str">
        <f>Z15*U15</f>
      </c>
      <c r="AB15" s="167" t="str">
        <f>IF(Z15=0,"",Q15/Z15)</f>
      </c>
    </row>
    <row r="16">
      <c r="A16" t="s">
        <v>115</v>
      </c>
      <c r="B16" s="32" t="s">
        <v>294</v>
      </c>
      <c r="C16" t="n">
        <v>2039</v>
      </c>
      <c r="D16" s="143" t="n">
        <v>71050.6878270598</v>
      </c>
      <c r="E16" s="144" t="n">
        <v>969602.815402488</v>
      </c>
      <c r="F16" s="145" t="n">
        <v>21663.8540821491</v>
      </c>
      <c r="G16" s="146" t="n">
        <v>87286.5121634309</v>
      </c>
      <c r="H16" s="147" t="n">
        <v>310481120</v>
      </c>
      <c r="I16" s="148" t="n">
        <v>37.9582</v>
      </c>
      <c r="J16" s="149" t="str">
        <f>'Calculation_Assumptions'!$B$25*G16*(F16/G16)^'Calculation_Assumptions'!$B$26</f>
      </c>
      <c r="K16" s="150" t="str">
        <f>'Calculation_Assumptions'!$B$27*F16</f>
      </c>
      <c r="L16" s="151" t="str">
        <f>MAX(J16,K16)</f>
      </c>
      <c r="M16" s="152" t="str">
        <f>IF(F16=0,"",L16/F16)</f>
      </c>
      <c r="N16" s="153" t="str">
        <f>'Calculation_Assumptions'!$B$28*F16</f>
      </c>
      <c r="O16" s="154" t="str">
        <f>'Calculation_Assumptions'!$B$29*F16</f>
      </c>
      <c r="P16" s="155" t="str">
        <f>IF(I16=0,"",L16/I16)</f>
      </c>
      <c r="Q16" s="156" t="str">
        <f>L16*D16</f>
      </c>
      <c r="R16" s="157" t="str">
        <f>P16*E16</f>
      </c>
      <c r="S16" s="158" t="str">
        <f>N16*D16</f>
      </c>
      <c r="T16" s="159" t="str">
        <f>O16*D16</f>
      </c>
      <c r="U16" s="160" t="str">
        <f>1/(1+'Calculation_Assumptions'!$B$22)^(C16-'Calculation_Assumptions'!$B$21)</f>
      </c>
      <c r="V16" s="161" t="str">
        <f>Q16*U16</f>
      </c>
      <c r="W16" s="162" t="str">
        <f>R16*U16</f>
      </c>
      <c r="X16" s="163" t="str">
        <f>S16*U16</f>
      </c>
      <c r="Y16" s="164" t="str">
        <f>T16*U16</f>
      </c>
      <c r="Z16" s="165" t="str">
        <f>H16*F16</f>
      </c>
      <c r="AA16" s="166" t="str">
        <f>Z16*U16</f>
      </c>
      <c r="AB16" s="167" t="str">
        <f>IF(Z16=0,"",Q16/Z16)</f>
      </c>
    </row>
    <row r="17">
      <c r="A17" t="s">
        <v>115</v>
      </c>
      <c r="B17" s="32" t="s">
        <v>294</v>
      </c>
      <c r="C17" t="n">
        <v>2040</v>
      </c>
      <c r="D17" s="143" t="n">
        <v>82706.9463622735</v>
      </c>
      <c r="E17" s="144" t="n">
        <v>1129612.47862753</v>
      </c>
      <c r="F17" s="145" t="n">
        <v>22274.1940080113</v>
      </c>
      <c r="G17" s="146" t="n">
        <v>88114.8746697968</v>
      </c>
      <c r="H17" s="147" t="n">
        <v>311797395.5</v>
      </c>
      <c r="I17" s="148" t="n">
        <v>38.0715</v>
      </c>
      <c r="J17" s="149" t="str">
        <f>'Calculation_Assumptions'!$B$25*G17*(F17/G17)^'Calculation_Assumptions'!$B$26</f>
      </c>
      <c r="K17" s="150" t="str">
        <f>'Calculation_Assumptions'!$B$27*F17</f>
      </c>
      <c r="L17" s="151" t="str">
        <f>MAX(J17,K17)</f>
      </c>
      <c r="M17" s="152" t="str">
        <f>IF(F17=0,"",L17/F17)</f>
      </c>
      <c r="N17" s="153" t="str">
        <f>'Calculation_Assumptions'!$B$28*F17</f>
      </c>
      <c r="O17" s="154" t="str">
        <f>'Calculation_Assumptions'!$B$29*F17</f>
      </c>
      <c r="P17" s="155" t="str">
        <f>IF(I17=0,"",L17/I17)</f>
      </c>
      <c r="Q17" s="156" t="str">
        <f>L17*D17</f>
      </c>
      <c r="R17" s="157" t="str">
        <f>P17*E17</f>
      </c>
      <c r="S17" s="158" t="str">
        <f>N17*D17</f>
      </c>
      <c r="T17" s="159" t="str">
        <f>O17*D17</f>
      </c>
      <c r="U17" s="160" t="str">
        <f>1/(1+'Calculation_Assumptions'!$B$22)^(C17-'Calculation_Assumptions'!$B$21)</f>
      </c>
      <c r="V17" s="161" t="str">
        <f>Q17*U17</f>
      </c>
      <c r="W17" s="162" t="str">
        <f>R17*U17</f>
      </c>
      <c r="X17" s="163" t="str">
        <f>S17*U17</f>
      </c>
      <c r="Y17" s="164" t="str">
        <f>T17*U17</f>
      </c>
      <c r="Z17" s="165" t="str">
        <f>H17*F17</f>
      </c>
      <c r="AA17" s="166" t="str">
        <f>Z17*U17</f>
      </c>
      <c r="AB17" s="167" t="str">
        <f>IF(Z17=0,"",Q17/Z17)</f>
      </c>
    </row>
    <row r="18">
      <c r="A18" t="s">
        <v>115</v>
      </c>
      <c r="B18" s="32" t="s">
        <v>294</v>
      </c>
      <c r="C18" t="n">
        <v>2041</v>
      </c>
      <c r="D18" s="143" t="n">
        <v>93023.9302954205</v>
      </c>
      <c r="E18" s="144" t="n">
        <v>1274290.35386797</v>
      </c>
      <c r="F18" s="145" t="n">
        <v>22835.7817990268</v>
      </c>
      <c r="G18" s="146" t="n">
        <v>88881.5613597912</v>
      </c>
      <c r="H18" s="147" t="n">
        <v>313041661</v>
      </c>
      <c r="I18" s="148" t="n">
        <v>37.2583</v>
      </c>
      <c r="J18" s="149" t="str">
        <f>'Calculation_Assumptions'!$B$25*G18*(F18/G18)^'Calculation_Assumptions'!$B$26</f>
      </c>
      <c r="K18" s="150" t="str">
        <f>'Calculation_Assumptions'!$B$27*F18</f>
      </c>
      <c r="L18" s="151" t="str">
        <f>MAX(J18,K18)</f>
      </c>
      <c r="M18" s="152" t="str">
        <f>IF(F18=0,"",L18/F18)</f>
      </c>
      <c r="N18" s="153" t="str">
        <f>'Calculation_Assumptions'!$B$28*F18</f>
      </c>
      <c r="O18" s="154" t="str">
        <f>'Calculation_Assumptions'!$B$29*F18</f>
      </c>
      <c r="P18" s="155" t="str">
        <f>IF(I18=0,"",L18/I18)</f>
      </c>
      <c r="Q18" s="156" t="str">
        <f>L18*D18</f>
      </c>
      <c r="R18" s="157" t="str">
        <f>P18*E18</f>
      </c>
      <c r="S18" s="158" t="str">
        <f>N18*D18</f>
      </c>
      <c r="T18" s="159" t="str">
        <f>O18*D18</f>
      </c>
      <c r="U18" s="160" t="str">
        <f>1/(1+'Calculation_Assumptions'!$B$22)^(C18-'Calculation_Assumptions'!$B$21)</f>
      </c>
      <c r="V18" s="161" t="str">
        <f>Q18*U18</f>
      </c>
      <c r="W18" s="162" t="str">
        <f>R18*U18</f>
      </c>
      <c r="X18" s="163" t="str">
        <f>S18*U18</f>
      </c>
      <c r="Y18" s="164" t="str">
        <f>T18*U18</f>
      </c>
      <c r="Z18" s="165" t="str">
        <f>H18*F18</f>
      </c>
      <c r="AA18" s="166" t="str">
        <f>Z18*U18</f>
      </c>
      <c r="AB18" s="167" t="str">
        <f>IF(Z18=0,"",Q18/Z18)</f>
      </c>
    </row>
    <row r="19">
      <c r="A19" t="s">
        <v>115</v>
      </c>
      <c r="B19" s="32" t="s">
        <v>294</v>
      </c>
      <c r="C19" t="n">
        <v>2042</v>
      </c>
      <c r="D19" s="143" t="n">
        <v>101174.934528697</v>
      </c>
      <c r="E19" s="144" t="n">
        <v>1392165.02422734</v>
      </c>
      <c r="F19" s="145" t="n">
        <v>23411.5286140188</v>
      </c>
      <c r="G19" s="146" t="n">
        <v>89654.918983414</v>
      </c>
      <c r="H19" s="147" t="n">
        <v>314211282.5</v>
      </c>
      <c r="I19" s="148" t="n">
        <v>37.3732</v>
      </c>
      <c r="J19" s="149" t="str">
        <f>'Calculation_Assumptions'!$B$25*G19*(F19/G19)^'Calculation_Assumptions'!$B$26</f>
      </c>
      <c r="K19" s="150" t="str">
        <f>'Calculation_Assumptions'!$B$27*F19</f>
      </c>
      <c r="L19" s="151" t="str">
        <f>MAX(J19,K19)</f>
      </c>
      <c r="M19" s="152" t="str">
        <f>IF(F19=0,"",L19/F19)</f>
      </c>
      <c r="N19" s="153" t="str">
        <f>'Calculation_Assumptions'!$B$28*F19</f>
      </c>
      <c r="O19" s="154" t="str">
        <f>'Calculation_Assumptions'!$B$29*F19</f>
      </c>
      <c r="P19" s="155" t="str">
        <f>IF(I19=0,"",L19/I19)</f>
      </c>
      <c r="Q19" s="156" t="str">
        <f>L19*D19</f>
      </c>
      <c r="R19" s="157" t="str">
        <f>P19*E19</f>
      </c>
      <c r="S19" s="158" t="str">
        <f>N19*D19</f>
      </c>
      <c r="T19" s="159" t="str">
        <f>O19*D19</f>
      </c>
      <c r="U19" s="160" t="str">
        <f>1/(1+'Calculation_Assumptions'!$B$22)^(C19-'Calculation_Assumptions'!$B$21)</f>
      </c>
      <c r="V19" s="161" t="str">
        <f>Q19*U19</f>
      </c>
      <c r="W19" s="162" t="str">
        <f>R19*U19</f>
      </c>
      <c r="X19" s="163" t="str">
        <f>S19*U19</f>
      </c>
      <c r="Y19" s="164" t="str">
        <f>T19*U19</f>
      </c>
      <c r="Z19" s="165" t="str">
        <f>H19*F19</f>
      </c>
      <c r="AA19" s="166" t="str">
        <f>Z19*U19</f>
      </c>
      <c r="AB19" s="167" t="str">
        <f>IF(Z19=0,"",Q19/Z19)</f>
      </c>
    </row>
    <row r="20">
      <c r="A20" t="s">
        <v>115</v>
      </c>
      <c r="B20" s="32" t="s">
        <v>294</v>
      </c>
      <c r="C20" t="n">
        <v>2043</v>
      </c>
      <c r="D20" s="143" t="n">
        <v>108001.416421016</v>
      </c>
      <c r="E20" s="144" t="n">
        <v>1492086.05679725</v>
      </c>
      <c r="F20" s="145" t="n">
        <v>24001.7914371726</v>
      </c>
      <c r="G20" s="146" t="n">
        <v>90435.0055843959</v>
      </c>
      <c r="H20" s="147" t="n">
        <v>315304312</v>
      </c>
      <c r="I20" s="148" t="n">
        <v>37.4911</v>
      </c>
      <c r="J20" s="149" t="str">
        <f>'Calculation_Assumptions'!$B$25*G20*(F20/G20)^'Calculation_Assumptions'!$B$26</f>
      </c>
      <c r="K20" s="150" t="str">
        <f>'Calculation_Assumptions'!$B$27*F20</f>
      </c>
      <c r="L20" s="151" t="str">
        <f>MAX(J20,K20)</f>
      </c>
      <c r="M20" s="152" t="str">
        <f>IF(F20=0,"",L20/F20)</f>
      </c>
      <c r="N20" s="153" t="str">
        <f>'Calculation_Assumptions'!$B$28*F20</f>
      </c>
      <c r="O20" s="154" t="str">
        <f>'Calculation_Assumptions'!$B$29*F20</f>
      </c>
      <c r="P20" s="155" t="str">
        <f>IF(I20=0,"",L20/I20)</f>
      </c>
      <c r="Q20" s="156" t="str">
        <f>L20*D20</f>
      </c>
      <c r="R20" s="157" t="str">
        <f>P20*E20</f>
      </c>
      <c r="S20" s="158" t="str">
        <f>N20*D20</f>
      </c>
      <c r="T20" s="159" t="str">
        <f>O20*D20</f>
      </c>
      <c r="U20" s="160" t="str">
        <f>1/(1+'Calculation_Assumptions'!$B$22)^(C20-'Calculation_Assumptions'!$B$21)</f>
      </c>
      <c r="V20" s="161" t="str">
        <f>Q20*U20</f>
      </c>
      <c r="W20" s="162" t="str">
        <f>R20*U20</f>
      </c>
      <c r="X20" s="163" t="str">
        <f>S20*U20</f>
      </c>
      <c r="Y20" s="164" t="str">
        <f>T20*U20</f>
      </c>
      <c r="Z20" s="165" t="str">
        <f>H20*F20</f>
      </c>
      <c r="AA20" s="166" t="str">
        <f>Z20*U20</f>
      </c>
      <c r="AB20" s="167" t="str">
        <f>IF(Z20=0,"",Q20/Z20)</f>
      </c>
    </row>
    <row r="21">
      <c r="A21" t="s">
        <v>115</v>
      </c>
      <c r="B21" s="32" t="s">
        <v>294</v>
      </c>
      <c r="C21" t="n">
        <v>2044</v>
      </c>
      <c r="D21" s="143" t="n">
        <v>113848.347611744</v>
      </c>
      <c r="E21" s="144" t="n">
        <v>1578461.17153309</v>
      </c>
      <c r="F21" s="145" t="n">
        <v>24606.9362531317</v>
      </c>
      <c r="G21" s="146" t="n">
        <v>91221.8797115048</v>
      </c>
      <c r="H21" s="147" t="n">
        <v>316318415.5</v>
      </c>
      <c r="I21" s="148" t="n">
        <v>37.6099</v>
      </c>
      <c r="J21" s="149" t="str">
        <f>'Calculation_Assumptions'!$B$25*G21*(F21/G21)^'Calculation_Assumptions'!$B$26</f>
      </c>
      <c r="K21" s="150" t="str">
        <f>'Calculation_Assumptions'!$B$27*F21</f>
      </c>
      <c r="L21" s="151" t="str">
        <f>MAX(J21,K21)</f>
      </c>
      <c r="M21" s="152" t="str">
        <f>IF(F21=0,"",L21/F21)</f>
      </c>
      <c r="N21" s="153" t="str">
        <f>'Calculation_Assumptions'!$B$28*F21</f>
      </c>
      <c r="O21" s="154" t="str">
        <f>'Calculation_Assumptions'!$B$29*F21</f>
      </c>
      <c r="P21" s="155" t="str">
        <f>IF(I21=0,"",L21/I21)</f>
      </c>
      <c r="Q21" s="156" t="str">
        <f>L21*D21</f>
      </c>
      <c r="R21" s="157" t="str">
        <f>P21*E21</f>
      </c>
      <c r="S21" s="158" t="str">
        <f>N21*D21</f>
      </c>
      <c r="T21" s="159" t="str">
        <f>O21*D21</f>
      </c>
      <c r="U21" s="160" t="str">
        <f>1/(1+'Calculation_Assumptions'!$B$22)^(C21-'Calculation_Assumptions'!$B$21)</f>
      </c>
      <c r="V21" s="161" t="str">
        <f>Q21*U21</f>
      </c>
      <c r="W21" s="162" t="str">
        <f>R21*U21</f>
      </c>
      <c r="X21" s="163" t="str">
        <f>S21*U21</f>
      </c>
      <c r="Y21" s="164" t="str">
        <f>T21*U21</f>
      </c>
      <c r="Z21" s="165" t="str">
        <f>H21*F21</f>
      </c>
      <c r="AA21" s="166" t="str">
        <f>Z21*U21</f>
      </c>
      <c r="AB21" s="167" t="str">
        <f>IF(Z21=0,"",Q21/Z21)</f>
      </c>
    </row>
    <row r="22">
      <c r="A22" t="s">
        <v>115</v>
      </c>
      <c r="B22" s="32" t="s">
        <v>294</v>
      </c>
      <c r="C22" t="n">
        <v>2045</v>
      </c>
      <c r="D22" s="143" t="n">
        <v>118896.485121094</v>
      </c>
      <c r="E22" s="144" t="n">
        <v>1653504.95420608</v>
      </c>
      <c r="F22" s="145" t="n">
        <v>25227.3382739225</v>
      </c>
      <c r="G22" s="146" t="n">
        <v>92015.6004229417</v>
      </c>
      <c r="H22" s="147" t="n">
        <v>317249613</v>
      </c>
      <c r="I22" s="148" t="n">
        <v>37.7245</v>
      </c>
      <c r="J22" s="149" t="str">
        <f>'Calculation_Assumptions'!$B$25*G22*(F22/G22)^'Calculation_Assumptions'!$B$26</f>
      </c>
      <c r="K22" s="150" t="str">
        <f>'Calculation_Assumptions'!$B$27*F22</f>
      </c>
      <c r="L22" s="151" t="str">
        <f>MAX(J22,K22)</f>
      </c>
      <c r="M22" s="152" t="str">
        <f>IF(F22=0,"",L22/F22)</f>
      </c>
      <c r="N22" s="153" t="str">
        <f>'Calculation_Assumptions'!$B$28*F22</f>
      </c>
      <c r="O22" s="154" t="str">
        <f>'Calculation_Assumptions'!$B$29*F22</f>
      </c>
      <c r="P22" s="155" t="str">
        <f>IF(I22=0,"",L22/I22)</f>
      </c>
      <c r="Q22" s="156" t="str">
        <f>L22*D22</f>
      </c>
      <c r="R22" s="157" t="str">
        <f>P22*E22</f>
      </c>
      <c r="S22" s="158" t="str">
        <f>N22*D22</f>
      </c>
      <c r="T22" s="159" t="str">
        <f>O22*D22</f>
      </c>
      <c r="U22" s="160" t="str">
        <f>1/(1+'Calculation_Assumptions'!$B$22)^(C22-'Calculation_Assumptions'!$B$21)</f>
      </c>
      <c r="V22" s="161" t="str">
        <f>Q22*U22</f>
      </c>
      <c r="W22" s="162" t="str">
        <f>R22*U22</f>
      </c>
      <c r="X22" s="163" t="str">
        <f>S22*U22</f>
      </c>
      <c r="Y22" s="164" t="str">
        <f>T22*U22</f>
      </c>
      <c r="Z22" s="165" t="str">
        <f>H22*F22</f>
      </c>
      <c r="AA22" s="166" t="str">
        <f>Z22*U22</f>
      </c>
      <c r="AB22" s="167" t="str">
        <f>IF(Z22=0,"",Q22/Z22)</f>
      </c>
    </row>
    <row r="23">
      <c r="A23" t="s">
        <v>115</v>
      </c>
      <c r="B23" s="32" t="s">
        <v>294</v>
      </c>
      <c r="C23" t="n">
        <v>2046</v>
      </c>
      <c r="D23" s="143" t="n">
        <v>123216.952188942</v>
      </c>
      <c r="E23" s="144" t="n">
        <v>1718283.61214131</v>
      </c>
      <c r="F23" s="145" t="n">
        <v>25797.7023007031</v>
      </c>
      <c r="G23" s="146" t="n">
        <v>92766.6954417819</v>
      </c>
      <c r="H23" s="147" t="n">
        <v>318096573.5</v>
      </c>
      <c r="I23" s="148" t="n">
        <v>37.8362</v>
      </c>
      <c r="J23" s="149" t="str">
        <f>'Calculation_Assumptions'!$B$25*G23*(F23/G23)^'Calculation_Assumptions'!$B$26</f>
      </c>
      <c r="K23" s="150" t="str">
        <f>'Calculation_Assumptions'!$B$27*F23</f>
      </c>
      <c r="L23" s="151" t="str">
        <f>MAX(J23,K23)</f>
      </c>
      <c r="M23" s="152" t="str">
        <f>IF(F23=0,"",L23/F23)</f>
      </c>
      <c r="N23" s="153" t="str">
        <f>'Calculation_Assumptions'!$B$28*F23</f>
      </c>
      <c r="O23" s="154" t="str">
        <f>'Calculation_Assumptions'!$B$29*F23</f>
      </c>
      <c r="P23" s="155" t="str">
        <f>IF(I23=0,"",L23/I23)</f>
      </c>
      <c r="Q23" s="156" t="str">
        <f>L23*D23</f>
      </c>
      <c r="R23" s="157" t="str">
        <f>P23*E23</f>
      </c>
      <c r="S23" s="158" t="str">
        <f>N23*D23</f>
      </c>
      <c r="T23" s="159" t="str">
        <f>O23*D23</f>
      </c>
      <c r="U23" s="160" t="str">
        <f>1/(1+'Calculation_Assumptions'!$B$22)^(C23-'Calculation_Assumptions'!$B$21)</f>
      </c>
      <c r="V23" s="161" t="str">
        <f>Q23*U23</f>
      </c>
      <c r="W23" s="162" t="str">
        <f>R23*U23</f>
      </c>
      <c r="X23" s="163" t="str">
        <f>S23*U23</f>
      </c>
      <c r="Y23" s="164" t="str">
        <f>T23*U23</f>
      </c>
      <c r="Z23" s="165" t="str">
        <f>H23*F23</f>
      </c>
      <c r="AA23" s="166" t="str">
        <f>Z23*U23</f>
      </c>
      <c r="AB23" s="167" t="str">
        <f>IF(Z23=0,"",Q23/Z23)</f>
      </c>
    </row>
    <row r="24">
      <c r="A24" t="s">
        <v>115</v>
      </c>
      <c r="B24" s="32" t="s">
        <v>294</v>
      </c>
      <c r="C24" t="n">
        <v>2047</v>
      </c>
      <c r="D24" s="143" t="n">
        <v>126920.470059059</v>
      </c>
      <c r="E24" s="144" t="n">
        <v>1775361.09924474</v>
      </c>
      <c r="F24" s="145" t="n">
        <v>26380.9616682253</v>
      </c>
      <c r="G24" s="146" t="n">
        <v>93523.921418033</v>
      </c>
      <c r="H24" s="147" t="n">
        <v>318862019.5</v>
      </c>
      <c r="I24" s="148" t="n">
        <v>37.9489</v>
      </c>
      <c r="J24" s="149" t="str">
        <f>'Calculation_Assumptions'!$B$25*G24*(F24/G24)^'Calculation_Assumptions'!$B$26</f>
      </c>
      <c r="K24" s="150" t="str">
        <f>'Calculation_Assumptions'!$B$27*F24</f>
      </c>
      <c r="L24" s="151" t="str">
        <f>MAX(J24,K24)</f>
      </c>
      <c r="M24" s="152" t="str">
        <f>IF(F24=0,"",L24/F24)</f>
      </c>
      <c r="N24" s="153" t="str">
        <f>'Calculation_Assumptions'!$B$28*F24</f>
      </c>
      <c r="O24" s="154" t="str">
        <f>'Calculation_Assumptions'!$B$29*F24</f>
      </c>
      <c r="P24" s="155" t="str">
        <f>IF(I24=0,"",L24/I24)</f>
      </c>
      <c r="Q24" s="156" t="str">
        <f>L24*D24</f>
      </c>
      <c r="R24" s="157" t="str">
        <f>P24*E24</f>
      </c>
      <c r="S24" s="158" t="str">
        <f>N24*D24</f>
      </c>
      <c r="T24" s="159" t="str">
        <f>O24*D24</f>
      </c>
      <c r="U24" s="160" t="str">
        <f>1/(1+'Calculation_Assumptions'!$B$22)^(C24-'Calculation_Assumptions'!$B$21)</f>
      </c>
      <c r="V24" s="161" t="str">
        <f>Q24*U24</f>
      </c>
      <c r="W24" s="162" t="str">
        <f>R24*U24</f>
      </c>
      <c r="X24" s="163" t="str">
        <f>S24*U24</f>
      </c>
      <c r="Y24" s="164" t="str">
        <f>T24*U24</f>
      </c>
      <c r="Z24" s="165" t="str">
        <f>H24*F24</f>
      </c>
      <c r="AA24" s="166" t="str">
        <f>Z24*U24</f>
      </c>
      <c r="AB24" s="167" t="str">
        <f>IF(Z24=0,"",Q24/Z24)</f>
      </c>
    </row>
    <row r="25">
      <c r="A25" t="s">
        <v>115</v>
      </c>
      <c r="B25" s="32" t="s">
        <v>294</v>
      </c>
      <c r="C25" t="n">
        <v>2048</v>
      </c>
      <c r="D25" s="143" t="n">
        <v>130009.972354008</v>
      </c>
      <c r="E25" s="144" t="n">
        <v>1824681.64038923</v>
      </c>
      <c r="F25" s="145" t="n">
        <v>26977.4079268061</v>
      </c>
      <c r="G25" s="146" t="n">
        <v>94287.3283968127</v>
      </c>
      <c r="H25" s="147" t="n">
        <v>319554652.5</v>
      </c>
      <c r="I25" s="148" t="n">
        <v>38.0645</v>
      </c>
      <c r="J25" s="149" t="str">
        <f>'Calculation_Assumptions'!$B$25*G25*(F25/G25)^'Calculation_Assumptions'!$B$26</f>
      </c>
      <c r="K25" s="150" t="str">
        <f>'Calculation_Assumptions'!$B$27*F25</f>
      </c>
      <c r="L25" s="151" t="str">
        <f>MAX(J25,K25)</f>
      </c>
      <c r="M25" s="152" t="str">
        <f>IF(F25=0,"",L25/F25)</f>
      </c>
      <c r="N25" s="153" t="str">
        <f>'Calculation_Assumptions'!$B$28*F25</f>
      </c>
      <c r="O25" s="154" t="str">
        <f>'Calculation_Assumptions'!$B$29*F25</f>
      </c>
      <c r="P25" s="155" t="str">
        <f>IF(I25=0,"",L25/I25)</f>
      </c>
      <c r="Q25" s="156" t="str">
        <f>L25*D25</f>
      </c>
      <c r="R25" s="157" t="str">
        <f>P25*E25</f>
      </c>
      <c r="S25" s="158" t="str">
        <f>N25*D25</f>
      </c>
      <c r="T25" s="159" t="str">
        <f>O25*D25</f>
      </c>
      <c r="U25" s="160" t="str">
        <f>1/(1+'Calculation_Assumptions'!$B$22)^(C25-'Calculation_Assumptions'!$B$21)</f>
      </c>
      <c r="V25" s="161" t="str">
        <f>Q25*U25</f>
      </c>
      <c r="W25" s="162" t="str">
        <f>R25*U25</f>
      </c>
      <c r="X25" s="163" t="str">
        <f>S25*U25</f>
      </c>
      <c r="Y25" s="164" t="str">
        <f>T25*U25</f>
      </c>
      <c r="Z25" s="165" t="str">
        <f>H25*F25</f>
      </c>
      <c r="AA25" s="166" t="str">
        <f>Z25*U25</f>
      </c>
      <c r="AB25" s="167" t="str">
        <f>IF(Z25=0,"",Q25/Z25)</f>
      </c>
    </row>
    <row r="26">
      <c r="A26" t="s">
        <v>115</v>
      </c>
      <c r="B26" s="32" t="s">
        <v>294</v>
      </c>
      <c r="C26" t="n">
        <v>2049</v>
      </c>
      <c r="D26" s="143" t="n">
        <v>132670.934521012</v>
      </c>
      <c r="E26" s="144" t="n">
        <v>1868078.96807235</v>
      </c>
      <c r="F26" s="145" t="n">
        <v>27587.3392184138</v>
      </c>
      <c r="G26" s="146" t="n">
        <v>95056.9668317421</v>
      </c>
      <c r="H26" s="147" t="n">
        <v>320173250</v>
      </c>
      <c r="I26" s="148" t="n">
        <v>38.1755</v>
      </c>
      <c r="J26" s="149" t="str">
        <f>'Calculation_Assumptions'!$B$25*G26*(F26/G26)^'Calculation_Assumptions'!$B$26</f>
      </c>
      <c r="K26" s="150" t="str">
        <f>'Calculation_Assumptions'!$B$27*F26</f>
      </c>
      <c r="L26" s="151" t="str">
        <f>MAX(J26,K26)</f>
      </c>
      <c r="M26" s="152" t="str">
        <f>IF(F26=0,"",L26/F26)</f>
      </c>
      <c r="N26" s="153" t="str">
        <f>'Calculation_Assumptions'!$B$28*F26</f>
      </c>
      <c r="O26" s="154" t="str">
        <f>'Calculation_Assumptions'!$B$29*F26</f>
      </c>
      <c r="P26" s="155" t="str">
        <f>IF(I26=0,"",L26/I26)</f>
      </c>
      <c r="Q26" s="156" t="str">
        <f>L26*D26</f>
      </c>
      <c r="R26" s="157" t="str">
        <f>P26*E26</f>
      </c>
      <c r="S26" s="158" t="str">
        <f>N26*D26</f>
      </c>
      <c r="T26" s="159" t="str">
        <f>O26*D26</f>
      </c>
      <c r="U26" s="160" t="str">
        <f>1/(1+'Calculation_Assumptions'!$B$22)^(C26-'Calculation_Assumptions'!$B$21)</f>
      </c>
      <c r="V26" s="161" t="str">
        <f>Q26*U26</f>
      </c>
      <c r="W26" s="162" t="str">
        <f>R26*U26</f>
      </c>
      <c r="X26" s="163" t="str">
        <f>S26*U26</f>
      </c>
      <c r="Y26" s="164" t="str">
        <f>T26*U26</f>
      </c>
      <c r="Z26" s="165" t="str">
        <f>H26*F26</f>
      </c>
      <c r="AA26" s="166" t="str">
        <f>Z26*U26</f>
      </c>
      <c r="AB26" s="167" t="str">
        <f>IF(Z26=0,"",Q26/Z26)</f>
      </c>
    </row>
    <row r="27">
      <c r="A27" t="s">
        <v>115</v>
      </c>
      <c r="B27" s="32" t="s">
        <v>294</v>
      </c>
      <c r="C27" t="n">
        <v>2050</v>
      </c>
      <c r="D27" s="143" t="n">
        <v>134881.059186285</v>
      </c>
      <c r="E27" s="144" t="n">
        <v>1905745.89817687</v>
      </c>
      <c r="F27" s="145" t="n">
        <v>28211.0604256979</v>
      </c>
      <c r="G27" s="146" t="n">
        <v>95832.8875882792</v>
      </c>
      <c r="H27" s="147" t="n">
        <v>320712949.5</v>
      </c>
      <c r="I27" s="148" t="n">
        <v>38.286</v>
      </c>
      <c r="J27" s="149" t="str">
        <f>'Calculation_Assumptions'!$B$25*G27*(F27/G27)^'Calculation_Assumptions'!$B$26</f>
      </c>
      <c r="K27" s="150" t="str">
        <f>'Calculation_Assumptions'!$B$27*F27</f>
      </c>
      <c r="L27" s="151" t="str">
        <f>MAX(J27,K27)</f>
      </c>
      <c r="M27" s="152" t="str">
        <f>IF(F27=0,"",L27/F27)</f>
      </c>
      <c r="N27" s="153" t="str">
        <f>'Calculation_Assumptions'!$B$28*F27</f>
      </c>
      <c r="O27" s="154" t="str">
        <f>'Calculation_Assumptions'!$B$29*F27</f>
      </c>
      <c r="P27" s="155" t="str">
        <f>IF(I27=0,"",L27/I27)</f>
      </c>
      <c r="Q27" s="156" t="str">
        <f>L27*D27</f>
      </c>
      <c r="R27" s="157" t="str">
        <f>P27*E27</f>
      </c>
      <c r="S27" s="158" t="str">
        <f>N27*D27</f>
      </c>
      <c r="T27" s="159" t="str">
        <f>O27*D27</f>
      </c>
      <c r="U27" s="160" t="str">
        <f>1/(1+'Calculation_Assumptions'!$B$22)^(C27-'Calculation_Assumptions'!$B$21)</f>
      </c>
      <c r="V27" s="161" t="str">
        <f>Q27*U27</f>
      </c>
      <c r="W27" s="162" t="str">
        <f>R27*U27</f>
      </c>
      <c r="X27" s="163" t="str">
        <f>S27*U27</f>
      </c>
      <c r="Y27" s="164" t="str">
        <f>T27*U27</f>
      </c>
      <c r="Z27" s="165" t="str">
        <f>H27*F27</f>
      </c>
      <c r="AA27" s="166" t="str">
        <f>Z27*U27</f>
      </c>
      <c r="AB27" s="167" t="str">
        <f>IF(Z27=0,"",Q27/Z27)</f>
      </c>
    </row>
  </sheetData>
  <autoFilter ref="A1:AB1"/>
  <pageMargins left="0.7" right="0.7" top="0.75" bottom="0.75" header="0.3" footer="0.3"/>
  <pageSetup paperSize="9"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0.71" hidden="0" customWidth="1"/>
    <col min="2" max="2" width="26.71" hidden="0" customWidth="1"/>
    <col min="3" max="3" width="16.71" hidden="0" customWidth="1"/>
    <col min="4" max="4" width="14.71" hidden="0" customWidth="1"/>
    <col min="5" max="5" width="12.71" hidden="0" customWidth="1"/>
    <col min="6" max="6" width="34.71" hidden="0" customWidth="1"/>
    <col min="7" max="7" width="18.71" hidden="0" customWidth="1"/>
    <col min="8" max="8" width="18.71" hidden="0" customWidth="1"/>
    <col min="9" max="9" width="18.71" hidden="0" customWidth="1"/>
    <col min="10" max="10" width="14.71" hidden="0" customWidth="1"/>
    <col min="11" max="11" width="18.71" hidden="0" customWidth="1"/>
    <col min="12" max="12" width="14.71" hidden="0" customWidth="1"/>
    <col min="13" max="13" width="30.71" hidden="0" customWidth="1"/>
    <col min="14" max="14" width="60.71" hidden="0" customWidth="1"/>
  </cols>
  <sheetData>
    <row r="1" ht="28" customHeight="1">
      <c r="A1" s="1" t="s">
        <v>285</v>
      </c>
      <c r="B1" s="1" t="s">
        <v>286</v>
      </c>
      <c r="C1" s="1" t="s">
        <v>367</v>
      </c>
      <c r="D1" s="1" t="s">
        <v>368</v>
      </c>
      <c r="E1" s="1" t="s">
        <v>369</v>
      </c>
      <c r="F1" s="1" t="s">
        <v>370</v>
      </c>
      <c r="G1" s="1" t="s">
        <v>371</v>
      </c>
      <c r="H1" s="1" t="s">
        <v>372</v>
      </c>
      <c r="I1" s="1" t="s">
        <v>373</v>
      </c>
      <c r="J1" s="1" t="s">
        <v>374</v>
      </c>
      <c r="K1" s="1" t="s">
        <v>365</v>
      </c>
      <c r="L1" s="1" t="s">
        <v>375</v>
      </c>
      <c r="M1" s="1" t="s">
        <v>376</v>
      </c>
      <c r="N1" s="1" t="s">
        <v>377</v>
      </c>
    </row>
    <row r="2">
      <c r="A2" t="s">
        <v>115</v>
      </c>
      <c r="B2" s="32" t="s">
        <v>294</v>
      </c>
      <c r="C2" t="s">
        <v>378</v>
      </c>
      <c r="D2" t="s">
        <v>379</v>
      </c>
      <c r="E2" t="s">
        <v>380</v>
      </c>
      <c r="F2" s="32" t="s">
        <v>381</v>
      </c>
      <c r="G2" s="168" t="str">
        <f>SUMIFS('Economic_Value'!$V$2:$V$27,'Economic_Value'!$A$2:$A$27,A2)</f>
      </c>
      <c r="H2" s="169" t="str">
        <f>SUMPRODUCT(('Budget_Impact'!$A$2:$A$27=A2)*'Budget_Impact'!$E$2:$E$27*(1/(1+'Calculation_Assumptions'!$B$22)^('Budget_Impact'!$B$2:$B$27-'Calculation_Assumptions'!$B$21)))*'Calculation_Assumptions'!$B$34</f>
      </c>
      <c r="I2" s="170" t="str">
        <f>G2-H2</f>
      </c>
      <c r="J2" s="171" t="str">
        <f>IF(H2&gt;0,G2/H2,"")</f>
      </c>
      <c r="K2" s="172" t="str">
        <f>SUMIFS('Economic_Value'!$AA$2:$AA$27,'Economic_Value'!$A$2:$A$27,A2)</f>
      </c>
      <c r="L2" s="173" t="str">
        <f>IF(K2=0,"",G2/K2)</f>
      </c>
      <c r="M2" s="126" t="str">
        <f>IF(H2&lt;=0,"cost-saving or ratio not meaningful (PV cost&lt;=0)",IF(J2&gt;=1,"benefits exceed costs (BCR&gt;=1)","costs exceed benefits (BCR&lt;1)"))</f>
      </c>
      <c r="N2" s="32" t="s">
        <v>386</v>
      </c>
    </row>
    <row r="3">
      <c r="A3" t="s">
        <v>115</v>
      </c>
      <c r="B3" s="32" t="s">
        <v>294</v>
      </c>
      <c r="C3" t="s">
        <v>378</v>
      </c>
      <c r="D3" t="s">
        <v>379</v>
      </c>
      <c r="E3" t="s">
        <v>382</v>
      </c>
      <c r="F3" s="32" t="s">
        <v>383</v>
      </c>
      <c r="G3" s="168" t="str">
        <f>SUMIFS('Economic_Value'!$W$2:$W$27,'Economic_Value'!$A$2:$A$27,A3)</f>
      </c>
      <c r="H3" s="169" t="str">
        <f>SUMPRODUCT(('Budget_Impact'!$A$2:$A$27=A3)*'Budget_Impact'!$E$2:$E$27*(1/(1+'Calculation_Assumptions'!$B$22)^('Budget_Impact'!$B$2:$B$27-'Calculation_Assumptions'!$B$21)))*'Calculation_Assumptions'!$B$34</f>
      </c>
      <c r="I3" s="170" t="str">
        <f>G3-H3</f>
      </c>
      <c r="J3" s="171" t="str">
        <f>IF(H3&gt;0,G3/H3,"")</f>
      </c>
      <c r="K3" s="172" t="str">
        <f>SUMIFS('Economic_Value'!$AA$2:$AA$27,'Economic_Value'!$A$2:$A$27,A3)</f>
      </c>
      <c r="L3" s="173" t="str">
        <f>IF(K3=0,"",G3/K3)</f>
      </c>
      <c r="M3" s="126" t="str">
        <f>IF(H3&lt;=0,"cost-saving or ratio not meaningful (PV cost&lt;=0)",IF(J3&gt;=1,"benefits exceed costs (BCR&gt;=1)","costs exceed benefits (BCR&lt;1)"))</f>
      </c>
      <c r="N3" s="32" t="s">
        <v>386</v>
      </c>
    </row>
    <row r="4">
      <c r="A4" t="s">
        <v>115</v>
      </c>
      <c r="B4" s="32" t="s">
        <v>294</v>
      </c>
      <c r="C4" t="s">
        <v>378</v>
      </c>
      <c r="D4" t="s">
        <v>379</v>
      </c>
      <c r="E4" t="s">
        <v>380</v>
      </c>
      <c r="F4" s="32" t="s">
        <v>384</v>
      </c>
      <c r="G4" s="168" t="str">
        <f>SUMIFS('Economic_Value'!$X$2:$X$27,'Economic_Value'!$A$2:$A$27,A4)</f>
      </c>
      <c r="H4" s="169" t="str">
        <f>SUMPRODUCT(('Budget_Impact'!$A$2:$A$27=A4)*'Budget_Impact'!$E$2:$E$27*(1/(1+'Calculation_Assumptions'!$B$22)^('Budget_Impact'!$B$2:$B$27-'Calculation_Assumptions'!$B$21)))*'Calculation_Assumptions'!$B$34</f>
      </c>
      <c r="I4" s="170" t="str">
        <f>G4-H4</f>
      </c>
      <c r="J4" s="171" t="str">
        <f>IF(H4&gt;0,G4/H4,"")</f>
      </c>
      <c r="K4" s="172" t="str">
        <f>SUMIFS('Economic_Value'!$AA$2:$AA$27,'Economic_Value'!$A$2:$A$27,A4)</f>
      </c>
      <c r="L4" s="173" t="str">
        <f>IF(K4=0,"",G4/K4)</f>
      </c>
      <c r="M4" s="126" t="str">
        <f>IF(H4&lt;=0,"cost-saving or ratio not meaningful (PV cost&lt;=0)",IF(J4&gt;=1,"benefits exceed costs (BCR&gt;=1)","costs exceed benefits (BCR&lt;1)"))</f>
      </c>
      <c r="N4" s="32" t="s">
        <v>386</v>
      </c>
    </row>
    <row r="5">
      <c r="A5" t="s">
        <v>115</v>
      </c>
      <c r="B5" s="32" t="s">
        <v>294</v>
      </c>
      <c r="C5" t="s">
        <v>378</v>
      </c>
      <c r="D5" t="s">
        <v>379</v>
      </c>
      <c r="E5" t="s">
        <v>380</v>
      </c>
      <c r="F5" s="32" t="s">
        <v>385</v>
      </c>
      <c r="G5" s="168" t="str">
        <f>SUMIFS('Economic_Value'!$Y$2:$Y$27,'Economic_Value'!$A$2:$A$27,A5)</f>
      </c>
      <c r="H5" s="169" t="str">
        <f>SUMPRODUCT(('Budget_Impact'!$A$2:$A$27=A5)*'Budget_Impact'!$E$2:$E$27*(1/(1+'Calculation_Assumptions'!$B$22)^('Budget_Impact'!$B$2:$B$27-'Calculation_Assumptions'!$B$21)))*'Calculation_Assumptions'!$B$34</f>
      </c>
      <c r="I5" s="170" t="str">
        <f>G5-H5</f>
      </c>
      <c r="J5" s="171" t="str">
        <f>IF(H5&gt;0,G5/H5,"")</f>
      </c>
      <c r="K5" s="172" t="str">
        <f>SUMIFS('Economic_Value'!$AA$2:$AA$27,'Economic_Value'!$A$2:$A$27,A5)</f>
      </c>
      <c r="L5" s="173" t="str">
        <f>IF(K5=0,"",G5/K5)</f>
      </c>
      <c r="M5" s="126" t="str">
        <f>IF(H5&lt;=0,"cost-saving or ratio not meaningful (PV cost&lt;=0)",IF(J5&gt;=1,"benefits exceed costs (BCR&gt;=1)","costs exceed benefits (BCR&lt;1)"))</f>
      </c>
      <c r="N5" s="32" t="s">
        <v>386</v>
      </c>
    </row>
  </sheetData>
  <autoFilter ref="A1:N1"/>
  <conditionalFormatting sqref="M2:M5">
    <cfRule type="containsText" dxfId="0" priority="2" operator="containsText" text="benefits exceed">
      <formula>NOT(ISERROR(SEARCH("benefits exceed", M2)))</formula>
    </cfRule>
    <cfRule type="containsText" dxfId="2" priority="1" operator="containsText" text="costs exceed">
      <formula>NOT(ISERROR(SEARCH("costs exceed", M2)))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6.71" hidden="0" customWidth="1"/>
    <col min="4" max="4" width="21.71" hidden="0" customWidth="1"/>
    <col min="5" max="5" width="21.71" hidden="0" customWidth="1"/>
    <col min="6" max="6" width="11.71" hidden="0" customWidth="1"/>
    <col min="7" max="7" width="11.71" hidden="0" customWidth="1"/>
    <col min="8" max="8" width="12.71" hidden="0" customWidth="1"/>
    <col min="9" max="9" width="12.71" hidden="0" customWidth="1"/>
    <col min="10" max="10" width="11.71" hidden="0" customWidth="1"/>
    <col min="11" max="11" width="11.71" hidden="0" customWidth="1"/>
    <col min="12" max="12" width="11.71" hidden="0" customWidth="1"/>
    <col min="13" max="13" width="11.71" hidden="0" customWidth="1"/>
  </cols>
  <sheetData>
    <row r="1" ht="28" customHeight="1">
      <c r="A1" s="1" t="s">
        <v>387</v>
      </c>
      <c r="B1" s="1" t="s">
        <v>285</v>
      </c>
      <c r="C1" s="1" t="s">
        <v>286</v>
      </c>
      <c r="D1" s="1" t="s">
        <v>367</v>
      </c>
      <c r="E1" s="1" t="s">
        <v>388</v>
      </c>
      <c r="F1" s="1" t="s">
        <v>42</v>
      </c>
      <c r="G1" s="1" t="s">
        <v>389</v>
      </c>
      <c r="H1" s="1" t="s">
        <v>390</v>
      </c>
      <c r="I1" s="1" t="s">
        <v>346</v>
      </c>
      <c r="J1" s="1" t="s">
        <v>391</v>
      </c>
      <c r="K1" s="1" t="s">
        <v>392</v>
      </c>
      <c r="L1" s="1" t="s">
        <v>393</v>
      </c>
      <c r="M1" s="1" t="s">
        <v>394</v>
      </c>
    </row>
    <row r="2">
      <c r="A2" t="s">
        <v>164</v>
      </c>
      <c r="B2" t="s">
        <v>115</v>
      </c>
      <c r="C2" s="32" t="s">
        <v>294</v>
      </c>
      <c r="D2" t="s">
        <v>378</v>
      </c>
      <c r="E2" t="s">
        <v>395</v>
      </c>
      <c r="F2" s="174" t="n">
        <v>2025</v>
      </c>
      <c r="G2" s="175" t="n">
        <v>30</v>
      </c>
      <c r="H2" s="176" t="n">
        <v>1282.1480800753</v>
      </c>
      <c r="I2" s="177" t="n">
        <v>4467259.00744984</v>
      </c>
      <c r="J2" s="178" t="str">
        <f>IF(I2&gt;0,H2/I2,0)</f>
      </c>
      <c r="K2" s="179" t="str">
        <f>1-EXP(-J2)</f>
      </c>
      <c r="L2" s="180" t="str">
        <f>IF(G2=30,1,M1)</f>
      </c>
      <c r="M2" s="181" t="str">
        <f>L2*(1-K2)</f>
      </c>
    </row>
    <row r="3">
      <c r="A3" t="s">
        <v>164</v>
      </c>
      <c r="B3" t="s">
        <v>115</v>
      </c>
      <c r="C3" s="32" t="s">
        <v>294</v>
      </c>
      <c r="D3" t="s">
        <v>378</v>
      </c>
      <c r="E3" t="s">
        <v>395</v>
      </c>
      <c r="F3" s="174" t="n">
        <v>2025</v>
      </c>
      <c r="G3" s="175" t="n">
        <v>31</v>
      </c>
      <c r="H3" s="176" t="n">
        <v>1315.23908698247</v>
      </c>
      <c r="I3" s="177" t="n">
        <v>4410712.39044934</v>
      </c>
      <c r="J3" s="178" t="str">
        <f>IF(I3&gt;0,H3/I3,0)</f>
      </c>
      <c r="K3" s="179" t="str">
        <f>1-EXP(-J3)</f>
      </c>
      <c r="L3" s="180" t="str">
        <f>IF(G3=30,1,M2)</f>
      </c>
      <c r="M3" s="181" t="str">
        <f>L3*(1-K3)</f>
      </c>
    </row>
    <row r="4">
      <c r="A4" t="s">
        <v>164</v>
      </c>
      <c r="B4" t="s">
        <v>115</v>
      </c>
      <c r="C4" s="32" t="s">
        <v>294</v>
      </c>
      <c r="D4" t="s">
        <v>378</v>
      </c>
      <c r="E4" t="s">
        <v>395</v>
      </c>
      <c r="F4" s="174" t="n">
        <v>2025</v>
      </c>
      <c r="G4" s="175" t="n">
        <v>32</v>
      </c>
      <c r="H4" s="176" t="n">
        <v>1358.36874107966</v>
      </c>
      <c r="I4" s="177" t="n">
        <v>4358505.80076359</v>
      </c>
      <c r="J4" s="178" t="str">
        <f>IF(I4&gt;0,H4/I4,0)</f>
      </c>
      <c r="K4" s="179" t="str">
        <f>1-EXP(-J4)</f>
      </c>
      <c r="L4" s="180" t="str">
        <f>IF(G4=30,1,M3)</f>
      </c>
      <c r="M4" s="181" t="str">
        <f>L4*(1-K4)</f>
      </c>
    </row>
    <row r="5">
      <c r="A5" t="s">
        <v>164</v>
      </c>
      <c r="B5" t="s">
        <v>115</v>
      </c>
      <c r="C5" s="32" t="s">
        <v>294</v>
      </c>
      <c r="D5" t="s">
        <v>378</v>
      </c>
      <c r="E5" t="s">
        <v>395</v>
      </c>
      <c r="F5" s="174" t="n">
        <v>2025</v>
      </c>
      <c r="G5" s="175" t="n">
        <v>33</v>
      </c>
      <c r="H5" s="176" t="n">
        <v>1441.84186563354</v>
      </c>
      <c r="I5" s="177" t="n">
        <v>4398745.92791286</v>
      </c>
      <c r="J5" s="178" t="str">
        <f>IF(I5&gt;0,H5/I5,0)</f>
      </c>
      <c r="K5" s="179" t="str">
        <f>1-EXP(-J5)</f>
      </c>
      <c r="L5" s="180" t="str">
        <f>IF(G5=30,1,M4)</f>
      </c>
      <c r="M5" s="181" t="str">
        <f>L5*(1-K5)</f>
      </c>
    </row>
    <row r="6">
      <c r="A6" t="s">
        <v>164</v>
      </c>
      <c r="B6" t="s">
        <v>115</v>
      </c>
      <c r="C6" s="32" t="s">
        <v>294</v>
      </c>
      <c r="D6" t="s">
        <v>378</v>
      </c>
      <c r="E6" t="s">
        <v>395</v>
      </c>
      <c r="F6" s="174" t="n">
        <v>2025</v>
      </c>
      <c r="G6" s="175" t="n">
        <v>34</v>
      </c>
      <c r="H6" s="176" t="n">
        <v>1533.78714702233</v>
      </c>
      <c r="I6" s="177" t="n">
        <v>4419468.58899599</v>
      </c>
      <c r="J6" s="178" t="str">
        <f>IF(I6&gt;0,H6/I6,0)</f>
      </c>
      <c r="K6" s="179" t="str">
        <f>1-EXP(-J6)</f>
      </c>
      <c r="L6" s="180" t="str">
        <f>IF(G6=30,1,M5)</f>
      </c>
      <c r="M6" s="181" t="str">
        <f>L6*(1-K6)</f>
      </c>
    </row>
    <row r="7">
      <c r="A7" t="s">
        <v>164</v>
      </c>
      <c r="B7" t="s">
        <v>115</v>
      </c>
      <c r="C7" s="32" t="s">
        <v>294</v>
      </c>
      <c r="D7" t="s">
        <v>378</v>
      </c>
      <c r="E7" t="s">
        <v>395</v>
      </c>
      <c r="F7" s="174" t="n">
        <v>2025</v>
      </c>
      <c r="G7" s="175" t="n">
        <v>35</v>
      </c>
      <c r="H7" s="176" t="n">
        <v>3016.10693161696</v>
      </c>
      <c r="I7" s="177" t="n">
        <v>6509663.36688188</v>
      </c>
      <c r="J7" s="178" t="str">
        <f>IF(I7&gt;0,H7/I7,0)</f>
      </c>
      <c r="K7" s="179" t="str">
        <f>1-EXP(-J7)</f>
      </c>
      <c r="L7" s="180" t="str">
        <f>IF(G7=30,1,M6)</f>
      </c>
      <c r="M7" s="181" t="str">
        <f>L7*(1-K7)</f>
      </c>
    </row>
    <row r="8">
      <c r="A8" t="s">
        <v>164</v>
      </c>
      <c r="B8" t="s">
        <v>115</v>
      </c>
      <c r="C8" s="32" t="s">
        <v>294</v>
      </c>
      <c r="D8" t="s">
        <v>378</v>
      </c>
      <c r="E8" t="s">
        <v>395</v>
      </c>
      <c r="F8" s="174" t="n">
        <v>2025</v>
      </c>
      <c r="G8" s="175" t="n">
        <v>36</v>
      </c>
      <c r="H8" s="176" t="n">
        <v>2254.70933318993</v>
      </c>
      <c r="I8" s="177" t="n">
        <v>4383096.00549538</v>
      </c>
      <c r="J8" s="178" t="str">
        <f>IF(I8&gt;0,H8/I8,0)</f>
      </c>
      <c r="K8" s="179" t="str">
        <f>1-EXP(-J8)</f>
      </c>
      <c r="L8" s="180" t="str">
        <f>IF(G8=30,1,M7)</f>
      </c>
      <c r="M8" s="181" t="str">
        <f>L8*(1-K8)</f>
      </c>
    </row>
    <row r="9">
      <c r="A9" t="s">
        <v>164</v>
      </c>
      <c r="B9" t="s">
        <v>115</v>
      </c>
      <c r="C9" s="32" t="s">
        <v>294</v>
      </c>
      <c r="D9" t="s">
        <v>378</v>
      </c>
      <c r="E9" t="s">
        <v>395</v>
      </c>
      <c r="F9" s="174" t="n">
        <v>2025</v>
      </c>
      <c r="G9" s="175" t="n">
        <v>37</v>
      </c>
      <c r="H9" s="176" t="n">
        <v>2406.72848505595</v>
      </c>
      <c r="I9" s="177" t="n">
        <v>4369642.29305489</v>
      </c>
      <c r="J9" s="178" t="str">
        <f>IF(I9&gt;0,H9/I9,0)</f>
      </c>
      <c r="K9" s="179" t="str">
        <f>1-EXP(-J9)</f>
      </c>
      <c r="L9" s="180" t="str">
        <f>IF(G9=30,1,M8)</f>
      </c>
      <c r="M9" s="181" t="str">
        <f>L9*(1-K9)</f>
      </c>
    </row>
    <row r="10">
      <c r="A10" t="s">
        <v>164</v>
      </c>
      <c r="B10" t="s">
        <v>115</v>
      </c>
      <c r="C10" s="32" t="s">
        <v>294</v>
      </c>
      <c r="D10" t="s">
        <v>378</v>
      </c>
      <c r="E10" t="s">
        <v>395</v>
      </c>
      <c r="F10" s="174" t="n">
        <v>2025</v>
      </c>
      <c r="G10" s="175" t="n">
        <v>38</v>
      </c>
      <c r="H10" s="176" t="n">
        <v>2504.26492550027</v>
      </c>
      <c r="I10" s="177" t="n">
        <v>4239505.8530855</v>
      </c>
      <c r="J10" s="178" t="str">
        <f>IF(I10&gt;0,H10/I10,0)</f>
      </c>
      <c r="K10" s="179" t="str">
        <f>1-EXP(-J10)</f>
      </c>
      <c r="L10" s="180" t="str">
        <f>IF(G10=30,1,M9)</f>
      </c>
      <c r="M10" s="181" t="str">
        <f>L10*(1-K10)</f>
      </c>
    </row>
    <row r="11">
      <c r="A11" t="s">
        <v>164</v>
      </c>
      <c r="B11" t="s">
        <v>115</v>
      </c>
      <c r="C11" s="32" t="s">
        <v>294</v>
      </c>
      <c r="D11" t="s">
        <v>378</v>
      </c>
      <c r="E11" t="s">
        <v>395</v>
      </c>
      <c r="F11" s="174" t="n">
        <v>2025</v>
      </c>
      <c r="G11" s="175" t="n">
        <v>39</v>
      </c>
      <c r="H11" s="176" t="n">
        <v>2668.85044983616</v>
      </c>
      <c r="I11" s="177" t="n">
        <v>4208510.72085438</v>
      </c>
      <c r="J11" s="178" t="str">
        <f>IF(I11&gt;0,H11/I11,0)</f>
      </c>
      <c r="K11" s="179" t="str">
        <f>1-EXP(-J11)</f>
      </c>
      <c r="L11" s="180" t="str">
        <f>IF(G11=30,1,M10)</f>
      </c>
      <c r="M11" s="181" t="str">
        <f>L11*(1-K11)</f>
      </c>
    </row>
    <row r="12">
      <c r="A12" t="s">
        <v>164</v>
      </c>
      <c r="B12" t="s">
        <v>115</v>
      </c>
      <c r="C12" s="32" t="s">
        <v>294</v>
      </c>
      <c r="D12" t="s">
        <v>378</v>
      </c>
      <c r="E12" t="s">
        <v>395</v>
      </c>
      <c r="F12" s="174" t="n">
        <v>2025</v>
      </c>
      <c r="G12" s="175" t="n">
        <v>40</v>
      </c>
      <c r="H12" s="176" t="n">
        <v>3657.34535610758</v>
      </c>
      <c r="I12" s="177" t="n">
        <v>4272859.94162918</v>
      </c>
      <c r="J12" s="178" t="str">
        <f>IF(I12&gt;0,H12/I12,0)</f>
      </c>
      <c r="K12" s="179" t="str">
        <f>1-EXP(-J12)</f>
      </c>
      <c r="L12" s="180" t="str">
        <f>IF(G12=30,1,M11)</f>
      </c>
      <c r="M12" s="181" t="str">
        <f>L12*(1-K12)</f>
      </c>
    </row>
    <row r="13">
      <c r="A13" t="s">
        <v>164</v>
      </c>
      <c r="B13" t="s">
        <v>115</v>
      </c>
      <c r="C13" s="32" t="s">
        <v>294</v>
      </c>
      <c r="D13" t="s">
        <v>378</v>
      </c>
      <c r="E13" t="s">
        <v>395</v>
      </c>
      <c r="F13" s="174" t="n">
        <v>2025</v>
      </c>
      <c r="G13" s="175" t="n">
        <v>41</v>
      </c>
      <c r="H13" s="176" t="n">
        <v>4027.1376792173</v>
      </c>
      <c r="I13" s="177" t="n">
        <v>4362484.66303299</v>
      </c>
      <c r="J13" s="178" t="str">
        <f>IF(I13&gt;0,H13/I13,0)</f>
      </c>
      <c r="K13" s="179" t="str">
        <f>1-EXP(-J13)</f>
      </c>
      <c r="L13" s="180" t="str">
        <f>IF(G13=30,1,M12)</f>
      </c>
      <c r="M13" s="181" t="str">
        <f>L13*(1-K13)</f>
      </c>
    </row>
    <row r="14">
      <c r="A14" t="s">
        <v>164</v>
      </c>
      <c r="B14" t="s">
        <v>115</v>
      </c>
      <c r="C14" s="32" t="s">
        <v>294</v>
      </c>
      <c r="D14" t="s">
        <v>378</v>
      </c>
      <c r="E14" t="s">
        <v>395</v>
      </c>
      <c r="F14" s="174" t="n">
        <v>2025</v>
      </c>
      <c r="G14" s="175" t="n">
        <v>42</v>
      </c>
      <c r="H14" s="176" t="n">
        <v>4338.5011085091</v>
      </c>
      <c r="I14" s="177" t="n">
        <v>4343004.76876643</v>
      </c>
      <c r="J14" s="178" t="str">
        <f>IF(I14&gt;0,H14/I14,0)</f>
      </c>
      <c r="K14" s="179" t="str">
        <f>1-EXP(-J14)</f>
      </c>
      <c r="L14" s="180" t="str">
        <f>IF(G14=30,1,M13)</f>
      </c>
      <c r="M14" s="181" t="str">
        <f>L14*(1-K14)</f>
      </c>
    </row>
    <row r="15">
      <c r="A15" t="s">
        <v>164</v>
      </c>
      <c r="B15" t="s">
        <v>115</v>
      </c>
      <c r="C15" s="32" t="s">
        <v>294</v>
      </c>
      <c r="D15" t="s">
        <v>378</v>
      </c>
      <c r="E15" t="s">
        <v>395</v>
      </c>
      <c r="F15" s="174" t="n">
        <v>2025</v>
      </c>
      <c r="G15" s="175" t="n">
        <v>43</v>
      </c>
      <c r="H15" s="176" t="n">
        <v>4570.23561452699</v>
      </c>
      <c r="I15" s="177" t="n">
        <v>4209764.82229798</v>
      </c>
      <c r="J15" s="178" t="str">
        <f>IF(I15&gt;0,H15/I15,0)</f>
      </c>
      <c r="K15" s="179" t="str">
        <f>1-EXP(-J15)</f>
      </c>
      <c r="L15" s="180" t="str">
        <f>IF(G15=30,1,M14)</f>
      </c>
      <c r="M15" s="181" t="str">
        <f>L15*(1-K15)</f>
      </c>
    </row>
    <row r="16">
      <c r="A16" t="s">
        <v>164</v>
      </c>
      <c r="B16" t="s">
        <v>115</v>
      </c>
      <c r="C16" s="32" t="s">
        <v>294</v>
      </c>
      <c r="D16" t="s">
        <v>378</v>
      </c>
      <c r="E16" t="s">
        <v>395</v>
      </c>
      <c r="F16" s="174" t="n">
        <v>2025</v>
      </c>
      <c r="G16" s="175" t="n">
        <v>44</v>
      </c>
      <c r="H16" s="176" t="n">
        <v>4899.11975851415</v>
      </c>
      <c r="I16" s="177" t="n">
        <v>4140245.42433907</v>
      </c>
      <c r="J16" s="178" t="str">
        <f>IF(I16&gt;0,H16/I16,0)</f>
      </c>
      <c r="K16" s="179" t="str">
        <f>1-EXP(-J16)</f>
      </c>
      <c r="L16" s="180" t="str">
        <f>IF(G16=30,1,M15)</f>
      </c>
      <c r="M16" s="181" t="str">
        <f>L16*(1-K16)</f>
      </c>
    </row>
    <row r="17">
      <c r="A17" t="s">
        <v>164</v>
      </c>
      <c r="B17" t="s">
        <v>115</v>
      </c>
      <c r="C17" s="32" t="s">
        <v>294</v>
      </c>
      <c r="D17" t="s">
        <v>378</v>
      </c>
      <c r="E17" t="s">
        <v>395</v>
      </c>
      <c r="F17" s="174" t="n">
        <v>2025</v>
      </c>
      <c r="G17" s="175" t="n">
        <v>45</v>
      </c>
      <c r="H17" s="176" t="n">
        <v>6269.58995124247</v>
      </c>
      <c r="I17" s="177" t="n">
        <v>4087263.42645959</v>
      </c>
      <c r="J17" s="178" t="str">
        <f>IF(I17&gt;0,H17/I17,0)</f>
      </c>
      <c r="K17" s="179" t="str">
        <f>1-EXP(-J17)</f>
      </c>
      <c r="L17" s="180" t="str">
        <f>IF(G17=30,1,M16)</f>
      </c>
      <c r="M17" s="181" t="str">
        <f>L17*(1-K17)</f>
      </c>
    </row>
    <row r="18">
      <c r="A18" t="s">
        <v>164</v>
      </c>
      <c r="B18" t="s">
        <v>115</v>
      </c>
      <c r="C18" s="32" t="s">
        <v>294</v>
      </c>
      <c r="D18" t="s">
        <v>378</v>
      </c>
      <c r="E18" t="s">
        <v>395</v>
      </c>
      <c r="F18" s="174" t="n">
        <v>2025</v>
      </c>
      <c r="G18" s="175" t="n">
        <v>46</v>
      </c>
      <c r="H18" s="176" t="n">
        <v>6759.61099672681</v>
      </c>
      <c r="I18" s="177" t="n">
        <v>4028051.8565677</v>
      </c>
      <c r="J18" s="178" t="str">
        <f>IF(I18&gt;0,H18/I18,0)</f>
      </c>
      <c r="K18" s="179" t="str">
        <f>1-EXP(-J18)</f>
      </c>
      <c r="L18" s="180" t="str">
        <f>IF(G18=30,1,M17)</f>
      </c>
      <c r="M18" s="181" t="str">
        <f>L18*(1-K18)</f>
      </c>
    </row>
    <row r="19">
      <c r="A19" t="s">
        <v>164</v>
      </c>
      <c r="B19" t="s">
        <v>115</v>
      </c>
      <c r="C19" s="32" t="s">
        <v>294</v>
      </c>
      <c r="D19" t="s">
        <v>378</v>
      </c>
      <c r="E19" t="s">
        <v>395</v>
      </c>
      <c r="F19" s="174" t="n">
        <v>2025</v>
      </c>
      <c r="G19" s="175" t="n">
        <v>47</v>
      </c>
      <c r="H19" s="176" t="n">
        <v>7252.18511271874</v>
      </c>
      <c r="I19" s="177" t="n">
        <v>3950277.12889061</v>
      </c>
      <c r="J19" s="178" t="str">
        <f>IF(I19&gt;0,H19/I19,0)</f>
      </c>
      <c r="K19" s="179" t="str">
        <f>1-EXP(-J19)</f>
      </c>
      <c r="L19" s="180" t="str">
        <f>IF(G19=30,1,M18)</f>
      </c>
      <c r="M19" s="181" t="str">
        <f>L19*(1-K19)</f>
      </c>
    </row>
    <row r="20">
      <c r="A20" t="s">
        <v>164</v>
      </c>
      <c r="B20" t="s">
        <v>115</v>
      </c>
      <c r="C20" s="32" t="s">
        <v>294</v>
      </c>
      <c r="D20" t="s">
        <v>378</v>
      </c>
      <c r="E20" t="s">
        <v>395</v>
      </c>
      <c r="F20" s="174" t="n">
        <v>2025</v>
      </c>
      <c r="G20" s="175" t="n">
        <v>48</v>
      </c>
      <c r="H20" s="176" t="n">
        <v>7813.40832117217</v>
      </c>
      <c r="I20" s="177" t="n">
        <v>3890339.92856643</v>
      </c>
      <c r="J20" s="178" t="str">
        <f>IF(I20&gt;0,H20/I20,0)</f>
      </c>
      <c r="K20" s="179" t="str">
        <f>1-EXP(-J20)</f>
      </c>
      <c r="L20" s="180" t="str">
        <f>IF(G20=30,1,M19)</f>
      </c>
      <c r="M20" s="181" t="str">
        <f>L20*(1-K20)</f>
      </c>
    </row>
    <row r="21">
      <c r="A21" t="s">
        <v>164</v>
      </c>
      <c r="B21" t="s">
        <v>115</v>
      </c>
      <c r="C21" s="32" t="s">
        <v>294</v>
      </c>
      <c r="D21" t="s">
        <v>378</v>
      </c>
      <c r="E21" t="s">
        <v>395</v>
      </c>
      <c r="F21" s="174" t="n">
        <v>2025</v>
      </c>
      <c r="G21" s="175" t="n">
        <v>49</v>
      </c>
      <c r="H21" s="176" t="n">
        <v>8372.78717400613</v>
      </c>
      <c r="I21" s="177" t="n">
        <v>3818493.26996543</v>
      </c>
      <c r="J21" s="178" t="str">
        <f>IF(I21&gt;0,H21/I21,0)</f>
      </c>
      <c r="K21" s="179" t="str">
        <f>1-EXP(-J21)</f>
      </c>
      <c r="L21" s="180" t="str">
        <f>IF(G21=30,1,M20)</f>
      </c>
      <c r="M21" s="181" t="str">
        <f>L21*(1-K21)</f>
      </c>
    </row>
    <row r="22">
      <c r="A22" t="s">
        <v>164</v>
      </c>
      <c r="B22" t="s">
        <v>115</v>
      </c>
      <c r="C22" s="32" t="s">
        <v>294</v>
      </c>
      <c r="D22" t="s">
        <v>378</v>
      </c>
      <c r="E22" t="s">
        <v>395</v>
      </c>
      <c r="F22" s="174" t="n">
        <v>2025</v>
      </c>
      <c r="G22" s="175" t="n">
        <v>50</v>
      </c>
      <c r="H22" s="176" t="n">
        <v>9615.55870918642</v>
      </c>
      <c r="I22" s="177" t="n">
        <v>3746208.3894556</v>
      </c>
      <c r="J22" s="178" t="str">
        <f>IF(I22&gt;0,H22/I22,0)</f>
      </c>
      <c r="K22" s="179" t="str">
        <f>1-EXP(-J22)</f>
      </c>
      <c r="L22" s="180" t="str">
        <f>IF(G22=30,1,M21)</f>
      </c>
      <c r="M22" s="181" t="str">
        <f>L22*(1-K22)</f>
      </c>
    </row>
    <row r="23">
      <c r="A23" t="s">
        <v>164</v>
      </c>
      <c r="B23" t="s">
        <v>115</v>
      </c>
      <c r="C23" s="32" t="s">
        <v>294</v>
      </c>
      <c r="D23" t="s">
        <v>378</v>
      </c>
      <c r="E23" t="s">
        <v>395</v>
      </c>
      <c r="F23" s="174" t="n">
        <v>2025</v>
      </c>
      <c r="G23" s="175" t="n">
        <v>51</v>
      </c>
      <c r="H23" s="176" t="n">
        <v>10197.7741864065</v>
      </c>
      <c r="I23" s="177" t="n">
        <v>3645044.21523223</v>
      </c>
      <c r="J23" s="178" t="str">
        <f>IF(I23&gt;0,H23/I23,0)</f>
      </c>
      <c r="K23" s="179" t="str">
        <f>1-EXP(-J23)</f>
      </c>
      <c r="L23" s="180" t="str">
        <f>IF(G23=30,1,M22)</f>
      </c>
      <c r="M23" s="181" t="str">
        <f>L23*(1-K23)</f>
      </c>
    </row>
    <row r="24">
      <c r="A24" t="s">
        <v>164</v>
      </c>
      <c r="B24" t="s">
        <v>115</v>
      </c>
      <c r="C24" s="32" t="s">
        <v>294</v>
      </c>
      <c r="D24" t="s">
        <v>378</v>
      </c>
      <c r="E24" t="s">
        <v>395</v>
      </c>
      <c r="F24" s="174" t="n">
        <v>2025</v>
      </c>
      <c r="G24" s="175" t="n">
        <v>52</v>
      </c>
      <c r="H24" s="176" t="n">
        <v>10999.1856381924</v>
      </c>
      <c r="I24" s="177" t="n">
        <v>3606935.96429087</v>
      </c>
      <c r="J24" s="178" t="str">
        <f>IF(I24&gt;0,H24/I24,0)</f>
      </c>
      <c r="K24" s="179" t="str">
        <f>1-EXP(-J24)</f>
      </c>
      <c r="L24" s="180" t="str">
        <f>IF(G24=30,1,M23)</f>
      </c>
      <c r="M24" s="181" t="str">
        <f>L24*(1-K24)</f>
      </c>
    </row>
    <row r="25">
      <c r="A25" t="s">
        <v>164</v>
      </c>
      <c r="B25" t="s">
        <v>115</v>
      </c>
      <c r="C25" s="32" t="s">
        <v>294</v>
      </c>
      <c r="D25" t="s">
        <v>378</v>
      </c>
      <c r="E25" t="s">
        <v>395</v>
      </c>
      <c r="F25" s="174" t="n">
        <v>2025</v>
      </c>
      <c r="G25" s="175" t="n">
        <v>53</v>
      </c>
      <c r="H25" s="176" t="n">
        <v>11320.211791169</v>
      </c>
      <c r="I25" s="177" t="n">
        <v>3400438.09374049</v>
      </c>
      <c r="J25" s="178" t="str">
        <f>IF(I25&gt;0,H25/I25,0)</f>
      </c>
      <c r="K25" s="179" t="str">
        <f>1-EXP(-J25)</f>
      </c>
      <c r="L25" s="180" t="str">
        <f>IF(G25=30,1,M24)</f>
      </c>
      <c r="M25" s="181" t="str">
        <f>L25*(1-K25)</f>
      </c>
    </row>
    <row r="26">
      <c r="A26" t="s">
        <v>164</v>
      </c>
      <c r="B26" t="s">
        <v>115</v>
      </c>
      <c r="C26" s="32" t="s">
        <v>294</v>
      </c>
      <c r="D26" t="s">
        <v>378</v>
      </c>
      <c r="E26" t="s">
        <v>395</v>
      </c>
      <c r="F26" s="174" t="n">
        <v>2025</v>
      </c>
      <c r="G26" s="175" t="n">
        <v>54</v>
      </c>
      <c r="H26" s="176" t="n">
        <v>12058.0132264927</v>
      </c>
      <c r="I26" s="177" t="n">
        <v>3319306.02358973</v>
      </c>
      <c r="J26" s="178" t="str">
        <f>IF(I26&gt;0,H26/I26,0)</f>
      </c>
      <c r="K26" s="179" t="str">
        <f>1-EXP(-J26)</f>
      </c>
      <c r="L26" s="180" t="str">
        <f>IF(G26=30,1,M25)</f>
      </c>
      <c r="M26" s="181" t="str">
        <f>L26*(1-K26)</f>
      </c>
    </row>
    <row r="27">
      <c r="A27" t="s">
        <v>164</v>
      </c>
      <c r="B27" t="s">
        <v>115</v>
      </c>
      <c r="C27" s="32" t="s">
        <v>294</v>
      </c>
      <c r="D27" t="s">
        <v>378</v>
      </c>
      <c r="E27" t="s">
        <v>395</v>
      </c>
      <c r="F27" s="174" t="n">
        <v>2025</v>
      </c>
      <c r="G27" s="175" t="n">
        <v>55</v>
      </c>
      <c r="H27" s="176" t="n">
        <v>13121.8630224673</v>
      </c>
      <c r="I27" s="177" t="n">
        <v>3243129.61757841</v>
      </c>
      <c r="J27" s="178" t="str">
        <f>IF(I27&gt;0,H27/I27,0)</f>
      </c>
      <c r="K27" s="179" t="str">
        <f>1-EXP(-J27)</f>
      </c>
      <c r="L27" s="180" t="str">
        <f>IF(G27=30,1,M26)</f>
      </c>
      <c r="M27" s="181" t="str">
        <f>L27*(1-K27)</f>
      </c>
    </row>
    <row r="28">
      <c r="A28" t="s">
        <v>164</v>
      </c>
      <c r="B28" t="s">
        <v>115</v>
      </c>
      <c r="C28" s="32" t="s">
        <v>294</v>
      </c>
      <c r="D28" t="s">
        <v>378</v>
      </c>
      <c r="E28" t="s">
        <v>395</v>
      </c>
      <c r="F28" s="174" t="n">
        <v>2025</v>
      </c>
      <c r="G28" s="175" t="n">
        <v>56</v>
      </c>
      <c r="H28" s="176" t="n">
        <v>13949.400946191</v>
      </c>
      <c r="I28" s="177" t="n">
        <v>3157182.63240391</v>
      </c>
      <c r="J28" s="178" t="str">
        <f>IF(I28&gt;0,H28/I28,0)</f>
      </c>
      <c r="K28" s="179" t="str">
        <f>1-EXP(-J28)</f>
      </c>
      <c r="L28" s="180" t="str">
        <f>IF(G28=30,1,M27)</f>
      </c>
      <c r="M28" s="181" t="str">
        <f>L28*(1-K28)</f>
      </c>
    </row>
    <row r="29">
      <c r="A29" t="s">
        <v>164</v>
      </c>
      <c r="B29" t="s">
        <v>115</v>
      </c>
      <c r="C29" s="32" t="s">
        <v>294</v>
      </c>
      <c r="D29" t="s">
        <v>378</v>
      </c>
      <c r="E29" t="s">
        <v>395</v>
      </c>
      <c r="F29" s="174" t="n">
        <v>2025</v>
      </c>
      <c r="G29" s="175" t="n">
        <v>57</v>
      </c>
      <c r="H29" s="176" t="n">
        <v>14724.9347216005</v>
      </c>
      <c r="I29" s="177" t="n">
        <v>3051443.9184786</v>
      </c>
      <c r="J29" s="178" t="str">
        <f>IF(I29&gt;0,H29/I29,0)</f>
      </c>
      <c r="K29" s="179" t="str">
        <f>1-EXP(-J29)</f>
      </c>
      <c r="L29" s="180" t="str">
        <f>IF(G29=30,1,M28)</f>
      </c>
      <c r="M29" s="181" t="str">
        <f>L29*(1-K29)</f>
      </c>
    </row>
    <row r="30">
      <c r="A30" t="s">
        <v>164</v>
      </c>
      <c r="B30" t="s">
        <v>115</v>
      </c>
      <c r="C30" s="32" t="s">
        <v>294</v>
      </c>
      <c r="D30" t="s">
        <v>378</v>
      </c>
      <c r="E30" t="s">
        <v>395</v>
      </c>
      <c r="F30" s="174" t="n">
        <v>2025</v>
      </c>
      <c r="G30" s="175" t="n">
        <v>58</v>
      </c>
      <c r="H30" s="176" t="n">
        <v>15371.2074623554</v>
      </c>
      <c r="I30" s="177" t="n">
        <v>2913456.20780408</v>
      </c>
      <c r="J30" s="178" t="str">
        <f>IF(I30&gt;0,H30/I30,0)</f>
      </c>
      <c r="K30" s="179" t="str">
        <f>1-EXP(-J30)</f>
      </c>
      <c r="L30" s="180" t="str">
        <f>IF(G30=30,1,M29)</f>
      </c>
      <c r="M30" s="181" t="str">
        <f>L30*(1-K30)</f>
      </c>
    </row>
    <row r="31">
      <c r="A31" t="s">
        <v>164</v>
      </c>
      <c r="B31" t="s">
        <v>115</v>
      </c>
      <c r="C31" s="32" t="s">
        <v>294</v>
      </c>
      <c r="D31" t="s">
        <v>378</v>
      </c>
      <c r="E31" t="s">
        <v>395</v>
      </c>
      <c r="F31" s="174" t="n">
        <v>2025</v>
      </c>
      <c r="G31" s="175" t="n">
        <v>59</v>
      </c>
      <c r="H31" s="176" t="n">
        <v>16213.810962571</v>
      </c>
      <c r="I31" s="177" t="n">
        <v>2813535.58615437</v>
      </c>
      <c r="J31" s="178" t="str">
        <f>IF(I31&gt;0,H31/I31,0)</f>
      </c>
      <c r="K31" s="179" t="str">
        <f>1-EXP(-J31)</f>
      </c>
      <c r="L31" s="180" t="str">
        <f>IF(G31=30,1,M30)</f>
      </c>
      <c r="M31" s="181" t="str">
        <f>L31*(1-K31)</f>
      </c>
    </row>
    <row r="32">
      <c r="A32" t="s">
        <v>164</v>
      </c>
      <c r="B32" t="s">
        <v>115</v>
      </c>
      <c r="C32" s="32" t="s">
        <v>294</v>
      </c>
      <c r="D32" t="s">
        <v>378</v>
      </c>
      <c r="E32" t="s">
        <v>395</v>
      </c>
      <c r="F32" s="174" t="n">
        <v>2025</v>
      </c>
      <c r="G32" s="175" t="n">
        <v>60</v>
      </c>
      <c r="H32" s="176" t="n">
        <v>17442.466213005</v>
      </c>
      <c r="I32" s="177" t="n">
        <v>2691047.17153736</v>
      </c>
      <c r="J32" s="178" t="str">
        <f>IF(I32&gt;0,H32/I32,0)</f>
      </c>
      <c r="K32" s="179" t="str">
        <f>1-EXP(-J32)</f>
      </c>
      <c r="L32" s="180" t="str">
        <f>IF(G32=30,1,M31)</f>
      </c>
      <c r="M32" s="181" t="str">
        <f>L32*(1-K32)</f>
      </c>
    </row>
    <row r="33">
      <c r="A33" t="s">
        <v>164</v>
      </c>
      <c r="B33" t="s">
        <v>115</v>
      </c>
      <c r="C33" s="32" t="s">
        <v>294</v>
      </c>
      <c r="D33" t="s">
        <v>378</v>
      </c>
      <c r="E33" t="s">
        <v>395</v>
      </c>
      <c r="F33" s="174" t="n">
        <v>2025</v>
      </c>
      <c r="G33" s="175" t="n">
        <v>61</v>
      </c>
      <c r="H33" s="176" t="n">
        <v>18185.5962140586</v>
      </c>
      <c r="I33" s="177" t="n">
        <v>2568096.94973173</v>
      </c>
      <c r="J33" s="178" t="str">
        <f>IF(I33&gt;0,H33/I33,0)</f>
      </c>
      <c r="K33" s="179" t="str">
        <f>1-EXP(-J33)</f>
      </c>
      <c r="L33" s="180" t="str">
        <f>IF(G33=30,1,M32)</f>
      </c>
      <c r="M33" s="181" t="str">
        <f>L33*(1-K33)</f>
      </c>
    </row>
    <row r="34">
      <c r="A34" t="s">
        <v>164</v>
      </c>
      <c r="B34" t="s">
        <v>115</v>
      </c>
      <c r="C34" s="32" t="s">
        <v>294</v>
      </c>
      <c r="D34" t="s">
        <v>378</v>
      </c>
      <c r="E34" t="s">
        <v>395</v>
      </c>
      <c r="F34" s="174" t="n">
        <v>2025</v>
      </c>
      <c r="G34" s="175" t="n">
        <v>62</v>
      </c>
      <c r="H34" s="176" t="n">
        <v>18970.1376231544</v>
      </c>
      <c r="I34" s="177" t="n">
        <v>2450910.06582199</v>
      </c>
      <c r="J34" s="178" t="str">
        <f>IF(I34&gt;0,H34/I34,0)</f>
      </c>
      <c r="K34" s="179" t="str">
        <f>1-EXP(-J34)</f>
      </c>
      <c r="L34" s="180" t="str">
        <f>IF(G34=30,1,M33)</f>
      </c>
      <c r="M34" s="181" t="str">
        <f>L34*(1-K34)</f>
      </c>
    </row>
    <row r="35">
      <c r="A35" t="s">
        <v>164</v>
      </c>
      <c r="B35" t="s">
        <v>115</v>
      </c>
      <c r="C35" s="32" t="s">
        <v>294</v>
      </c>
      <c r="D35" t="s">
        <v>378</v>
      </c>
      <c r="E35" t="s">
        <v>395</v>
      </c>
      <c r="F35" s="174" t="n">
        <v>2025</v>
      </c>
      <c r="G35" s="175" t="n">
        <v>63</v>
      </c>
      <c r="H35" s="176" t="n">
        <v>19616.8921947261</v>
      </c>
      <c r="I35" s="177" t="n">
        <v>2307352.6622382</v>
      </c>
      <c r="J35" s="178" t="str">
        <f>IF(I35&gt;0,H35/I35,0)</f>
      </c>
      <c r="K35" s="179" t="str">
        <f>1-EXP(-J35)</f>
      </c>
      <c r="L35" s="180" t="str">
        <f>IF(G35=30,1,M34)</f>
      </c>
      <c r="M35" s="181" t="str">
        <f>L35*(1-K35)</f>
      </c>
    </row>
    <row r="36">
      <c r="A36" t="s">
        <v>164</v>
      </c>
      <c r="B36" t="s">
        <v>115</v>
      </c>
      <c r="C36" s="32" t="s">
        <v>294</v>
      </c>
      <c r="D36" t="s">
        <v>378</v>
      </c>
      <c r="E36" t="s">
        <v>395</v>
      </c>
      <c r="F36" s="174" t="n">
        <v>2025</v>
      </c>
      <c r="G36" s="175" t="n">
        <v>64</v>
      </c>
      <c r="H36" s="176" t="n">
        <v>20366.5260402307</v>
      </c>
      <c r="I36" s="177" t="n">
        <v>2189442.45160812</v>
      </c>
      <c r="J36" s="178" t="str">
        <f>IF(I36&gt;0,H36/I36,0)</f>
      </c>
      <c r="K36" s="179" t="str">
        <f>1-EXP(-J36)</f>
      </c>
      <c r="L36" s="180" t="str">
        <f>IF(G36=30,1,M35)</f>
      </c>
      <c r="M36" s="181" t="str">
        <f>L36*(1-K36)</f>
      </c>
    </row>
    <row r="37">
      <c r="A37" t="s">
        <v>164</v>
      </c>
      <c r="B37" t="s">
        <v>115</v>
      </c>
      <c r="C37" s="32" t="s">
        <v>294</v>
      </c>
      <c r="D37" t="s">
        <v>378</v>
      </c>
      <c r="E37" t="s">
        <v>395</v>
      </c>
      <c r="F37" s="174" t="n">
        <v>2025</v>
      </c>
      <c r="G37" s="175" t="n">
        <v>65</v>
      </c>
      <c r="H37" s="176" t="n">
        <v>20564.8182811926</v>
      </c>
      <c r="I37" s="177" t="n">
        <v>2067379.29561573</v>
      </c>
      <c r="J37" s="178" t="str">
        <f>IF(I37&gt;0,H37/I37,0)</f>
      </c>
      <c r="K37" s="179" t="str">
        <f>1-EXP(-J37)</f>
      </c>
      <c r="L37" s="180" t="str">
        <f>IF(G37=30,1,M36)</f>
      </c>
      <c r="M37" s="181" t="str">
        <f>L37*(1-K37)</f>
      </c>
    </row>
    <row r="38">
      <c r="A38" t="s">
        <v>164</v>
      </c>
      <c r="B38" t="s">
        <v>115</v>
      </c>
      <c r="C38" s="32" t="s">
        <v>294</v>
      </c>
      <c r="D38" t="s">
        <v>378</v>
      </c>
      <c r="E38" t="s">
        <v>395</v>
      </c>
      <c r="F38" s="174" t="n">
        <v>2025</v>
      </c>
      <c r="G38" s="175" t="n">
        <v>66</v>
      </c>
      <c r="H38" s="176" t="n">
        <v>21128.4842212808</v>
      </c>
      <c r="I38" s="177" t="n">
        <v>1938977.04767675</v>
      </c>
      <c r="J38" s="178" t="str">
        <f>IF(I38&gt;0,H38/I38,0)</f>
      </c>
      <c r="K38" s="179" t="str">
        <f>1-EXP(-J38)</f>
      </c>
      <c r="L38" s="180" t="str">
        <f>IF(G38=30,1,M37)</f>
      </c>
      <c r="M38" s="181" t="str">
        <f>L38*(1-K38)</f>
      </c>
    </row>
    <row r="39">
      <c r="A39" t="s">
        <v>164</v>
      </c>
      <c r="B39" t="s">
        <v>115</v>
      </c>
      <c r="C39" s="32" t="s">
        <v>294</v>
      </c>
      <c r="D39" t="s">
        <v>378</v>
      </c>
      <c r="E39" t="s">
        <v>395</v>
      </c>
      <c r="F39" s="174" t="n">
        <v>2025</v>
      </c>
      <c r="G39" s="175" t="n">
        <v>67</v>
      </c>
      <c r="H39" s="176" t="n">
        <v>21650.1531142985</v>
      </c>
      <c r="I39" s="177" t="n">
        <v>1812804.58670767</v>
      </c>
      <c r="J39" s="178" t="str">
        <f>IF(I39&gt;0,H39/I39,0)</f>
      </c>
      <c r="K39" s="179" t="str">
        <f>1-EXP(-J39)</f>
      </c>
      <c r="L39" s="180" t="str">
        <f>IF(G39=30,1,M38)</f>
      </c>
      <c r="M39" s="181" t="str">
        <f>L39*(1-K39)</f>
      </c>
    </row>
    <row r="40">
      <c r="A40" t="s">
        <v>164</v>
      </c>
      <c r="B40" t="s">
        <v>115</v>
      </c>
      <c r="C40" s="32" t="s">
        <v>294</v>
      </c>
      <c r="D40" t="s">
        <v>378</v>
      </c>
      <c r="E40" t="s">
        <v>395</v>
      </c>
      <c r="F40" s="174" t="n">
        <v>2025</v>
      </c>
      <c r="G40" s="175" t="n">
        <v>68</v>
      </c>
      <c r="H40" s="176" t="n">
        <v>22443.5912394105</v>
      </c>
      <c r="I40" s="177" t="n">
        <v>1708817.0374287</v>
      </c>
      <c r="J40" s="178" t="str">
        <f>IF(I40&gt;0,H40/I40,0)</f>
      </c>
      <c r="K40" s="179" t="str">
        <f>1-EXP(-J40)</f>
      </c>
      <c r="L40" s="180" t="str">
        <f>IF(G40=30,1,M39)</f>
      </c>
      <c r="M40" s="181" t="str">
        <f>L40*(1-K40)</f>
      </c>
    </row>
    <row r="41">
      <c r="A41" t="s">
        <v>164</v>
      </c>
      <c r="B41" t="s">
        <v>115</v>
      </c>
      <c r="C41" s="32" t="s">
        <v>294</v>
      </c>
      <c r="D41" t="s">
        <v>378</v>
      </c>
      <c r="E41" t="s">
        <v>395</v>
      </c>
      <c r="F41" s="174" t="n">
        <v>2025</v>
      </c>
      <c r="G41" s="175" t="n">
        <v>69</v>
      </c>
      <c r="H41" s="176" t="n">
        <v>22887.5139092692</v>
      </c>
      <c r="I41" s="177" t="n">
        <v>1588246.5017458</v>
      </c>
      <c r="J41" s="178" t="str">
        <f>IF(I41&gt;0,H41/I41,0)</f>
      </c>
      <c r="K41" s="179" t="str">
        <f>1-EXP(-J41)</f>
      </c>
      <c r="L41" s="180" t="str">
        <f>IF(G41=30,1,M40)</f>
      </c>
      <c r="M41" s="181" t="str">
        <f>L41*(1-K41)</f>
      </c>
    </row>
    <row r="42">
      <c r="A42" t="s">
        <v>164</v>
      </c>
      <c r="B42" t="s">
        <v>115</v>
      </c>
      <c r="C42" s="32" t="s">
        <v>294</v>
      </c>
      <c r="D42" t="s">
        <v>378</v>
      </c>
      <c r="E42" t="s">
        <v>395</v>
      </c>
      <c r="F42" s="174" t="n">
        <v>2026</v>
      </c>
      <c r="G42" s="175" t="n">
        <v>30</v>
      </c>
      <c r="H42" s="176" t="n">
        <v>1298.24801012687</v>
      </c>
      <c r="I42" s="177" t="n">
        <v>4533066.05431128</v>
      </c>
      <c r="J42" s="178" t="str">
        <f>IF(I42&gt;0,H42/I42,0)</f>
      </c>
      <c r="K42" s="179" t="str">
        <f>1-EXP(-J42)</f>
      </c>
      <c r="L42" s="180" t="str">
        <f>IF(G42=30,1,M41)</f>
      </c>
      <c r="M42" s="181" t="str">
        <f>L42*(1-K42)</f>
      </c>
    </row>
    <row r="43">
      <c r="A43" t="s">
        <v>164</v>
      </c>
      <c r="B43" t="s">
        <v>115</v>
      </c>
      <c r="C43" s="32" t="s">
        <v>294</v>
      </c>
      <c r="D43" t="s">
        <v>378</v>
      </c>
      <c r="E43" t="s">
        <v>395</v>
      </c>
      <c r="F43" s="174" t="n">
        <v>2026</v>
      </c>
      <c r="G43" s="175" t="n">
        <v>31</v>
      </c>
      <c r="H43" s="176" t="n">
        <v>1327.54633514884</v>
      </c>
      <c r="I43" s="177" t="n">
        <v>4460323.13013529</v>
      </c>
      <c r="J43" s="178" t="str">
        <f>IF(I43&gt;0,H43/I43,0)</f>
      </c>
      <c r="K43" s="179" t="str">
        <f>1-EXP(-J43)</f>
      </c>
      <c r="L43" s="180" t="str">
        <f>IF(G43=30,1,M42)</f>
      </c>
      <c r="M43" s="181" t="str">
        <f>L43*(1-K43)</f>
      </c>
    </row>
    <row r="44">
      <c r="A44" t="s">
        <v>164</v>
      </c>
      <c r="B44" t="s">
        <v>115</v>
      </c>
      <c r="C44" s="32" t="s">
        <v>294</v>
      </c>
      <c r="D44" t="s">
        <v>378</v>
      </c>
      <c r="E44" t="s">
        <v>395</v>
      </c>
      <c r="F44" s="174" t="n">
        <v>2026</v>
      </c>
      <c r="G44" s="175" t="n">
        <v>32</v>
      </c>
      <c r="H44" s="176" t="n">
        <v>1370.29979834801</v>
      </c>
      <c r="I44" s="177" t="n">
        <v>4404105.59550118</v>
      </c>
      <c r="J44" s="178" t="str">
        <f>IF(I44&gt;0,H44/I44,0)</f>
      </c>
      <c r="K44" s="179" t="str">
        <f>1-EXP(-J44)</f>
      </c>
      <c r="L44" s="180" t="str">
        <f>IF(G44=30,1,M43)</f>
      </c>
      <c r="M44" s="181" t="str">
        <f>L44*(1-K44)</f>
      </c>
    </row>
    <row r="45">
      <c r="A45" t="s">
        <v>164</v>
      </c>
      <c r="B45" t="s">
        <v>115</v>
      </c>
      <c r="C45" s="32" t="s">
        <v>294</v>
      </c>
      <c r="D45" t="s">
        <v>378</v>
      </c>
      <c r="E45" t="s">
        <v>395</v>
      </c>
      <c r="F45" s="174" t="n">
        <v>2026</v>
      </c>
      <c r="G45" s="175" t="n">
        <v>33</v>
      </c>
      <c r="H45" s="176" t="n">
        <v>1424.8533357339</v>
      </c>
      <c r="I45" s="177" t="n">
        <v>4351714.92353231</v>
      </c>
      <c r="J45" s="178" t="str">
        <f>IF(I45&gt;0,H45/I45,0)</f>
      </c>
      <c r="K45" s="179" t="str">
        <f>1-EXP(-J45)</f>
      </c>
      <c r="L45" s="180" t="str">
        <f>IF(G45=30,1,M44)</f>
      </c>
      <c r="M45" s="181" t="str">
        <f>L45*(1-K45)</f>
      </c>
    </row>
    <row r="46">
      <c r="A46" t="s">
        <v>164</v>
      </c>
      <c r="B46" t="s">
        <v>115</v>
      </c>
      <c r="C46" s="32" t="s">
        <v>294</v>
      </c>
      <c r="D46" t="s">
        <v>378</v>
      </c>
      <c r="E46" t="s">
        <v>395</v>
      </c>
      <c r="F46" s="174" t="n">
        <v>2026</v>
      </c>
      <c r="G46" s="175" t="n">
        <v>34</v>
      </c>
      <c r="H46" s="176" t="n">
        <v>1521.99283029275</v>
      </c>
      <c r="I46" s="177" t="n">
        <v>4391577.80533736</v>
      </c>
      <c r="J46" s="178" t="str">
        <f>IF(I46&gt;0,H46/I46,0)</f>
      </c>
      <c r="K46" s="179" t="str">
        <f>1-EXP(-J46)</f>
      </c>
      <c r="L46" s="180" t="str">
        <f>IF(G46=30,1,M45)</f>
      </c>
      <c r="M46" s="181" t="str">
        <f>L46*(1-K46)</f>
      </c>
    </row>
    <row r="47">
      <c r="A47" t="s">
        <v>164</v>
      </c>
      <c r="B47" t="s">
        <v>115</v>
      </c>
      <c r="C47" s="32" t="s">
        <v>294</v>
      </c>
      <c r="D47" t="s">
        <v>378</v>
      </c>
      <c r="E47" t="s">
        <v>395</v>
      </c>
      <c r="F47" s="174" t="n">
        <v>2026</v>
      </c>
      <c r="G47" s="175" t="n">
        <v>35</v>
      </c>
      <c r="H47" s="176" t="n">
        <v>2112.25406716074</v>
      </c>
      <c r="I47" s="177" t="n">
        <v>4411881.63741314</v>
      </c>
      <c r="J47" s="178" t="str">
        <f>IF(I47&gt;0,H47/I47,0)</f>
      </c>
      <c r="K47" s="179" t="str">
        <f>1-EXP(-J47)</f>
      </c>
      <c r="L47" s="180" t="str">
        <f>IF(G47=30,1,M46)</f>
      </c>
      <c r="M47" s="181" t="str">
        <f>L47*(1-K47)</f>
      </c>
    </row>
    <row r="48">
      <c r="A48" t="s">
        <v>164</v>
      </c>
      <c r="B48" t="s">
        <v>115</v>
      </c>
      <c r="C48" s="32" t="s">
        <v>294</v>
      </c>
      <c r="D48" t="s">
        <v>378</v>
      </c>
      <c r="E48" t="s">
        <v>395</v>
      </c>
      <c r="F48" s="174" t="n">
        <v>2026</v>
      </c>
      <c r="G48" s="175" t="n">
        <v>36</v>
      </c>
      <c r="H48" s="176" t="n">
        <v>3196.75174390892</v>
      </c>
      <c r="I48" s="177" t="n">
        <v>6497474.08312581</v>
      </c>
      <c r="J48" s="178" t="str">
        <f>IF(I48&gt;0,H48/I48,0)</f>
      </c>
      <c r="K48" s="179" t="str">
        <f>1-EXP(-J48)</f>
      </c>
      <c r="L48" s="180" t="str">
        <f>IF(G48=30,1,M47)</f>
      </c>
      <c r="M48" s="181" t="str">
        <f>L48*(1-K48)</f>
      </c>
    </row>
    <row r="49">
      <c r="A49" t="s">
        <v>164</v>
      </c>
      <c r="B49" t="s">
        <v>115</v>
      </c>
      <c r="C49" s="32" t="s">
        <v>294</v>
      </c>
      <c r="D49" t="s">
        <v>378</v>
      </c>
      <c r="E49" t="s">
        <v>395</v>
      </c>
      <c r="F49" s="174" t="n">
        <v>2026</v>
      </c>
      <c r="G49" s="175" t="n">
        <v>37</v>
      </c>
      <c r="H49" s="176" t="n">
        <v>2396.71838952957</v>
      </c>
      <c r="I49" s="177" t="n">
        <v>4374564.95231593</v>
      </c>
      <c r="J49" s="178" t="str">
        <f>IF(I49&gt;0,H49/I49,0)</f>
      </c>
      <c r="K49" s="179" t="str">
        <f>1-EXP(-J49)</f>
      </c>
      <c r="L49" s="180" t="str">
        <f>IF(G49=30,1,M48)</f>
      </c>
      <c r="M49" s="181" t="str">
        <f>L49*(1-K49)</f>
      </c>
    </row>
    <row r="50">
      <c r="A50" t="s">
        <v>164</v>
      </c>
      <c r="B50" t="s">
        <v>115</v>
      </c>
      <c r="C50" s="32" t="s">
        <v>294</v>
      </c>
      <c r="D50" t="s">
        <v>378</v>
      </c>
      <c r="E50" t="s">
        <v>395</v>
      </c>
      <c r="F50" s="174" t="n">
        <v>2026</v>
      </c>
      <c r="G50" s="175" t="n">
        <v>38</v>
      </c>
      <c r="H50" s="176" t="n">
        <v>2562.83155331032</v>
      </c>
      <c r="I50" s="177" t="n">
        <v>4360550.03715021</v>
      </c>
      <c r="J50" s="178" t="str">
        <f>IF(I50&gt;0,H50/I50,0)</f>
      </c>
      <c r="K50" s="179" t="str">
        <f>1-EXP(-J50)</f>
      </c>
      <c r="L50" s="180" t="str">
        <f>IF(G50=30,1,M49)</f>
      </c>
      <c r="M50" s="181" t="str">
        <f>L50*(1-K50)</f>
      </c>
    </row>
    <row r="51">
      <c r="A51" t="s">
        <v>164</v>
      </c>
      <c r="B51" t="s">
        <v>115</v>
      </c>
      <c r="C51" s="32" t="s">
        <v>294</v>
      </c>
      <c r="D51" t="s">
        <v>378</v>
      </c>
      <c r="E51" t="s">
        <v>395</v>
      </c>
      <c r="F51" s="174" t="n">
        <v>2026</v>
      </c>
      <c r="G51" s="175" t="n">
        <v>39</v>
      </c>
      <c r="H51" s="176" t="n">
        <v>2670.92502905083</v>
      </c>
      <c r="I51" s="177" t="n">
        <v>4230055.14654035</v>
      </c>
      <c r="J51" s="178" t="str">
        <f>IF(I51&gt;0,H51/I51,0)</f>
      </c>
      <c r="K51" s="179" t="str">
        <f>1-EXP(-J51)</f>
      </c>
      <c r="L51" s="180" t="str">
        <f>IF(G51=30,1,M50)</f>
      </c>
      <c r="M51" s="181" t="str">
        <f>L51*(1-K51)</f>
      </c>
    </row>
    <row r="52">
      <c r="A52" t="s">
        <v>164</v>
      </c>
      <c r="B52" t="s">
        <v>115</v>
      </c>
      <c r="C52" s="32" t="s">
        <v>294</v>
      </c>
      <c r="D52" t="s">
        <v>378</v>
      </c>
      <c r="E52" t="s">
        <v>395</v>
      </c>
      <c r="F52" s="174" t="n">
        <v>2026</v>
      </c>
      <c r="G52" s="175" t="n">
        <v>40</v>
      </c>
      <c r="H52" s="176" t="n">
        <v>3575.3554940344</v>
      </c>
      <c r="I52" s="177" t="n">
        <v>4198447.80357072</v>
      </c>
      <c r="J52" s="178" t="str">
        <f>IF(I52&gt;0,H52/I52,0)</f>
      </c>
      <c r="K52" s="179" t="str">
        <f>1-EXP(-J52)</f>
      </c>
      <c r="L52" s="180" t="str">
        <f>IF(G52=30,1,M51)</f>
      </c>
      <c r="M52" s="181" t="str">
        <f>L52*(1-K52)</f>
      </c>
    </row>
    <row r="53">
      <c r="A53" t="s">
        <v>164</v>
      </c>
      <c r="B53" t="s">
        <v>115</v>
      </c>
      <c r="C53" s="32" t="s">
        <v>294</v>
      </c>
      <c r="D53" t="s">
        <v>378</v>
      </c>
      <c r="E53" t="s">
        <v>395</v>
      </c>
      <c r="F53" s="174" t="n">
        <v>2026</v>
      </c>
      <c r="G53" s="175" t="n">
        <v>41</v>
      </c>
      <c r="H53" s="176" t="n">
        <v>3915.40676012502</v>
      </c>
      <c r="I53" s="177" t="n">
        <v>4261037.22561078</v>
      </c>
      <c r="J53" s="178" t="str">
        <f>IF(I53&gt;0,H53/I53,0)</f>
      </c>
      <c r="K53" s="179" t="str">
        <f>1-EXP(-J53)</f>
      </c>
      <c r="L53" s="180" t="str">
        <f>IF(G53=30,1,M52)</f>
      </c>
      <c r="M53" s="181" t="str">
        <f>L53*(1-K53)</f>
      </c>
    </row>
    <row r="54">
      <c r="A54" t="s">
        <v>164</v>
      </c>
      <c r="B54" t="s">
        <v>115</v>
      </c>
      <c r="C54" s="32" t="s">
        <v>294</v>
      </c>
      <c r="D54" t="s">
        <v>378</v>
      </c>
      <c r="E54" t="s">
        <v>395</v>
      </c>
      <c r="F54" s="174" t="n">
        <v>2026</v>
      </c>
      <c r="G54" s="175" t="n">
        <v>42</v>
      </c>
      <c r="H54" s="176" t="n">
        <v>4327.61292416521</v>
      </c>
      <c r="I54" s="177" t="n">
        <v>4350355.9327113</v>
      </c>
      <c r="J54" s="178" t="str">
        <f>IF(I54&gt;0,H54/I54,0)</f>
      </c>
      <c r="K54" s="179" t="str">
        <f>1-EXP(-J54)</f>
      </c>
      <c r="L54" s="180" t="str">
        <f>IF(G54=30,1,M53)</f>
      </c>
      <c r="M54" s="181" t="str">
        <f>L54*(1-K54)</f>
      </c>
    </row>
    <row r="55">
      <c r="A55" t="s">
        <v>164</v>
      </c>
      <c r="B55" t="s">
        <v>115</v>
      </c>
      <c r="C55" s="32" t="s">
        <v>294</v>
      </c>
      <c r="D55" t="s">
        <v>378</v>
      </c>
      <c r="E55" t="s">
        <v>395</v>
      </c>
      <c r="F55" s="174" t="n">
        <v>2026</v>
      </c>
      <c r="G55" s="175" t="n">
        <v>43</v>
      </c>
      <c r="H55" s="176" t="n">
        <v>4680.32625946141</v>
      </c>
      <c r="I55" s="177" t="n">
        <v>4329966.95829214</v>
      </c>
      <c r="J55" s="178" t="str">
        <f>IF(I55&gt;0,H55/I55,0)</f>
      </c>
      <c r="K55" s="179" t="str">
        <f>1-EXP(-J55)</f>
      </c>
      <c r="L55" s="180" t="str">
        <f>IF(G55=30,1,M54)</f>
      </c>
      <c r="M55" s="181" t="str">
        <f>L55*(1-K55)</f>
      </c>
    </row>
    <row r="56">
      <c r="A56" t="s">
        <v>164</v>
      </c>
      <c r="B56" t="s">
        <v>115</v>
      </c>
      <c r="C56" s="32" t="s">
        <v>294</v>
      </c>
      <c r="D56" t="s">
        <v>378</v>
      </c>
      <c r="E56" t="s">
        <v>395</v>
      </c>
      <c r="F56" s="174" t="n">
        <v>2026</v>
      </c>
      <c r="G56" s="175" t="n">
        <v>44</v>
      </c>
      <c r="H56" s="176" t="n">
        <v>4947.08928806714</v>
      </c>
      <c r="I56" s="177" t="n">
        <v>4196064.82449968</v>
      </c>
      <c r="J56" s="178" t="str">
        <f>IF(I56&gt;0,H56/I56,0)</f>
      </c>
      <c r="K56" s="179" t="str">
        <f>1-EXP(-J56)</f>
      </c>
      <c r="L56" s="180" t="str">
        <f>IF(G56=30,1,M55)</f>
      </c>
      <c r="M56" s="181" t="str">
        <f>L56*(1-K56)</f>
      </c>
    </row>
    <row r="57">
      <c r="A57" t="s">
        <v>164</v>
      </c>
      <c r="B57" t="s">
        <v>115</v>
      </c>
      <c r="C57" s="32" t="s">
        <v>294</v>
      </c>
      <c r="D57" t="s">
        <v>378</v>
      </c>
      <c r="E57" t="s">
        <v>395</v>
      </c>
      <c r="F57" s="174" t="n">
        <v>2026</v>
      </c>
      <c r="G57" s="175" t="n">
        <v>45</v>
      </c>
      <c r="H57" s="176" t="n">
        <v>6302.21329196627</v>
      </c>
      <c r="I57" s="177" t="n">
        <v>4125591.44550924</v>
      </c>
      <c r="J57" s="178" t="str">
        <f>IF(I57&gt;0,H57/I57,0)</f>
      </c>
      <c r="K57" s="179" t="str">
        <f>1-EXP(-J57)</f>
      </c>
      <c r="L57" s="180" t="str">
        <f>IF(G57=30,1,M56)</f>
      </c>
      <c r="M57" s="181" t="str">
        <f>L57*(1-K57)</f>
      </c>
    </row>
    <row r="58">
      <c r="A58" t="s">
        <v>164</v>
      </c>
      <c r="B58" t="s">
        <v>115</v>
      </c>
      <c r="C58" s="32" t="s">
        <v>294</v>
      </c>
      <c r="D58" t="s">
        <v>378</v>
      </c>
      <c r="E58" t="s">
        <v>395</v>
      </c>
      <c r="F58" s="174" t="n">
        <v>2026</v>
      </c>
      <c r="G58" s="175" t="n">
        <v>46</v>
      </c>
      <c r="H58" s="176" t="n">
        <v>6803.98635690188</v>
      </c>
      <c r="I58" s="177" t="n">
        <v>4070423.79660791</v>
      </c>
      <c r="J58" s="178" t="str">
        <f>IF(I58&gt;0,H58/I58,0)</f>
      </c>
      <c r="K58" s="179" t="str">
        <f>1-EXP(-J58)</f>
      </c>
      <c r="L58" s="180" t="str">
        <f>IF(G58=30,1,M57)</f>
      </c>
      <c r="M58" s="181" t="str">
        <f>L58*(1-K58)</f>
      </c>
    </row>
    <row r="59">
      <c r="A59" t="s">
        <v>164</v>
      </c>
      <c r="B59" t="s">
        <v>115</v>
      </c>
      <c r="C59" s="32" t="s">
        <v>294</v>
      </c>
      <c r="D59" t="s">
        <v>378</v>
      </c>
      <c r="E59" t="s">
        <v>395</v>
      </c>
      <c r="F59" s="174" t="n">
        <v>2026</v>
      </c>
      <c r="G59" s="175" t="n">
        <v>47</v>
      </c>
      <c r="H59" s="176" t="n">
        <v>7337.0961547692</v>
      </c>
      <c r="I59" s="177" t="n">
        <v>4010952.63156028</v>
      </c>
      <c r="J59" s="178" t="str">
        <f>IF(I59&gt;0,H59/I59,0)</f>
      </c>
      <c r="K59" s="179" t="str">
        <f>1-EXP(-J59)</f>
      </c>
      <c r="L59" s="180" t="str">
        <f>IF(G59=30,1,M58)</f>
      </c>
      <c r="M59" s="181" t="str">
        <f>L59*(1-K59)</f>
      </c>
    </row>
    <row r="60">
      <c r="A60" t="s">
        <v>164</v>
      </c>
      <c r="B60" t="s">
        <v>115</v>
      </c>
      <c r="C60" s="32" t="s">
        <v>294</v>
      </c>
      <c r="D60" t="s">
        <v>378</v>
      </c>
      <c r="E60" t="s">
        <v>395</v>
      </c>
      <c r="F60" s="174" t="n">
        <v>2026</v>
      </c>
      <c r="G60" s="175" t="n">
        <v>48</v>
      </c>
      <c r="H60" s="176" t="n">
        <v>7865.88807034988</v>
      </c>
      <c r="I60" s="177" t="n">
        <v>3931934.3335516</v>
      </c>
      <c r="J60" s="178" t="str">
        <f>IF(I60&gt;0,H60/I60,0)</f>
      </c>
      <c r="K60" s="179" t="str">
        <f>1-EXP(-J60)</f>
      </c>
      <c r="L60" s="180" t="str">
        <f>IF(G60=30,1,M59)</f>
      </c>
      <c r="M60" s="181" t="str">
        <f>L60*(1-K60)</f>
      </c>
    </row>
    <row r="61">
      <c r="A61" t="s">
        <v>164</v>
      </c>
      <c r="B61" t="s">
        <v>115</v>
      </c>
      <c r="C61" s="32" t="s">
        <v>294</v>
      </c>
      <c r="D61" t="s">
        <v>378</v>
      </c>
      <c r="E61" t="s">
        <v>395</v>
      </c>
      <c r="F61" s="174" t="n">
        <v>2026</v>
      </c>
      <c r="G61" s="175" t="n">
        <v>49</v>
      </c>
      <c r="H61" s="176" t="n">
        <v>8466.24843131625</v>
      </c>
      <c r="I61" s="177" t="n">
        <v>3870575.54514656</v>
      </c>
      <c r="J61" s="178" t="str">
        <f>IF(I61&gt;0,H61/I61,0)</f>
      </c>
      <c r="K61" s="179" t="str">
        <f>1-EXP(-J61)</f>
      </c>
      <c r="L61" s="180" t="str">
        <f>IF(G61=30,1,M60)</f>
      </c>
      <c r="M61" s="181" t="str">
        <f>L61*(1-K61)</f>
      </c>
    </row>
    <row r="62">
      <c r="A62" t="s">
        <v>164</v>
      </c>
      <c r="B62" t="s">
        <v>115</v>
      </c>
      <c r="C62" s="32" t="s">
        <v>294</v>
      </c>
      <c r="D62" t="s">
        <v>378</v>
      </c>
      <c r="E62" t="s">
        <v>395</v>
      </c>
      <c r="F62" s="174" t="n">
        <v>2026</v>
      </c>
      <c r="G62" s="175" t="n">
        <v>50</v>
      </c>
      <c r="H62" s="176" t="n">
        <v>9711.9464680624</v>
      </c>
      <c r="I62" s="177" t="n">
        <v>3797304.37229286</v>
      </c>
      <c r="J62" s="178" t="str">
        <f>IF(I62&gt;0,H62/I62,0)</f>
      </c>
      <c r="K62" s="179" t="str">
        <f>1-EXP(-J62)</f>
      </c>
      <c r="L62" s="180" t="str">
        <f>IF(G62=30,1,M61)</f>
      </c>
      <c r="M62" s="181" t="str">
        <f>L62*(1-K62)</f>
      </c>
    </row>
    <row r="63">
      <c r="A63" t="s">
        <v>164</v>
      </c>
      <c r="B63" t="s">
        <v>115</v>
      </c>
      <c r="C63" s="32" t="s">
        <v>294</v>
      </c>
      <c r="D63" t="s">
        <v>378</v>
      </c>
      <c r="E63" t="s">
        <v>395</v>
      </c>
      <c r="F63" s="174" t="n">
        <v>2026</v>
      </c>
      <c r="G63" s="175" t="n">
        <v>51</v>
      </c>
      <c r="H63" s="176" t="n">
        <v>10382.1674902235</v>
      </c>
      <c r="I63" s="177" t="n">
        <v>3722619.16466465</v>
      </c>
      <c r="J63" s="178" t="str">
        <f>IF(I63&gt;0,H63/I63,0)</f>
      </c>
      <c r="K63" s="179" t="str">
        <f>1-EXP(-J63)</f>
      </c>
      <c r="L63" s="180" t="str">
        <f>IF(G63=30,1,M62)</f>
      </c>
      <c r="M63" s="181" t="str">
        <f>L63*(1-K63)</f>
      </c>
    </row>
    <row r="64">
      <c r="A64" t="s">
        <v>164</v>
      </c>
      <c r="B64" t="s">
        <v>115</v>
      </c>
      <c r="C64" s="32" t="s">
        <v>294</v>
      </c>
      <c r="D64" t="s">
        <v>378</v>
      </c>
      <c r="E64" t="s">
        <v>395</v>
      </c>
      <c r="F64" s="174" t="n">
        <v>2026</v>
      </c>
      <c r="G64" s="175" t="n">
        <v>52</v>
      </c>
      <c r="H64" s="176" t="n">
        <v>11011.6930743692</v>
      </c>
      <c r="I64" s="177" t="n">
        <v>3620908.90429281</v>
      </c>
      <c r="J64" s="178" t="str">
        <f>IF(I64&gt;0,H64/I64,0)</f>
      </c>
      <c r="K64" s="179" t="str">
        <f>1-EXP(-J64)</f>
      </c>
      <c r="L64" s="180" t="str">
        <f>IF(G64=30,1,M63)</f>
      </c>
      <c r="M64" s="181" t="str">
        <f>L64*(1-K64)</f>
      </c>
    </row>
    <row r="65">
      <c r="A65" t="s">
        <v>164</v>
      </c>
      <c r="B65" t="s">
        <v>115</v>
      </c>
      <c r="C65" s="32" t="s">
        <v>294</v>
      </c>
      <c r="D65" t="s">
        <v>378</v>
      </c>
      <c r="E65" t="s">
        <v>395</v>
      </c>
      <c r="F65" s="174" t="n">
        <v>2026</v>
      </c>
      <c r="G65" s="175" t="n">
        <v>53</v>
      </c>
      <c r="H65" s="176" t="n">
        <v>11878.349152343</v>
      </c>
      <c r="I65" s="177" t="n">
        <v>3580910.06551612</v>
      </c>
      <c r="J65" s="178" t="str">
        <f>IF(I65&gt;0,H65/I65,0)</f>
      </c>
      <c r="K65" s="179" t="str">
        <f>1-EXP(-J65)</f>
      </c>
      <c r="L65" s="180" t="str">
        <f>IF(G65=30,1,M64)</f>
      </c>
      <c r="M65" s="181" t="str">
        <f>L65*(1-K65)</f>
      </c>
    </row>
    <row r="66">
      <c r="A66" t="s">
        <v>164</v>
      </c>
      <c r="B66" t="s">
        <v>115</v>
      </c>
      <c r="C66" s="32" t="s">
        <v>294</v>
      </c>
      <c r="D66" t="s">
        <v>378</v>
      </c>
      <c r="E66" t="s">
        <v>395</v>
      </c>
      <c r="F66" s="174" t="n">
        <v>2026</v>
      </c>
      <c r="G66" s="175" t="n">
        <v>54</v>
      </c>
      <c r="H66" s="176" t="n">
        <v>12226.8044430048</v>
      </c>
      <c r="I66" s="177" t="n">
        <v>3373668.63498524</v>
      </c>
      <c r="J66" s="178" t="str">
        <f>IF(I66&gt;0,H66/I66,0)</f>
      </c>
      <c r="K66" s="179" t="str">
        <f>1-EXP(-J66)</f>
      </c>
      <c r="L66" s="180" t="str">
        <f>IF(G66=30,1,M65)</f>
      </c>
      <c r="M66" s="181" t="str">
        <f>L66*(1-K66)</f>
      </c>
    </row>
    <row r="67">
      <c r="A67" t="s">
        <v>164</v>
      </c>
      <c r="B67" t="s">
        <v>115</v>
      </c>
      <c r="C67" s="32" t="s">
        <v>294</v>
      </c>
      <c r="D67" t="s">
        <v>378</v>
      </c>
      <c r="E67" t="s">
        <v>395</v>
      </c>
      <c r="F67" s="174" t="n">
        <v>2026</v>
      </c>
      <c r="G67" s="175" t="n">
        <v>55</v>
      </c>
      <c r="H67" s="176" t="n">
        <v>13256.794223555</v>
      </c>
      <c r="I67" s="177" t="n">
        <v>3290805.96393673</v>
      </c>
      <c r="J67" s="178" t="str">
        <f>IF(I67&gt;0,H67/I67,0)</f>
      </c>
      <c r="K67" s="179" t="str">
        <f>1-EXP(-J67)</f>
      </c>
      <c r="L67" s="180" t="str">
        <f>IF(G67=30,1,M66)</f>
      </c>
      <c r="M67" s="181" t="str">
        <f>L67*(1-K67)</f>
      </c>
    </row>
    <row r="68">
      <c r="A68" t="s">
        <v>164</v>
      </c>
      <c r="B68" t="s">
        <v>115</v>
      </c>
      <c r="C68" s="32" t="s">
        <v>294</v>
      </c>
      <c r="D68" t="s">
        <v>378</v>
      </c>
      <c r="E68" t="s">
        <v>395</v>
      </c>
      <c r="F68" s="174" t="n">
        <v>2026</v>
      </c>
      <c r="G68" s="175" t="n">
        <v>56</v>
      </c>
      <c r="H68" s="176" t="n">
        <v>14131.5529121749</v>
      </c>
      <c r="I68" s="177" t="n">
        <v>3212214.28114487</v>
      </c>
      <c r="J68" s="178" t="str">
        <f>IF(I68&gt;0,H68/I68,0)</f>
      </c>
      <c r="K68" s="179" t="str">
        <f>1-EXP(-J68)</f>
      </c>
      <c r="L68" s="180" t="str">
        <f>IF(G68=30,1,M67)</f>
      </c>
      <c r="M68" s="181" t="str">
        <f>L68*(1-K68)</f>
      </c>
    </row>
    <row r="69">
      <c r="A69" t="s">
        <v>164</v>
      </c>
      <c r="B69" t="s">
        <v>115</v>
      </c>
      <c r="C69" s="32" t="s">
        <v>294</v>
      </c>
      <c r="D69" t="s">
        <v>378</v>
      </c>
      <c r="E69" t="s">
        <v>395</v>
      </c>
      <c r="F69" s="174" t="n">
        <v>2026</v>
      </c>
      <c r="G69" s="175" t="n">
        <v>57</v>
      </c>
      <c r="H69" s="176" t="n">
        <v>15015.0034718036</v>
      </c>
      <c r="I69" s="177" t="n">
        <v>3124836.70281465</v>
      </c>
      <c r="J69" s="178" t="str">
        <f>IF(I69&gt;0,H69/I69,0)</f>
      </c>
      <c r="K69" s="179" t="str">
        <f>1-EXP(-J69)</f>
      </c>
      <c r="L69" s="180" t="str">
        <f>IF(G69=30,1,M68)</f>
      </c>
      <c r="M69" s="181" t="str">
        <f>L69*(1-K69)</f>
      </c>
    </row>
    <row r="70">
      <c r="A70" t="s">
        <v>164</v>
      </c>
      <c r="B70" t="s">
        <v>115</v>
      </c>
      <c r="C70" s="32" t="s">
        <v>294</v>
      </c>
      <c r="D70" t="s">
        <v>378</v>
      </c>
      <c r="E70" t="s">
        <v>395</v>
      </c>
      <c r="F70" s="174" t="n">
        <v>2026</v>
      </c>
      <c r="G70" s="175" t="n">
        <v>58</v>
      </c>
      <c r="H70" s="176" t="n">
        <v>15837.2974029231</v>
      </c>
      <c r="I70" s="177" t="n">
        <v>3017305.28674744</v>
      </c>
      <c r="J70" s="178" t="str">
        <f>IF(I70&gt;0,H70/I70,0)</f>
      </c>
      <c r="K70" s="179" t="str">
        <f>1-EXP(-J70)</f>
      </c>
      <c r="L70" s="180" t="str">
        <f>IF(G70=30,1,M69)</f>
      </c>
      <c r="M70" s="181" t="str">
        <f>L70*(1-K70)</f>
      </c>
    </row>
    <row r="71">
      <c r="A71" t="s">
        <v>164</v>
      </c>
      <c r="B71" t="s">
        <v>115</v>
      </c>
      <c r="C71" s="32" t="s">
        <v>294</v>
      </c>
      <c r="D71" t="s">
        <v>378</v>
      </c>
      <c r="E71" t="s">
        <v>395</v>
      </c>
      <c r="F71" s="174" t="n">
        <v>2026</v>
      </c>
      <c r="G71" s="175" t="n">
        <v>59</v>
      </c>
      <c r="H71" s="176" t="n">
        <v>16519.166985237</v>
      </c>
      <c r="I71" s="177" t="n">
        <v>2877825.9895627</v>
      </c>
      <c r="J71" s="178" t="str">
        <f>IF(I71&gt;0,H71/I71,0)</f>
      </c>
      <c r="K71" s="179" t="str">
        <f>1-EXP(-J71)</f>
      </c>
      <c r="L71" s="180" t="str">
        <f>IF(G71=30,1,M70)</f>
      </c>
      <c r="M71" s="181" t="str">
        <f>L71*(1-K71)</f>
      </c>
    </row>
    <row r="72">
      <c r="A72" t="s">
        <v>164</v>
      </c>
      <c r="B72" t="s">
        <v>115</v>
      </c>
      <c r="C72" s="32" t="s">
        <v>294</v>
      </c>
      <c r="D72" t="s">
        <v>378</v>
      </c>
      <c r="E72" t="s">
        <v>395</v>
      </c>
      <c r="F72" s="174" t="n">
        <v>2026</v>
      </c>
      <c r="G72" s="175" t="n">
        <v>60</v>
      </c>
      <c r="H72" s="176" t="n">
        <v>17887.3286881145</v>
      </c>
      <c r="I72" s="177" t="n">
        <v>2775955.73233662</v>
      </c>
      <c r="J72" s="178" t="str">
        <f>IF(I72&gt;0,H72/I72,0)</f>
      </c>
      <c r="K72" s="179" t="str">
        <f>1-EXP(-J72)</f>
      </c>
      <c r="L72" s="180" t="str">
        <f>IF(G72=30,1,M71)</f>
      </c>
      <c r="M72" s="181" t="str">
        <f>L72*(1-K72)</f>
      </c>
    </row>
    <row r="73">
      <c r="A73" t="s">
        <v>164</v>
      </c>
      <c r="B73" t="s">
        <v>115</v>
      </c>
      <c r="C73" s="32" t="s">
        <v>294</v>
      </c>
      <c r="D73" t="s">
        <v>378</v>
      </c>
      <c r="E73" t="s">
        <v>395</v>
      </c>
      <c r="F73" s="174" t="n">
        <v>2026</v>
      </c>
      <c r="G73" s="175" t="n">
        <v>61</v>
      </c>
      <c r="H73" s="176" t="n">
        <v>18665.4022861068</v>
      </c>
      <c r="I73" s="177" t="n">
        <v>2651125.82517609</v>
      </c>
      <c r="J73" s="178" t="str">
        <f>IF(I73&gt;0,H73/I73,0)</f>
      </c>
      <c r="K73" s="179" t="str">
        <f>1-EXP(-J73)</f>
      </c>
      <c r="L73" s="180" t="str">
        <f>IF(G73=30,1,M72)</f>
      </c>
      <c r="M73" s="181" t="str">
        <f>L73*(1-K73)</f>
      </c>
    </row>
    <row r="74">
      <c r="A74" t="s">
        <v>164</v>
      </c>
      <c r="B74" t="s">
        <v>115</v>
      </c>
      <c r="C74" s="32" t="s">
        <v>294</v>
      </c>
      <c r="D74" t="s">
        <v>378</v>
      </c>
      <c r="E74" t="s">
        <v>395</v>
      </c>
      <c r="F74" s="174" t="n">
        <v>2026</v>
      </c>
      <c r="G74" s="175" t="n">
        <v>62</v>
      </c>
      <c r="H74" s="176" t="n">
        <v>19451.3838939215</v>
      </c>
      <c r="I74" s="177" t="n">
        <v>2527118.34779537</v>
      </c>
      <c r="J74" s="178" t="str">
        <f>IF(I74&gt;0,H74/I74,0)</f>
      </c>
      <c r="K74" s="179" t="str">
        <f>1-EXP(-J74)</f>
      </c>
      <c r="L74" s="180" t="str">
        <f>IF(G74=30,1,M73)</f>
      </c>
      <c r="M74" s="181" t="str">
        <f>L74*(1-K74)</f>
      </c>
    </row>
    <row r="75">
      <c r="A75" t="s">
        <v>164</v>
      </c>
      <c r="B75" t="s">
        <v>115</v>
      </c>
      <c r="C75" s="32" t="s">
        <v>294</v>
      </c>
      <c r="D75" t="s">
        <v>378</v>
      </c>
      <c r="E75" t="s">
        <v>395</v>
      </c>
      <c r="F75" s="174" t="n">
        <v>2026</v>
      </c>
      <c r="G75" s="175" t="n">
        <v>63</v>
      </c>
      <c r="H75" s="176" t="n">
        <v>20275.6551285267</v>
      </c>
      <c r="I75" s="177" t="n">
        <v>2408174.82995322</v>
      </c>
      <c r="J75" s="178" t="str">
        <f>IF(I75&gt;0,H75/I75,0)</f>
      </c>
      <c r="K75" s="179" t="str">
        <f>1-EXP(-J75)</f>
      </c>
      <c r="L75" s="180" t="str">
        <f>IF(G75=30,1,M74)</f>
      </c>
      <c r="M75" s="181" t="str">
        <f>L75*(1-K75)</f>
      </c>
    </row>
    <row r="76">
      <c r="A76" t="s">
        <v>164</v>
      </c>
      <c r="B76" t="s">
        <v>115</v>
      </c>
      <c r="C76" s="32" t="s">
        <v>294</v>
      </c>
      <c r="D76" t="s">
        <v>378</v>
      </c>
      <c r="E76" t="s">
        <v>395</v>
      </c>
      <c r="F76" s="174" t="n">
        <v>2026</v>
      </c>
      <c r="G76" s="175" t="n">
        <v>64</v>
      </c>
      <c r="H76" s="176" t="n">
        <v>20946.5799566152</v>
      </c>
      <c r="I76" s="177" t="n">
        <v>2263177.14570695</v>
      </c>
      <c r="J76" s="178" t="str">
        <f>IF(I76&gt;0,H76/I76,0)</f>
      </c>
      <c r="K76" s="179" t="str">
        <f>1-EXP(-J76)</f>
      </c>
      <c r="L76" s="180" t="str">
        <f>IF(G76=30,1,M75)</f>
      </c>
      <c r="M76" s="181" t="str">
        <f>L76*(1-K76)</f>
      </c>
    </row>
    <row r="77">
      <c r="A77" t="s">
        <v>164</v>
      </c>
      <c r="B77" t="s">
        <v>115</v>
      </c>
      <c r="C77" s="32" t="s">
        <v>294</v>
      </c>
      <c r="D77" t="s">
        <v>378</v>
      </c>
      <c r="E77" t="s">
        <v>395</v>
      </c>
      <c r="F77" s="174" t="n">
        <v>2026</v>
      </c>
      <c r="G77" s="175" t="n">
        <v>65</v>
      </c>
      <c r="H77" s="176" t="n">
        <v>21190.597183767</v>
      </c>
      <c r="I77" s="177" t="n">
        <v>2143592.88562047</v>
      </c>
      <c r="J77" s="178" t="str">
        <f>IF(I77&gt;0,H77/I77,0)</f>
      </c>
      <c r="K77" s="179" t="str">
        <f>1-EXP(-J77)</f>
      </c>
      <c r="L77" s="180" t="str">
        <f>IF(G77=30,1,M76)</f>
      </c>
      <c r="M77" s="181" t="str">
        <f>L77*(1-K77)</f>
      </c>
    </row>
    <row r="78">
      <c r="A78" t="s">
        <v>164</v>
      </c>
      <c r="B78" t="s">
        <v>115</v>
      </c>
      <c r="C78" s="32" t="s">
        <v>294</v>
      </c>
      <c r="D78" t="s">
        <v>378</v>
      </c>
      <c r="E78" t="s">
        <v>395</v>
      </c>
      <c r="F78" s="174" t="n">
        <v>2026</v>
      </c>
      <c r="G78" s="175" t="n">
        <v>66</v>
      </c>
      <c r="H78" s="176" t="n">
        <v>21878.9239858471</v>
      </c>
      <c r="I78" s="177" t="n">
        <v>2020123.65624815</v>
      </c>
      <c r="J78" s="178" t="str">
        <f>IF(I78&gt;0,H78/I78,0)</f>
      </c>
      <c r="K78" s="179" t="str">
        <f>1-EXP(-J78)</f>
      </c>
      <c r="L78" s="180" t="str">
        <f>IF(G78=30,1,M77)</f>
      </c>
      <c r="M78" s="181" t="str">
        <f>L78*(1-K78)</f>
      </c>
    </row>
    <row r="79">
      <c r="A79" t="s">
        <v>164</v>
      </c>
      <c r="B79" t="s">
        <v>115</v>
      </c>
      <c r="C79" s="32" t="s">
        <v>294</v>
      </c>
      <c r="D79" t="s">
        <v>378</v>
      </c>
      <c r="E79" t="s">
        <v>395</v>
      </c>
      <c r="F79" s="174" t="n">
        <v>2026</v>
      </c>
      <c r="G79" s="175" t="n">
        <v>67</v>
      </c>
      <c r="H79" s="176" t="n">
        <v>22439.1724565401</v>
      </c>
      <c r="I79" s="177" t="n">
        <v>1890337.26910044</v>
      </c>
      <c r="J79" s="178" t="str">
        <f>IF(I79&gt;0,H79/I79,0)</f>
      </c>
      <c r="K79" s="179" t="str">
        <f>1-EXP(-J79)</f>
      </c>
      <c r="L79" s="180" t="str">
        <f>IF(G79=30,1,M78)</f>
      </c>
      <c r="M79" s="181" t="str">
        <f>L79*(1-K79)</f>
      </c>
    </row>
    <row r="80">
      <c r="A80" t="s">
        <v>164</v>
      </c>
      <c r="B80" t="s">
        <v>115</v>
      </c>
      <c r="C80" s="32" t="s">
        <v>294</v>
      </c>
      <c r="D80" t="s">
        <v>378</v>
      </c>
      <c r="E80" t="s">
        <v>395</v>
      </c>
      <c r="F80" s="174" t="n">
        <v>2026</v>
      </c>
      <c r="G80" s="175" t="n">
        <v>68</v>
      </c>
      <c r="H80" s="176" t="n">
        <v>22951.4909413505</v>
      </c>
      <c r="I80" s="177" t="n">
        <v>1762993.47698247</v>
      </c>
      <c r="J80" s="178" t="str">
        <f>IF(I80&gt;0,H80/I80,0)</f>
      </c>
      <c r="K80" s="179" t="str">
        <f>1-EXP(-J80)</f>
      </c>
      <c r="L80" s="180" t="str">
        <f>IF(G80=30,1,M79)</f>
      </c>
      <c r="M80" s="181" t="str">
        <f>L80*(1-K80)</f>
      </c>
    </row>
    <row r="81">
      <c r="A81" t="s">
        <v>164</v>
      </c>
      <c r="B81" t="s">
        <v>115</v>
      </c>
      <c r="C81" s="32" t="s">
        <v>294</v>
      </c>
      <c r="D81" t="s">
        <v>378</v>
      </c>
      <c r="E81" t="s">
        <v>395</v>
      </c>
      <c r="F81" s="174" t="n">
        <v>2026</v>
      </c>
      <c r="G81" s="175" t="n">
        <v>69</v>
      </c>
      <c r="H81" s="176" t="n">
        <v>23742.2193758882</v>
      </c>
      <c r="I81" s="177" t="n">
        <v>1657190.39223472</v>
      </c>
      <c r="J81" s="178" t="str">
        <f>IF(I81&gt;0,H81/I81,0)</f>
      </c>
      <c r="K81" s="179" t="str">
        <f>1-EXP(-J81)</f>
      </c>
      <c r="L81" s="180" t="str">
        <f>IF(G81=30,1,M80)</f>
      </c>
      <c r="M81" s="181" t="str">
        <f>L81*(1-K81)</f>
      </c>
    </row>
    <row r="82">
      <c r="A82" t="s">
        <v>164</v>
      </c>
      <c r="B82" t="s">
        <v>115</v>
      </c>
      <c r="C82" s="32" t="s">
        <v>294</v>
      </c>
      <c r="D82" t="s">
        <v>378</v>
      </c>
      <c r="E82" t="s">
        <v>395</v>
      </c>
      <c r="F82" s="174" t="n">
        <v>2027</v>
      </c>
      <c r="G82" s="175" t="n">
        <v>30</v>
      </c>
      <c r="H82" s="176" t="n">
        <v>1304.61859084424</v>
      </c>
      <c r="I82" s="177" t="n">
        <v>4568808.47884085</v>
      </c>
      <c r="J82" s="178" t="str">
        <f>IF(I82&gt;0,H82/I82,0)</f>
      </c>
      <c r="K82" s="179" t="str">
        <f>1-EXP(-J82)</f>
      </c>
      <c r="L82" s="180" t="str">
        <f>IF(G82=30,1,M81)</f>
      </c>
      <c r="M82" s="181" t="str">
        <f>L82*(1-K82)</f>
      </c>
    </row>
    <row r="83">
      <c r="A83" t="s">
        <v>164</v>
      </c>
      <c r="B83" t="s">
        <v>115</v>
      </c>
      <c r="C83" s="32" t="s">
        <v>294</v>
      </c>
      <c r="D83" t="s">
        <v>378</v>
      </c>
      <c r="E83" t="s">
        <v>395</v>
      </c>
      <c r="F83" s="174" t="n">
        <v>2027</v>
      </c>
      <c r="G83" s="175" t="n">
        <v>31</v>
      </c>
      <c r="H83" s="176" t="n">
        <v>1343.48510396886</v>
      </c>
      <c r="I83" s="177" t="n">
        <v>4526141.2992223</v>
      </c>
      <c r="J83" s="178" t="str">
        <f>IF(I83&gt;0,H83/I83,0)</f>
      </c>
      <c r="K83" s="179" t="str">
        <f>1-EXP(-J83)</f>
      </c>
      <c r="L83" s="180" t="str">
        <f>IF(G83=30,1,M82)</f>
      </c>
      <c r="M83" s="181" t="str">
        <f>L83*(1-K83)</f>
      </c>
    </row>
    <row r="84">
      <c r="A84" t="s">
        <v>164</v>
      </c>
      <c r="B84" t="s">
        <v>115</v>
      </c>
      <c r="C84" s="32" t="s">
        <v>294</v>
      </c>
      <c r="D84" t="s">
        <v>378</v>
      </c>
      <c r="E84" t="s">
        <v>395</v>
      </c>
      <c r="F84" s="174" t="n">
        <v>2027</v>
      </c>
      <c r="G84" s="175" t="n">
        <v>32</v>
      </c>
      <c r="H84" s="176" t="n">
        <v>1382.17348382012</v>
      </c>
      <c r="I84" s="177" t="n">
        <v>4453752.68714373</v>
      </c>
      <c r="J84" s="178" t="str">
        <f>IF(I84&gt;0,H84/I84,0)</f>
      </c>
      <c r="K84" s="179" t="str">
        <f>1-EXP(-J84)</f>
      </c>
      <c r="L84" s="180" t="str">
        <f>IF(G84=30,1,M83)</f>
      </c>
      <c r="M84" s="181" t="str">
        <f>L84*(1-K84)</f>
      </c>
    </row>
    <row r="85">
      <c r="A85" t="s">
        <v>164</v>
      </c>
      <c r="B85" t="s">
        <v>115</v>
      </c>
      <c r="C85" s="32" t="s">
        <v>294</v>
      </c>
      <c r="D85" t="s">
        <v>378</v>
      </c>
      <c r="E85" t="s">
        <v>395</v>
      </c>
      <c r="F85" s="174" t="n">
        <v>2027</v>
      </c>
      <c r="G85" s="175" t="n">
        <v>33</v>
      </c>
      <c r="H85" s="176" t="n">
        <v>1436.27098758619</v>
      </c>
      <c r="I85" s="177" t="n">
        <v>4397355.51169361</v>
      </c>
      <c r="J85" s="178" t="str">
        <f>IF(I85&gt;0,H85/I85,0)</f>
      </c>
      <c r="K85" s="179" t="str">
        <f>1-EXP(-J85)</f>
      </c>
      <c r="L85" s="180" t="str">
        <f>IF(G85=30,1,M84)</f>
      </c>
      <c r="M85" s="181" t="str">
        <f>L85*(1-K85)</f>
      </c>
    </row>
    <row r="86">
      <c r="A86" t="s">
        <v>164</v>
      </c>
      <c r="B86" t="s">
        <v>115</v>
      </c>
      <c r="C86" s="32" t="s">
        <v>294</v>
      </c>
      <c r="D86" t="s">
        <v>378</v>
      </c>
      <c r="E86" t="s">
        <v>395</v>
      </c>
      <c r="F86" s="174" t="n">
        <v>2027</v>
      </c>
      <c r="G86" s="175" t="n">
        <v>34</v>
      </c>
      <c r="H86" s="176" t="n">
        <v>1502.83322220408</v>
      </c>
      <c r="I86" s="177" t="n">
        <v>4344733.27939672</v>
      </c>
      <c r="J86" s="178" t="str">
        <f>IF(I86&gt;0,H86/I86,0)</f>
      </c>
      <c r="K86" s="179" t="str">
        <f>1-EXP(-J86)</f>
      </c>
      <c r="L86" s="180" t="str">
        <f>IF(G86=30,1,M85)</f>
      </c>
      <c r="M86" s="181" t="str">
        <f>L86*(1-K86)</f>
      </c>
    </row>
    <row r="87">
      <c r="A87" t="s">
        <v>164</v>
      </c>
      <c r="B87" t="s">
        <v>115</v>
      </c>
      <c r="C87" s="32" t="s">
        <v>294</v>
      </c>
      <c r="D87" t="s">
        <v>378</v>
      </c>
      <c r="E87" t="s">
        <v>395</v>
      </c>
      <c r="F87" s="174" t="n">
        <v>2027</v>
      </c>
      <c r="G87" s="175" t="n">
        <v>35</v>
      </c>
      <c r="H87" s="176" t="n">
        <v>2085.12789768723</v>
      </c>
      <c r="I87" s="177" t="n">
        <v>4384158.79434146</v>
      </c>
      <c r="J87" s="178" t="str">
        <f>IF(I87&gt;0,H87/I87,0)</f>
      </c>
      <c r="K87" s="179" t="str">
        <f>1-EXP(-J87)</f>
      </c>
      <c r="L87" s="180" t="str">
        <f>IF(G87=30,1,M86)</f>
      </c>
      <c r="M87" s="181" t="str">
        <f>L87*(1-K87)</f>
      </c>
    </row>
    <row r="88">
      <c r="A88" t="s">
        <v>164</v>
      </c>
      <c r="B88" t="s">
        <v>115</v>
      </c>
      <c r="C88" s="32" t="s">
        <v>294</v>
      </c>
      <c r="D88" t="s">
        <v>378</v>
      </c>
      <c r="E88" t="s">
        <v>395</v>
      </c>
      <c r="F88" s="174" t="n">
        <v>2027</v>
      </c>
      <c r="G88" s="175" t="n">
        <v>36</v>
      </c>
      <c r="H88" s="176" t="n">
        <v>2236.62829846252</v>
      </c>
      <c r="I88" s="177" t="n">
        <v>4403443.88242885</v>
      </c>
      <c r="J88" s="178" t="str">
        <f>IF(I88&gt;0,H88/I88,0)</f>
      </c>
      <c r="K88" s="179" t="str">
        <f>1-EXP(-J88)</f>
      </c>
      <c r="L88" s="180" t="str">
        <f>IF(G88=30,1,M87)</f>
      </c>
      <c r="M88" s="181" t="str">
        <f>L88*(1-K88)</f>
      </c>
    </row>
    <row r="89">
      <c r="A89" t="s">
        <v>164</v>
      </c>
      <c r="B89" t="s">
        <v>115</v>
      </c>
      <c r="C89" s="32" t="s">
        <v>294</v>
      </c>
      <c r="D89" t="s">
        <v>378</v>
      </c>
      <c r="E89" t="s">
        <v>395</v>
      </c>
      <c r="F89" s="174" t="n">
        <v>2027</v>
      </c>
      <c r="G89" s="175" t="n">
        <v>37</v>
      </c>
      <c r="H89" s="176" t="n">
        <v>3393.38447114303</v>
      </c>
      <c r="I89" s="177" t="n">
        <v>6485436.94940324</v>
      </c>
      <c r="J89" s="178" t="str">
        <f>IF(I89&gt;0,H89/I89,0)</f>
      </c>
      <c r="K89" s="179" t="str">
        <f>1-EXP(-J89)</f>
      </c>
      <c r="L89" s="180" t="str">
        <f>IF(G89=30,1,M88)</f>
      </c>
      <c r="M89" s="181" t="str">
        <f>L89*(1-K89)</f>
      </c>
    </row>
    <row r="90">
      <c r="A90" t="s">
        <v>164</v>
      </c>
      <c r="B90" t="s">
        <v>115</v>
      </c>
      <c r="C90" s="32" t="s">
        <v>294</v>
      </c>
      <c r="D90" t="s">
        <v>378</v>
      </c>
      <c r="E90" t="s">
        <v>395</v>
      </c>
      <c r="F90" s="174" t="n">
        <v>2027</v>
      </c>
      <c r="G90" s="175" t="n">
        <v>38</v>
      </c>
      <c r="H90" s="176" t="n">
        <v>2551.0829846514</v>
      </c>
      <c r="I90" s="177" t="n">
        <v>4365602.83738897</v>
      </c>
      <c r="J90" s="178" t="str">
        <f>IF(I90&gt;0,H90/I90,0)</f>
      </c>
      <c r="K90" s="179" t="str">
        <f>1-EXP(-J90)</f>
      </c>
      <c r="L90" s="180" t="str">
        <f>IF(G90=30,1,M89)</f>
      </c>
      <c r="M90" s="181" t="str">
        <f>L90*(1-K90)</f>
      </c>
    </row>
    <row r="91">
      <c r="A91" t="s">
        <v>164</v>
      </c>
      <c r="B91" t="s">
        <v>115</v>
      </c>
      <c r="C91" s="32" t="s">
        <v>294</v>
      </c>
      <c r="D91" t="s">
        <v>378</v>
      </c>
      <c r="E91" t="s">
        <v>395</v>
      </c>
      <c r="F91" s="174" t="n">
        <v>2027</v>
      </c>
      <c r="G91" s="175" t="n">
        <v>39</v>
      </c>
      <c r="H91" s="176" t="n">
        <v>2732.35667949904</v>
      </c>
      <c r="I91" s="177" t="n">
        <v>4350977.24140106</v>
      </c>
      <c r="J91" s="178" t="str">
        <f>IF(I91&gt;0,H91/I91,0)</f>
      </c>
      <c r="K91" s="179" t="str">
        <f>1-EXP(-J91)</f>
      </c>
      <c r="L91" s="180" t="str">
        <f>IF(G91=30,1,M90)</f>
      </c>
      <c r="M91" s="181" t="str">
        <f>L91*(1-K91)</f>
      </c>
    </row>
    <row r="92">
      <c r="A92" t="s">
        <v>164</v>
      </c>
      <c r="B92" t="s">
        <v>115</v>
      </c>
      <c r="C92" s="32" t="s">
        <v>294</v>
      </c>
      <c r="D92" t="s">
        <v>378</v>
      </c>
      <c r="E92" t="s">
        <v>395</v>
      </c>
      <c r="F92" s="174" t="n">
        <v>2027</v>
      </c>
      <c r="G92" s="175" t="n">
        <v>40</v>
      </c>
      <c r="H92" s="176" t="n">
        <v>3572.78165491335</v>
      </c>
      <c r="I92" s="177" t="n">
        <v>4220088.22922651</v>
      </c>
      <c r="J92" s="178" t="str">
        <f>IF(I92&gt;0,H92/I92,0)</f>
      </c>
      <c r="K92" s="179" t="str">
        <f>1-EXP(-J92)</f>
      </c>
      <c r="L92" s="180" t="str">
        <f>IF(G92=30,1,M91)</f>
      </c>
      <c r="M92" s="181" t="str">
        <f>L92*(1-K92)</f>
      </c>
    </row>
    <row r="93">
      <c r="A93" t="s">
        <v>164</v>
      </c>
      <c r="B93" t="s">
        <v>115</v>
      </c>
      <c r="C93" s="32" t="s">
        <v>294</v>
      </c>
      <c r="D93" t="s">
        <v>378</v>
      </c>
      <c r="E93" t="s">
        <v>395</v>
      </c>
      <c r="F93" s="174" t="n">
        <v>2027</v>
      </c>
      <c r="G93" s="175" t="n">
        <v>41</v>
      </c>
      <c r="H93" s="176" t="n">
        <v>3823.59516995839</v>
      </c>
      <c r="I93" s="177" t="n">
        <v>4186992.20636678</v>
      </c>
      <c r="J93" s="178" t="str">
        <f>IF(I93&gt;0,H93/I93,0)</f>
      </c>
      <c r="K93" s="179" t="str">
        <f>1-EXP(-J93)</f>
      </c>
      <c r="L93" s="180" t="str">
        <f>IF(G93=30,1,M92)</f>
      </c>
      <c r="M93" s="181" t="str">
        <f>L93*(1-K93)</f>
      </c>
    </row>
    <row r="94">
      <c r="A94" t="s">
        <v>164</v>
      </c>
      <c r="B94" t="s">
        <v>115</v>
      </c>
      <c r="C94" s="32" t="s">
        <v>294</v>
      </c>
      <c r="D94" t="s">
        <v>378</v>
      </c>
      <c r="E94" t="s">
        <v>395</v>
      </c>
      <c r="F94" s="174" t="n">
        <v>2027</v>
      </c>
      <c r="G94" s="175" t="n">
        <v>42</v>
      </c>
      <c r="H94" s="176" t="n">
        <v>4205.68185492366</v>
      </c>
      <c r="I94" s="177" t="n">
        <v>4249351.59397254</v>
      </c>
      <c r="J94" s="178" t="str">
        <f>IF(I94&gt;0,H94/I94,0)</f>
      </c>
      <c r="K94" s="179" t="str">
        <f>1-EXP(-J94)</f>
      </c>
      <c r="L94" s="180" t="str">
        <f>IF(G94=30,1,M93)</f>
      </c>
      <c r="M94" s="181" t="str">
        <f>L94*(1-K94)</f>
      </c>
    </row>
    <row r="95">
      <c r="A95" t="s">
        <v>164</v>
      </c>
      <c r="B95" t="s">
        <v>115</v>
      </c>
      <c r="C95" s="32" t="s">
        <v>294</v>
      </c>
      <c r="D95" t="s">
        <v>378</v>
      </c>
      <c r="E95" t="s">
        <v>395</v>
      </c>
      <c r="F95" s="174" t="n">
        <v>2027</v>
      </c>
      <c r="G95" s="175" t="n">
        <v>43</v>
      </c>
      <c r="H95" s="176" t="n">
        <v>4666.04483871308</v>
      </c>
      <c r="I95" s="177" t="n">
        <v>4337467.77471567</v>
      </c>
      <c r="J95" s="178" t="str">
        <f>IF(I95&gt;0,H95/I95,0)</f>
      </c>
      <c r="K95" s="179" t="str">
        <f>1-EXP(-J95)</f>
      </c>
      <c r="L95" s="180" t="str">
        <f>IF(G95=30,1,M94)</f>
      </c>
      <c r="M95" s="181" t="str">
        <f>L95*(1-K95)</f>
      </c>
    </row>
    <row r="96">
      <c r="A96" t="s">
        <v>164</v>
      </c>
      <c r="B96" t="s">
        <v>115</v>
      </c>
      <c r="C96" s="32" t="s">
        <v>294</v>
      </c>
      <c r="D96" t="s">
        <v>378</v>
      </c>
      <c r="E96" t="s">
        <v>395</v>
      </c>
      <c r="F96" s="174" t="n">
        <v>2027</v>
      </c>
      <c r="G96" s="175" t="n">
        <v>44</v>
      </c>
      <c r="H96" s="176" t="n">
        <v>5062.97239103961</v>
      </c>
      <c r="I96" s="177" t="n">
        <v>4316061.67170502</v>
      </c>
      <c r="J96" s="178" t="str">
        <f>IF(I96&gt;0,H96/I96,0)</f>
      </c>
      <c r="K96" s="179" t="str">
        <f>1-EXP(-J96)</f>
      </c>
      <c r="L96" s="180" t="str">
        <f>IF(G96=30,1,M95)</f>
      </c>
      <c r="M96" s="181" t="str">
        <f>L96*(1-K96)</f>
      </c>
    </row>
    <row r="97">
      <c r="A97" t="s">
        <v>164</v>
      </c>
      <c r="B97" t="s">
        <v>115</v>
      </c>
      <c r="C97" s="32" t="s">
        <v>294</v>
      </c>
      <c r="D97" t="s">
        <v>378</v>
      </c>
      <c r="E97" t="s">
        <v>395</v>
      </c>
      <c r="F97" s="174" t="n">
        <v>2027</v>
      </c>
      <c r="G97" s="175" t="n">
        <v>45</v>
      </c>
      <c r="H97" s="176" t="n">
        <v>6355.48692426504</v>
      </c>
      <c r="I97" s="177" t="n">
        <v>4181399.06359773</v>
      </c>
      <c r="J97" s="178" t="str">
        <f>IF(I97&gt;0,H97/I97,0)</f>
      </c>
      <c r="K97" s="179" t="str">
        <f>1-EXP(-J97)</f>
      </c>
      <c r="L97" s="180" t="str">
        <f>IF(G97=30,1,M96)</f>
      </c>
      <c r="M97" s="181" t="str">
        <f>L97*(1-K97)</f>
      </c>
    </row>
    <row r="98">
      <c r="A98" t="s">
        <v>164</v>
      </c>
      <c r="B98" t="s">
        <v>115</v>
      </c>
      <c r="C98" s="32" t="s">
        <v>294</v>
      </c>
      <c r="D98" t="s">
        <v>378</v>
      </c>
      <c r="E98" t="s">
        <v>395</v>
      </c>
      <c r="F98" s="174" t="n">
        <v>2027</v>
      </c>
      <c r="G98" s="175" t="n">
        <v>46</v>
      </c>
      <c r="H98" s="176" t="n">
        <v>6830.28716237466</v>
      </c>
      <c r="I98" s="177" t="n">
        <v>4108799.92039156</v>
      </c>
      <c r="J98" s="178" t="str">
        <f>IF(I98&gt;0,H98/I98,0)</f>
      </c>
      <c r="K98" s="179" t="str">
        <f>1-EXP(-J98)</f>
      </c>
      <c r="L98" s="180" t="str">
        <f>IF(G98=30,1,M97)</f>
      </c>
      <c r="M98" s="181" t="str">
        <f>L98*(1-K98)</f>
      </c>
    </row>
    <row r="99">
      <c r="A99" t="s">
        <v>164</v>
      </c>
      <c r="B99" t="s">
        <v>115</v>
      </c>
      <c r="C99" s="32" t="s">
        <v>294</v>
      </c>
      <c r="D99" t="s">
        <v>378</v>
      </c>
      <c r="E99" t="s">
        <v>395</v>
      </c>
      <c r="F99" s="174" t="n">
        <v>2027</v>
      </c>
      <c r="G99" s="175" t="n">
        <v>47</v>
      </c>
      <c r="H99" s="176" t="n">
        <v>7381.43458170519</v>
      </c>
      <c r="I99" s="177" t="n">
        <v>4053352.69996441</v>
      </c>
      <c r="J99" s="178" t="str">
        <f>IF(I99&gt;0,H99/I99,0)</f>
      </c>
      <c r="K99" s="179" t="str">
        <f>1-EXP(-J99)</f>
      </c>
      <c r="L99" s="180" t="str">
        <f>IF(G99=30,1,M98)</f>
      </c>
      <c r="M99" s="181" t="str">
        <f>L99*(1-K99)</f>
      </c>
    </row>
    <row r="100">
      <c r="A100" t="s">
        <v>164</v>
      </c>
      <c r="B100" t="s">
        <v>115</v>
      </c>
      <c r="C100" s="32" t="s">
        <v>294</v>
      </c>
      <c r="D100" t="s">
        <v>378</v>
      </c>
      <c r="E100" t="s">
        <v>395</v>
      </c>
      <c r="F100" s="174" t="n">
        <v>2027</v>
      </c>
      <c r="G100" s="175" t="n">
        <v>48</v>
      </c>
      <c r="H100" s="176" t="n">
        <v>7954.61072353485</v>
      </c>
      <c r="I100" s="177" t="n">
        <v>3992547.66744307</v>
      </c>
      <c r="J100" s="178" t="str">
        <f>IF(I100&gt;0,H100/I100,0)</f>
      </c>
      <c r="K100" s="179" t="str">
        <f>1-EXP(-J100)</f>
      </c>
      <c r="L100" s="180" t="str">
        <f>IF(G100=30,1,M99)</f>
      </c>
      <c r="M100" s="181" t="str">
        <f>L100*(1-K100)</f>
      </c>
    </row>
    <row r="101">
      <c r="A101" t="s">
        <v>164</v>
      </c>
      <c r="B101" t="s">
        <v>115</v>
      </c>
      <c r="C101" s="32" t="s">
        <v>294</v>
      </c>
      <c r="D101" t="s">
        <v>378</v>
      </c>
      <c r="E101" t="s">
        <v>395</v>
      </c>
      <c r="F101" s="174" t="n">
        <v>2027</v>
      </c>
      <c r="G101" s="175" t="n">
        <v>49</v>
      </c>
      <c r="H101" s="176" t="n">
        <v>8519.6434894668</v>
      </c>
      <c r="I101" s="177" t="n">
        <v>3912199.36336876</v>
      </c>
      <c r="J101" s="178" t="str">
        <f>IF(I101&gt;0,H101/I101,0)</f>
      </c>
      <c r="K101" s="179" t="str">
        <f>1-EXP(-J101)</f>
      </c>
      <c r="L101" s="180" t="str">
        <f>IF(G101=30,1,M100)</f>
      </c>
      <c r="M101" s="181" t="str">
        <f>L101*(1-K101)</f>
      </c>
    </row>
    <row r="102">
      <c r="A102" t="s">
        <v>164</v>
      </c>
      <c r="B102" t="s">
        <v>115</v>
      </c>
      <c r="C102" s="32" t="s">
        <v>294</v>
      </c>
      <c r="D102" t="s">
        <v>378</v>
      </c>
      <c r="E102" t="s">
        <v>395</v>
      </c>
      <c r="F102" s="174" t="n">
        <v>2027</v>
      </c>
      <c r="G102" s="175" t="n">
        <v>50</v>
      </c>
      <c r="H102" s="176" t="n">
        <v>9800.51820913641</v>
      </c>
      <c r="I102" s="177" t="n">
        <v>3849330.42539353</v>
      </c>
      <c r="J102" s="178" t="str">
        <f>IF(I102&gt;0,H102/I102,0)</f>
      </c>
      <c r="K102" s="179" t="str">
        <f>1-EXP(-J102)</f>
      </c>
      <c r="L102" s="180" t="str">
        <f>IF(G102=30,1,M101)</f>
      </c>
      <c r="M102" s="181" t="str">
        <f>L102*(1-K102)</f>
      </c>
    </row>
    <row r="103">
      <c r="A103" t="s">
        <v>164</v>
      </c>
      <c r="B103" t="s">
        <v>115</v>
      </c>
      <c r="C103" s="32" t="s">
        <v>294</v>
      </c>
      <c r="D103" t="s">
        <v>378</v>
      </c>
      <c r="E103" t="s">
        <v>395</v>
      </c>
      <c r="F103" s="174" t="n">
        <v>2027</v>
      </c>
      <c r="G103" s="175" t="n">
        <v>51</v>
      </c>
      <c r="H103" s="176" t="n">
        <v>10475.487905467</v>
      </c>
      <c r="I103" s="177" t="n">
        <v>3773649.18424576</v>
      </c>
      <c r="J103" s="178" t="str">
        <f>IF(I103&gt;0,H103/I103,0)</f>
      </c>
      <c r="K103" s="179" t="str">
        <f>1-EXP(-J103)</f>
      </c>
      <c r="L103" s="180" t="str">
        <f>IF(G103=30,1,M102)</f>
      </c>
      <c r="M103" s="181" t="str">
        <f>L103*(1-K103)</f>
      </c>
    </row>
    <row r="104">
      <c r="A104" t="s">
        <v>164</v>
      </c>
      <c r="B104" t="s">
        <v>115</v>
      </c>
      <c r="C104" s="32" t="s">
        <v>294</v>
      </c>
      <c r="D104" t="s">
        <v>378</v>
      </c>
      <c r="E104" t="s">
        <v>395</v>
      </c>
      <c r="F104" s="174" t="n">
        <v>2027</v>
      </c>
      <c r="G104" s="175" t="n">
        <v>52</v>
      </c>
      <c r="H104" s="176" t="n">
        <v>11205.4500679463</v>
      </c>
      <c r="I104" s="177" t="n">
        <v>3698212.3594448</v>
      </c>
      <c r="J104" s="178" t="str">
        <f>IF(I104&gt;0,H104/I104,0)</f>
      </c>
      <c r="K104" s="179" t="str">
        <f>1-EXP(-J104)</f>
      </c>
      <c r="L104" s="180" t="str">
        <f>IF(G104=30,1,M103)</f>
      </c>
      <c r="M104" s="181" t="str">
        <f>L104*(1-K104)</f>
      </c>
    </row>
    <row r="105">
      <c r="A105" t="s">
        <v>164</v>
      </c>
      <c r="B105" t="s">
        <v>115</v>
      </c>
      <c r="C105" s="32" t="s">
        <v>294</v>
      </c>
      <c r="D105" t="s">
        <v>378</v>
      </c>
      <c r="E105" t="s">
        <v>395</v>
      </c>
      <c r="F105" s="174" t="n">
        <v>2027</v>
      </c>
      <c r="G105" s="175" t="n">
        <v>53</v>
      </c>
      <c r="H105" s="176" t="n">
        <v>11884.6506415876</v>
      </c>
      <c r="I105" s="177" t="n">
        <v>3595027.59802076</v>
      </c>
      <c r="J105" s="178" t="str">
        <f>IF(I105&gt;0,H105/I105,0)</f>
      </c>
      <c r="K105" s="179" t="str">
        <f>1-EXP(-J105)</f>
      </c>
      <c r="L105" s="180" t="str">
        <f>IF(G105=30,1,M104)</f>
      </c>
      <c r="M105" s="181" t="str">
        <f>L105*(1-K105)</f>
      </c>
    </row>
    <row r="106">
      <c r="A106" t="s">
        <v>164</v>
      </c>
      <c r="B106" t="s">
        <v>115</v>
      </c>
      <c r="C106" s="32" t="s">
        <v>294</v>
      </c>
      <c r="D106" t="s">
        <v>378</v>
      </c>
      <c r="E106" t="s">
        <v>395</v>
      </c>
      <c r="F106" s="174" t="n">
        <v>2027</v>
      </c>
      <c r="G106" s="175" t="n">
        <v>54</v>
      </c>
      <c r="H106" s="176" t="n">
        <v>12819.7017907387</v>
      </c>
      <c r="I106" s="177" t="n">
        <v>3553002.63997095</v>
      </c>
      <c r="J106" s="178" t="str">
        <f>IF(I106&gt;0,H106/I106,0)</f>
      </c>
      <c r="K106" s="179" t="str">
        <f>1-EXP(-J106)</f>
      </c>
      <c r="L106" s="180" t="str">
        <f>IF(G106=30,1,M105)</f>
      </c>
      <c r="M106" s="181" t="str">
        <f>L106*(1-K106)</f>
      </c>
    </row>
    <row r="107">
      <c r="A107" t="s">
        <v>164</v>
      </c>
      <c r="B107" t="s">
        <v>115</v>
      </c>
      <c r="C107" s="32" t="s">
        <v>294</v>
      </c>
      <c r="D107" t="s">
        <v>378</v>
      </c>
      <c r="E107" t="s">
        <v>395</v>
      </c>
      <c r="F107" s="174" t="n">
        <v>2027</v>
      </c>
      <c r="G107" s="175" t="n">
        <v>55</v>
      </c>
      <c r="H107" s="176" t="n">
        <v>13404.149905972</v>
      </c>
      <c r="I107" s="177" t="n">
        <v>3344959.9335197</v>
      </c>
      <c r="J107" s="178" t="str">
        <f>IF(I107&gt;0,H107/I107,0)</f>
      </c>
      <c r="K107" s="179" t="str">
        <f>1-EXP(-J107)</f>
      </c>
      <c r="L107" s="180" t="str">
        <f>IF(G107=30,1,M106)</f>
      </c>
      <c r="M107" s="181" t="str">
        <f>L107*(1-K107)</f>
      </c>
    </row>
    <row r="108">
      <c r="A108" t="s">
        <v>164</v>
      </c>
      <c r="B108" t="s">
        <v>115</v>
      </c>
      <c r="C108" s="32" t="s">
        <v>294</v>
      </c>
      <c r="D108" t="s">
        <v>378</v>
      </c>
      <c r="E108" t="s">
        <v>395</v>
      </c>
      <c r="F108" s="174" t="n">
        <v>2027</v>
      </c>
      <c r="G108" s="175" t="n">
        <v>56</v>
      </c>
      <c r="H108" s="176" t="n">
        <v>14257.2578157492</v>
      </c>
      <c r="I108" s="177" t="n">
        <v>3259737.15662566</v>
      </c>
      <c r="J108" s="178" t="str">
        <f>IF(I108&gt;0,H108/I108,0)</f>
      </c>
      <c r="K108" s="179" t="str">
        <f>1-EXP(-J108)</f>
      </c>
      <c r="L108" s="180" t="str">
        <f>IF(G108=30,1,M107)</f>
      </c>
      <c r="M108" s="181" t="str">
        <f>L108*(1-K108)</f>
      </c>
    </row>
    <row r="109">
      <c r="A109" t="s">
        <v>164</v>
      </c>
      <c r="B109" t="s">
        <v>115</v>
      </c>
      <c r="C109" s="32" t="s">
        <v>294</v>
      </c>
      <c r="D109" t="s">
        <v>378</v>
      </c>
      <c r="E109" t="s">
        <v>395</v>
      </c>
      <c r="F109" s="174" t="n">
        <v>2027</v>
      </c>
      <c r="G109" s="175" t="n">
        <v>57</v>
      </c>
      <c r="H109" s="176" t="n">
        <v>15198.7593312109</v>
      </c>
      <c r="I109" s="177" t="n">
        <v>3179594.07420108</v>
      </c>
      <c r="J109" s="178" t="str">
        <f>IF(I109&gt;0,H109/I109,0)</f>
      </c>
      <c r="K109" s="179" t="str">
        <f>1-EXP(-J109)</f>
      </c>
      <c r="L109" s="180" t="str">
        <f>IF(G109=30,1,M108)</f>
      </c>
      <c r="M109" s="181" t="str">
        <f>L109*(1-K109)</f>
      </c>
    </row>
    <row r="110">
      <c r="A110" t="s">
        <v>164</v>
      </c>
      <c r="B110" t="s">
        <v>115</v>
      </c>
      <c r="C110" s="32" t="s">
        <v>294</v>
      </c>
      <c r="D110" t="s">
        <v>378</v>
      </c>
      <c r="E110" t="s">
        <v>395</v>
      </c>
      <c r="F110" s="174" t="n">
        <v>2027</v>
      </c>
      <c r="G110" s="175" t="n">
        <v>58</v>
      </c>
      <c r="H110" s="176" t="n">
        <v>16137.0826413053</v>
      </c>
      <c r="I110" s="177" t="n">
        <v>3090183.68234701</v>
      </c>
      <c r="J110" s="178" t="str">
        <f>IF(I110&gt;0,H110/I110,0)</f>
      </c>
      <c r="K110" s="179" t="str">
        <f>1-EXP(-J110)</f>
      </c>
      <c r="L110" s="180" t="str">
        <f>IF(G110=30,1,M109)</f>
      </c>
      <c r="M110" s="181" t="str">
        <f>L110*(1-K110)</f>
      </c>
    </row>
    <row r="111">
      <c r="A111" t="s">
        <v>164</v>
      </c>
      <c r="B111" t="s">
        <v>115</v>
      </c>
      <c r="C111" s="32" t="s">
        <v>294</v>
      </c>
      <c r="D111" t="s">
        <v>378</v>
      </c>
      <c r="E111" t="s">
        <v>395</v>
      </c>
      <c r="F111" s="174" t="n">
        <v>2027</v>
      </c>
      <c r="G111" s="175" t="n">
        <v>59</v>
      </c>
      <c r="H111" s="176" t="n">
        <v>17007.7639080181</v>
      </c>
      <c r="I111" s="177" t="n">
        <v>2980759.49993983</v>
      </c>
      <c r="J111" s="178" t="str">
        <f>IF(I111&gt;0,H111/I111,0)</f>
      </c>
      <c r="K111" s="179" t="str">
        <f>1-EXP(-J111)</f>
      </c>
      <c r="L111" s="180" t="str">
        <f>IF(G111=30,1,M110)</f>
      </c>
      <c r="M111" s="181" t="str">
        <f>L111*(1-K111)</f>
      </c>
    </row>
    <row r="112">
      <c r="A112" t="s">
        <v>164</v>
      </c>
      <c r="B112" t="s">
        <v>115</v>
      </c>
      <c r="C112" s="32" t="s">
        <v>294</v>
      </c>
      <c r="D112" t="s">
        <v>378</v>
      </c>
      <c r="E112" t="s">
        <v>395</v>
      </c>
      <c r="F112" s="174" t="n">
        <v>2027</v>
      </c>
      <c r="G112" s="175" t="n">
        <v>60</v>
      </c>
      <c r="H112" s="176" t="n">
        <v>18169.8565006371</v>
      </c>
      <c r="I112" s="177" t="n">
        <v>2839714.9690395</v>
      </c>
      <c r="J112" s="178" t="str">
        <f>IF(I112&gt;0,H112/I112,0)</f>
      </c>
      <c r="K112" s="179" t="str">
        <f>1-EXP(-J112)</f>
      </c>
      <c r="L112" s="180" t="str">
        <f>IF(G112=30,1,M111)</f>
      </c>
      <c r="M112" s="181" t="str">
        <f>L112*(1-K112)</f>
      </c>
    </row>
    <row r="113">
      <c r="A113" t="s">
        <v>164</v>
      </c>
      <c r="B113" t="s">
        <v>115</v>
      </c>
      <c r="C113" s="32" t="s">
        <v>294</v>
      </c>
      <c r="D113" t="s">
        <v>378</v>
      </c>
      <c r="E113" t="s">
        <v>395</v>
      </c>
      <c r="F113" s="174" t="n">
        <v>2027</v>
      </c>
      <c r="G113" s="175" t="n">
        <v>61</v>
      </c>
      <c r="H113" s="176" t="n">
        <v>19119.7073828536</v>
      </c>
      <c r="I113" s="177" t="n">
        <v>2735142.73623662</v>
      </c>
      <c r="J113" s="178" t="str">
        <f>IF(I113&gt;0,H113/I113,0)</f>
      </c>
      <c r="K113" s="179" t="str">
        <f>1-EXP(-J113)</f>
      </c>
      <c r="L113" s="180" t="str">
        <f>IF(G113=30,1,M112)</f>
      </c>
      <c r="M113" s="181" t="str">
        <f>L113*(1-K113)</f>
      </c>
    </row>
    <row r="114">
      <c r="A114" t="s">
        <v>164</v>
      </c>
      <c r="B114" t="s">
        <v>115</v>
      </c>
      <c r="C114" s="32" t="s">
        <v>294</v>
      </c>
      <c r="D114" t="s">
        <v>378</v>
      </c>
      <c r="E114" t="s">
        <v>395</v>
      </c>
      <c r="F114" s="174" t="n">
        <v>2027</v>
      </c>
      <c r="G114" s="175" t="n">
        <v>62</v>
      </c>
      <c r="H114" s="176" t="n">
        <v>19951.960190191</v>
      </c>
      <c r="I114" s="177" t="n">
        <v>2609164.04958878</v>
      </c>
      <c r="J114" s="178" t="str">
        <f>IF(I114&gt;0,H114/I114,0)</f>
      </c>
      <c r="K114" s="179" t="str">
        <f>1-EXP(-J114)</f>
      </c>
      <c r="L114" s="180" t="str">
        <f>IF(G114=30,1,M113)</f>
      </c>
      <c r="M114" s="181" t="str">
        <f>L114*(1-K114)</f>
      </c>
    </row>
    <row r="115">
      <c r="A115" t="s">
        <v>164</v>
      </c>
      <c r="B115" t="s">
        <v>115</v>
      </c>
      <c r="C115" s="32" t="s">
        <v>294</v>
      </c>
      <c r="D115" t="s">
        <v>378</v>
      </c>
      <c r="E115" t="s">
        <v>395</v>
      </c>
      <c r="F115" s="174" t="n">
        <v>2027</v>
      </c>
      <c r="G115" s="175" t="n">
        <v>63</v>
      </c>
      <c r="H115" s="176" t="n">
        <v>20775.9260381451</v>
      </c>
      <c r="I115" s="177" t="n">
        <v>2483401.05848697</v>
      </c>
      <c r="J115" s="178" t="str">
        <f>IF(I115&gt;0,H115/I115,0)</f>
      </c>
      <c r="K115" s="179" t="str">
        <f>1-EXP(-J115)</f>
      </c>
      <c r="L115" s="180" t="str">
        <f>IF(G115=30,1,M114)</f>
      </c>
      <c r="M115" s="181" t="str">
        <f>L115*(1-K115)</f>
      </c>
    </row>
    <row r="116">
      <c r="A116" t="s">
        <v>164</v>
      </c>
      <c r="B116" t="s">
        <v>115</v>
      </c>
      <c r="C116" s="32" t="s">
        <v>294</v>
      </c>
      <c r="D116" t="s">
        <v>378</v>
      </c>
      <c r="E116" t="s">
        <v>395</v>
      </c>
      <c r="F116" s="174" t="n">
        <v>2027</v>
      </c>
      <c r="G116" s="175" t="n">
        <v>64</v>
      </c>
      <c r="H116" s="176" t="n">
        <v>21635.8144101515</v>
      </c>
      <c r="I116" s="177" t="n">
        <v>2362618.78462841</v>
      </c>
      <c r="J116" s="178" t="str">
        <f>IF(I116&gt;0,H116/I116,0)</f>
      </c>
      <c r="K116" s="179" t="str">
        <f>1-EXP(-J116)</f>
      </c>
      <c r="L116" s="180" t="str">
        <f>IF(G116=30,1,M115)</f>
      </c>
      <c r="M116" s="181" t="str">
        <f>L116*(1-K116)</f>
      </c>
    </row>
    <row r="117">
      <c r="A117" t="s">
        <v>164</v>
      </c>
      <c r="B117" t="s">
        <v>115</v>
      </c>
      <c r="C117" s="32" t="s">
        <v>294</v>
      </c>
      <c r="D117" t="s">
        <v>378</v>
      </c>
      <c r="E117" t="s">
        <v>395</v>
      </c>
      <c r="F117" s="174" t="n">
        <v>2027</v>
      </c>
      <c r="G117" s="175" t="n">
        <v>65</v>
      </c>
      <c r="H117" s="176" t="n">
        <v>21746.5068690616</v>
      </c>
      <c r="I117" s="177" t="n">
        <v>2216129.79881666</v>
      </c>
      <c r="J117" s="178" t="str">
        <f>IF(I117&gt;0,H117/I117,0)</f>
      </c>
      <c r="K117" s="179" t="str">
        <f>1-EXP(-J117)</f>
      </c>
      <c r="L117" s="180" t="str">
        <f>IF(G117=30,1,M116)</f>
      </c>
      <c r="M117" s="181" t="str">
        <f>L117*(1-K117)</f>
      </c>
    </row>
    <row r="118">
      <c r="A118" t="s">
        <v>164</v>
      </c>
      <c r="B118" t="s">
        <v>115</v>
      </c>
      <c r="C118" s="32" t="s">
        <v>294</v>
      </c>
      <c r="D118" t="s">
        <v>378</v>
      </c>
      <c r="E118" t="s">
        <v>395</v>
      </c>
      <c r="F118" s="174" t="n">
        <v>2027</v>
      </c>
      <c r="G118" s="175" t="n">
        <v>66</v>
      </c>
      <c r="H118" s="176" t="n">
        <v>22516.8359645881</v>
      </c>
      <c r="I118" s="177" t="n">
        <v>2094966.11797564</v>
      </c>
      <c r="J118" s="178" t="str">
        <f>IF(I118&gt;0,H118/I118,0)</f>
      </c>
      <c r="K118" s="179" t="str">
        <f>1-EXP(-J118)</f>
      </c>
      <c r="L118" s="180" t="str">
        <f>IF(G118=30,1,M117)</f>
      </c>
      <c r="M118" s="181" t="str">
        <f>L118*(1-K118)</f>
      </c>
    </row>
    <row r="119">
      <c r="A119" t="s">
        <v>164</v>
      </c>
      <c r="B119" t="s">
        <v>115</v>
      </c>
      <c r="C119" s="32" t="s">
        <v>294</v>
      </c>
      <c r="D119" t="s">
        <v>378</v>
      </c>
      <c r="E119" t="s">
        <v>395</v>
      </c>
      <c r="F119" s="174" t="n">
        <v>2027</v>
      </c>
      <c r="G119" s="175" t="n">
        <v>67</v>
      </c>
      <c r="H119" s="176" t="n">
        <v>23217.0318523838</v>
      </c>
      <c r="I119" s="177" t="n">
        <v>1969801.12432263</v>
      </c>
      <c r="J119" s="178" t="str">
        <f>IF(I119&gt;0,H119/I119,0)</f>
      </c>
      <c r="K119" s="179" t="str">
        <f>1-EXP(-J119)</f>
      </c>
      <c r="L119" s="180" t="str">
        <f>IF(G119=30,1,M118)</f>
      </c>
      <c r="M119" s="181" t="str">
        <f>L119*(1-K119)</f>
      </c>
    </row>
    <row r="120">
      <c r="A120" t="s">
        <v>164</v>
      </c>
      <c r="B120" t="s">
        <v>115</v>
      </c>
      <c r="C120" s="32" t="s">
        <v>294</v>
      </c>
      <c r="D120" t="s">
        <v>378</v>
      </c>
      <c r="E120" t="s">
        <v>395</v>
      </c>
      <c r="F120" s="174" t="n">
        <v>2027</v>
      </c>
      <c r="G120" s="175" t="n">
        <v>68</v>
      </c>
      <c r="H120" s="176" t="n">
        <v>23768.1587722311</v>
      </c>
      <c r="I120" s="177" t="n">
        <v>1838758.21692611</v>
      </c>
      <c r="J120" s="178" t="str">
        <f>IF(I120&gt;0,H120/I120,0)</f>
      </c>
      <c r="K120" s="179" t="str">
        <f>1-EXP(-J120)</f>
      </c>
      <c r="L120" s="180" t="str">
        <f>IF(G120=30,1,M119)</f>
      </c>
      <c r="M120" s="181" t="str">
        <f>L120*(1-K120)</f>
      </c>
    </row>
    <row r="121">
      <c r="A121" t="s">
        <v>164</v>
      </c>
      <c r="B121" t="s">
        <v>115</v>
      </c>
      <c r="C121" s="32" t="s">
        <v>294</v>
      </c>
      <c r="D121" t="s">
        <v>378</v>
      </c>
      <c r="E121" t="s">
        <v>395</v>
      </c>
      <c r="F121" s="174" t="n">
        <v>2027</v>
      </c>
      <c r="G121" s="175" t="n">
        <v>69</v>
      </c>
      <c r="H121" s="176" t="n">
        <v>24263.884700111</v>
      </c>
      <c r="I121" s="177" t="n">
        <v>1710272.89741387</v>
      </c>
      <c r="J121" s="178" t="str">
        <f>IF(I121&gt;0,H121/I121,0)</f>
      </c>
      <c r="K121" s="179" t="str">
        <f>1-EXP(-J121)</f>
      </c>
      <c r="L121" s="180" t="str">
        <f>IF(G121=30,1,M120)</f>
      </c>
      <c r="M121" s="181" t="str">
        <f>L121*(1-K121)</f>
      </c>
    </row>
    <row r="122">
      <c r="A122" t="s">
        <v>164</v>
      </c>
      <c r="B122" t="s">
        <v>115</v>
      </c>
      <c r="C122" s="32" t="s">
        <v>294</v>
      </c>
      <c r="D122" t="s">
        <v>378</v>
      </c>
      <c r="E122" t="s">
        <v>395</v>
      </c>
      <c r="F122" s="174" t="n">
        <v>2028</v>
      </c>
      <c r="G122" s="175" t="n">
        <v>30</v>
      </c>
      <c r="H122" s="176" t="n">
        <v>985.978323083036</v>
      </c>
      <c r="I122" s="177" t="n">
        <v>4420053.34476109</v>
      </c>
      <c r="J122" s="178" t="str">
        <f>IF(I122&gt;0,H122/I122,0)</f>
      </c>
      <c r="K122" s="179" t="str">
        <f>1-EXP(-J122)</f>
      </c>
      <c r="L122" s="180" t="str">
        <f>IF(G122=30,1,M121)</f>
      </c>
      <c r="M122" s="181" t="str">
        <f>L122*(1-K122)</f>
      </c>
    </row>
    <row r="123">
      <c r="A123" t="s">
        <v>164</v>
      </c>
      <c r="B123" t="s">
        <v>115</v>
      </c>
      <c r="C123" s="32" t="s">
        <v>294</v>
      </c>
      <c r="D123" t="s">
        <v>378</v>
      </c>
      <c r="E123" t="s">
        <v>395</v>
      </c>
      <c r="F123" s="174" t="n">
        <v>2028</v>
      </c>
      <c r="G123" s="175" t="n">
        <v>31</v>
      </c>
      <c r="H123" s="176" t="n">
        <v>1348.71490769417</v>
      </c>
      <c r="I123" s="177" t="n">
        <v>4561944.79033779</v>
      </c>
      <c r="J123" s="178" t="str">
        <f>IF(I123&gt;0,H123/I123,0)</f>
      </c>
      <c r="K123" s="179" t="str">
        <f>1-EXP(-J123)</f>
      </c>
      <c r="L123" s="180" t="str">
        <f>IF(G123=30,1,M122)</f>
      </c>
      <c r="M123" s="181" t="str">
        <f>L123*(1-K123)</f>
      </c>
    </row>
    <row r="124">
      <c r="A124" t="s">
        <v>164</v>
      </c>
      <c r="B124" t="s">
        <v>115</v>
      </c>
      <c r="C124" s="32" t="s">
        <v>294</v>
      </c>
      <c r="D124" t="s">
        <v>378</v>
      </c>
      <c r="E124" t="s">
        <v>395</v>
      </c>
      <c r="F124" s="174" t="n">
        <v>2028</v>
      </c>
      <c r="G124" s="175" t="n">
        <v>32</v>
      </c>
      <c r="H124" s="176" t="n">
        <v>1397.22629645945</v>
      </c>
      <c r="I124" s="177" t="n">
        <v>4519587.74134546</v>
      </c>
      <c r="J124" s="178" t="str">
        <f>IF(I124&gt;0,H124/I124,0)</f>
      </c>
      <c r="K124" s="179" t="str">
        <f>1-EXP(-J124)</f>
      </c>
      <c r="L124" s="180" t="str">
        <f>IF(G124=30,1,M123)</f>
      </c>
      <c r="M124" s="181" t="str">
        <f>L124*(1-K124)</f>
      </c>
    </row>
    <row r="125">
      <c r="A125" t="s">
        <v>164</v>
      </c>
      <c r="B125" t="s">
        <v>115</v>
      </c>
      <c r="C125" s="32" t="s">
        <v>294</v>
      </c>
      <c r="D125" t="s">
        <v>378</v>
      </c>
      <c r="E125" t="s">
        <v>395</v>
      </c>
      <c r="F125" s="174" t="n">
        <v>2028</v>
      </c>
      <c r="G125" s="175" t="n">
        <v>33</v>
      </c>
      <c r="H125" s="176" t="n">
        <v>1447.08973024626</v>
      </c>
      <c r="I125" s="177" t="n">
        <v>4447041.44124647</v>
      </c>
      <c r="J125" s="178" t="str">
        <f>IF(I125&gt;0,H125/I125,0)</f>
      </c>
      <c r="K125" s="179" t="str">
        <f>1-EXP(-J125)</f>
      </c>
      <c r="L125" s="180" t="str">
        <f>IF(G125=30,1,M124)</f>
      </c>
      <c r="M125" s="181" t="str">
        <f>L125*(1-K125)</f>
      </c>
    </row>
    <row r="126">
      <c r="A126" t="s">
        <v>164</v>
      </c>
      <c r="B126" t="s">
        <v>115</v>
      </c>
      <c r="C126" s="32" t="s">
        <v>294</v>
      </c>
      <c r="D126" t="s">
        <v>378</v>
      </c>
      <c r="E126" t="s">
        <v>395</v>
      </c>
      <c r="F126" s="174" t="n">
        <v>2028</v>
      </c>
      <c r="G126" s="175" t="n">
        <v>34</v>
      </c>
      <c r="H126" s="176" t="n">
        <v>1513.19015842326</v>
      </c>
      <c r="I126" s="177" t="n">
        <v>4390418.08502485</v>
      </c>
      <c r="J126" s="178" t="str">
        <f>IF(I126&gt;0,H126/I126,0)</f>
      </c>
      <c r="K126" s="179" t="str">
        <f>1-EXP(-J126)</f>
      </c>
      <c r="L126" s="180" t="str">
        <f>IF(G126=30,1,M125)</f>
      </c>
      <c r="M126" s="181" t="str">
        <f>L126*(1-K126)</f>
      </c>
    </row>
    <row r="127">
      <c r="A127" t="s">
        <v>164</v>
      </c>
      <c r="B127" t="s">
        <v>115</v>
      </c>
      <c r="C127" s="32" t="s">
        <v>294</v>
      </c>
      <c r="D127" t="s">
        <v>378</v>
      </c>
      <c r="E127" t="s">
        <v>395</v>
      </c>
      <c r="F127" s="174" t="n">
        <v>2028</v>
      </c>
      <c r="G127" s="175" t="n">
        <v>35</v>
      </c>
      <c r="H127" s="176" t="n">
        <v>2048.51059318591</v>
      </c>
      <c r="I127" s="177" t="n">
        <v>4337510.17306955</v>
      </c>
      <c r="J127" s="178" t="str">
        <f>IF(I127&gt;0,H127/I127,0)</f>
      </c>
      <c r="K127" s="179" t="str">
        <f>1-EXP(-J127)</f>
      </c>
      <c r="L127" s="180" t="str">
        <f>IF(G127=30,1,M126)</f>
      </c>
      <c r="M127" s="181" t="str">
        <f>L127*(1-K127)</f>
      </c>
    </row>
    <row r="128">
      <c r="A128" t="s">
        <v>164</v>
      </c>
      <c r="B128" t="s">
        <v>115</v>
      </c>
      <c r="C128" s="32" t="s">
        <v>294</v>
      </c>
      <c r="D128" t="s">
        <v>378</v>
      </c>
      <c r="E128" t="s">
        <v>395</v>
      </c>
      <c r="F128" s="174" t="n">
        <v>2028</v>
      </c>
      <c r="G128" s="175" t="n">
        <v>36</v>
      </c>
      <c r="H128" s="176" t="n">
        <v>2204.64211372328</v>
      </c>
      <c r="I128" s="177" t="n">
        <v>4375913.27717504</v>
      </c>
      <c r="J128" s="178" t="str">
        <f>IF(I128&gt;0,H128/I128,0)</f>
      </c>
      <c r="K128" s="179" t="str">
        <f>1-EXP(-J128)</f>
      </c>
      <c r="L128" s="180" t="str">
        <f>IF(G128=30,1,M127)</f>
      </c>
      <c r="M128" s="181" t="str">
        <f>L128*(1-K128)</f>
      </c>
    </row>
    <row r="129">
      <c r="A129" t="s">
        <v>164</v>
      </c>
      <c r="B129" t="s">
        <v>115</v>
      </c>
      <c r="C129" s="32" t="s">
        <v>294</v>
      </c>
      <c r="D129" t="s">
        <v>378</v>
      </c>
      <c r="E129" t="s">
        <v>395</v>
      </c>
      <c r="F129" s="174" t="n">
        <v>2028</v>
      </c>
      <c r="G129" s="175" t="n">
        <v>37</v>
      </c>
      <c r="H129" s="176" t="n">
        <v>2374.82132200462</v>
      </c>
      <c r="I129" s="177" t="n">
        <v>4395145.83080943</v>
      </c>
      <c r="J129" s="178" t="str">
        <f>IF(I129&gt;0,H129/I129,0)</f>
      </c>
      <c r="K129" s="179" t="str">
        <f>1-EXP(-J129)</f>
      </c>
      <c r="L129" s="180" t="str">
        <f>IF(G129=30,1,M128)</f>
      </c>
      <c r="M129" s="181" t="str">
        <f>L129*(1-K129)</f>
      </c>
    </row>
    <row r="130">
      <c r="A130" t="s">
        <v>164</v>
      </c>
      <c r="B130" t="s">
        <v>115</v>
      </c>
      <c r="C130" s="32" t="s">
        <v>294</v>
      </c>
      <c r="D130" t="s">
        <v>378</v>
      </c>
      <c r="E130" t="s">
        <v>395</v>
      </c>
      <c r="F130" s="174" t="n">
        <v>2028</v>
      </c>
      <c r="G130" s="175" t="n">
        <v>38</v>
      </c>
      <c r="H130" s="176" t="n">
        <v>3605.1383745688</v>
      </c>
      <c r="I130" s="177" t="n">
        <v>6472803.59442799</v>
      </c>
      <c r="J130" s="178" t="str">
        <f>IF(I130&gt;0,H130/I130,0)</f>
      </c>
      <c r="K130" s="179" t="str">
        <f>1-EXP(-J130)</f>
      </c>
      <c r="L130" s="180" t="str">
        <f>IF(G130=30,1,M129)</f>
      </c>
      <c r="M130" s="181" t="str">
        <f>L130*(1-K130)</f>
      </c>
    </row>
    <row r="131">
      <c r="A131" t="s">
        <v>164</v>
      </c>
      <c r="B131" t="s">
        <v>115</v>
      </c>
      <c r="C131" s="32" t="s">
        <v>294</v>
      </c>
      <c r="D131" t="s">
        <v>378</v>
      </c>
      <c r="E131" t="s">
        <v>395</v>
      </c>
      <c r="F131" s="174" t="n">
        <v>2028</v>
      </c>
      <c r="G131" s="175" t="n">
        <v>39</v>
      </c>
      <c r="H131" s="176" t="n">
        <v>2718.77183057948</v>
      </c>
      <c r="I131" s="177" t="n">
        <v>4356169.42692818</v>
      </c>
      <c r="J131" s="178" t="str">
        <f>IF(I131&gt;0,H131/I131,0)</f>
      </c>
      <c r="K131" s="179" t="str">
        <f>1-EXP(-J131)</f>
      </c>
      <c r="L131" s="180" t="str">
        <f>IF(G131=30,1,M130)</f>
      </c>
      <c r="M131" s="181" t="str">
        <f>L131*(1-K131)</f>
      </c>
    </row>
    <row r="132">
      <c r="A132" t="s">
        <v>164</v>
      </c>
      <c r="B132" t="s">
        <v>115</v>
      </c>
      <c r="C132" s="32" t="s">
        <v>294</v>
      </c>
      <c r="D132" t="s">
        <v>378</v>
      </c>
      <c r="E132" t="s">
        <v>395</v>
      </c>
      <c r="F132" s="174" t="n">
        <v>2028</v>
      </c>
      <c r="G132" s="175" t="n">
        <v>40</v>
      </c>
      <c r="H132" s="176" t="n">
        <v>3649.77238080791</v>
      </c>
      <c r="I132" s="177" t="n">
        <v>4340883.38252687</v>
      </c>
      <c r="J132" s="178" t="str">
        <f>IF(I132&gt;0,H132/I132,0)</f>
      </c>
      <c r="K132" s="179" t="str">
        <f>1-EXP(-J132)</f>
      </c>
      <c r="L132" s="180" t="str">
        <f>IF(G132=30,1,M131)</f>
      </c>
      <c r="M132" s="181" t="str">
        <f>L132*(1-K132)</f>
      </c>
    </row>
    <row r="133">
      <c r="A133" t="s">
        <v>164</v>
      </c>
      <c r="B133" t="s">
        <v>115</v>
      </c>
      <c r="C133" s="32" t="s">
        <v>294</v>
      </c>
      <c r="D133" t="s">
        <v>378</v>
      </c>
      <c r="E133" t="s">
        <v>395</v>
      </c>
      <c r="F133" s="174" t="n">
        <v>2028</v>
      </c>
      <c r="G133" s="175" t="n">
        <v>41</v>
      </c>
      <c r="H133" s="176" t="n">
        <v>3817.30937716143</v>
      </c>
      <c r="I133" s="177" t="n">
        <v>4208739.85319894</v>
      </c>
      <c r="J133" s="178" t="str">
        <f>IF(I133&gt;0,H133/I133,0)</f>
      </c>
      <c r="K133" s="179" t="str">
        <f>1-EXP(-J133)</f>
      </c>
      <c r="L133" s="180" t="str">
        <f>IF(G133=30,1,M132)</f>
      </c>
      <c r="M133" s="181" t="str">
        <f>L133*(1-K133)</f>
      </c>
    </row>
    <row r="134">
      <c r="A134" t="s">
        <v>164</v>
      </c>
      <c r="B134" t="s">
        <v>115</v>
      </c>
      <c r="C134" s="32" t="s">
        <v>294</v>
      </c>
      <c r="D134" t="s">
        <v>378</v>
      </c>
      <c r="E134" t="s">
        <v>395</v>
      </c>
      <c r="F134" s="174" t="n">
        <v>2028</v>
      </c>
      <c r="G134" s="175" t="n">
        <v>42</v>
      </c>
      <c r="H134" s="176" t="n">
        <v>4105.955912092</v>
      </c>
      <c r="I134" s="177" t="n">
        <v>4175676.36260354</v>
      </c>
      <c r="J134" s="178" t="str">
        <f>IF(I134&gt;0,H134/I134,0)</f>
      </c>
      <c r="K134" s="179" t="str">
        <f>1-EXP(-J134)</f>
      </c>
      <c r="L134" s="180" t="str">
        <f>IF(G134=30,1,M133)</f>
      </c>
      <c r="M134" s="181" t="str">
        <f>L134*(1-K134)</f>
      </c>
    </row>
    <row r="135">
      <c r="A135" t="s">
        <v>164</v>
      </c>
      <c r="B135" t="s">
        <v>115</v>
      </c>
      <c r="C135" s="32" t="s">
        <v>294</v>
      </c>
      <c r="D135" t="s">
        <v>378</v>
      </c>
      <c r="E135" t="s">
        <v>395</v>
      </c>
      <c r="F135" s="174" t="n">
        <v>2028</v>
      </c>
      <c r="G135" s="175" t="n">
        <v>43</v>
      </c>
      <c r="H135" s="176" t="n">
        <v>4533.04287533382</v>
      </c>
      <c r="I135" s="177" t="n">
        <v>4236936.78948795</v>
      </c>
      <c r="J135" s="178" t="str">
        <f>IF(I135&gt;0,H135/I135,0)</f>
      </c>
      <c r="K135" s="179" t="str">
        <f>1-EXP(-J135)</f>
      </c>
      <c r="L135" s="180" t="str">
        <f>IF(G135=30,1,M134)</f>
      </c>
      <c r="M135" s="181" t="str">
        <f>L135*(1-K135)</f>
      </c>
    </row>
    <row r="136">
      <c r="A136" t="s">
        <v>164</v>
      </c>
      <c r="B136" t="s">
        <v>115</v>
      </c>
      <c r="C136" s="32" t="s">
        <v>294</v>
      </c>
      <c r="D136" t="s">
        <v>378</v>
      </c>
      <c r="E136" t="s">
        <v>395</v>
      </c>
      <c r="F136" s="174" t="n">
        <v>2028</v>
      </c>
      <c r="G136" s="175" t="n">
        <v>44</v>
      </c>
      <c r="H136" s="176" t="n">
        <v>5045.75202235011</v>
      </c>
      <c r="I136" s="177" t="n">
        <v>4323726.03079308</v>
      </c>
      <c r="J136" s="178" t="str">
        <f>IF(I136&gt;0,H136/I136,0)</f>
      </c>
      <c r="K136" s="179" t="str">
        <f>1-EXP(-J136)</f>
      </c>
      <c r="L136" s="180" t="str">
        <f>IF(G136=30,1,M135)</f>
      </c>
      <c r="M136" s="181" t="str">
        <f>L136*(1-K136)</f>
      </c>
    </row>
    <row r="137">
      <c r="A137" t="s">
        <v>164</v>
      </c>
      <c r="B137" t="s">
        <v>115</v>
      </c>
      <c r="C137" s="32" t="s">
        <v>294</v>
      </c>
      <c r="D137" t="s">
        <v>378</v>
      </c>
      <c r="E137" t="s">
        <v>395</v>
      </c>
      <c r="F137" s="174" t="n">
        <v>2028</v>
      </c>
      <c r="G137" s="175" t="n">
        <v>45</v>
      </c>
      <c r="H137" s="176" t="n">
        <v>6497.11295221078</v>
      </c>
      <c r="I137" s="177" t="n">
        <v>4301182.07855481</v>
      </c>
      <c r="J137" s="178" t="str">
        <f>IF(I137&gt;0,H137/I137,0)</f>
      </c>
      <c r="K137" s="179" t="str">
        <f>1-EXP(-J137)</f>
      </c>
      <c r="L137" s="180" t="str">
        <f>IF(G137=30,1,M136)</f>
      </c>
      <c r="M137" s="181" t="str">
        <f>L137*(1-K137)</f>
      </c>
    </row>
    <row r="138">
      <c r="A138" t="s">
        <v>164</v>
      </c>
      <c r="B138" t="s">
        <v>115</v>
      </c>
      <c r="C138" s="32" t="s">
        <v>294</v>
      </c>
      <c r="D138" t="s">
        <v>378</v>
      </c>
      <c r="E138" t="s">
        <v>395</v>
      </c>
      <c r="F138" s="174" t="n">
        <v>2028</v>
      </c>
      <c r="G138" s="175" t="n">
        <v>46</v>
      </c>
      <c r="H138" s="176" t="n">
        <v>6881.64533111804</v>
      </c>
      <c r="I138" s="177" t="n">
        <v>4164598.25249496</v>
      </c>
      <c r="J138" s="178" t="str">
        <f>IF(I138&gt;0,H138/I138,0)</f>
      </c>
      <c r="K138" s="179" t="str">
        <f>1-EXP(-J138)</f>
      </c>
      <c r="L138" s="180" t="str">
        <f>IF(G138=30,1,M137)</f>
      </c>
      <c r="M138" s="181" t="str">
        <f>L138*(1-K138)</f>
      </c>
    </row>
    <row r="139">
      <c r="A139" t="s">
        <v>164</v>
      </c>
      <c r="B139" t="s">
        <v>115</v>
      </c>
      <c r="C139" s="32" t="s">
        <v>294</v>
      </c>
      <c r="D139" t="s">
        <v>378</v>
      </c>
      <c r="E139" t="s">
        <v>395</v>
      </c>
      <c r="F139" s="174" t="n">
        <v>2028</v>
      </c>
      <c r="G139" s="175" t="n">
        <v>47</v>
      </c>
      <c r="H139" s="176" t="n">
        <v>7409.48427771684</v>
      </c>
      <c r="I139" s="177" t="n">
        <v>4091792.21893481</v>
      </c>
      <c r="J139" s="178" t="str">
        <f>IF(I139&gt;0,H139/I139,0)</f>
      </c>
      <c r="K139" s="179" t="str">
        <f>1-EXP(-J139)</f>
      </c>
      <c r="L139" s="180" t="str">
        <f>IF(G139=30,1,M138)</f>
      </c>
      <c r="M139" s="181" t="str">
        <f>L139*(1-K139)</f>
      </c>
    </row>
    <row r="140">
      <c r="A140" t="s">
        <v>164</v>
      </c>
      <c r="B140" t="s">
        <v>115</v>
      </c>
      <c r="C140" s="32" t="s">
        <v>294</v>
      </c>
      <c r="D140" t="s">
        <v>378</v>
      </c>
      <c r="E140" t="s">
        <v>395</v>
      </c>
      <c r="F140" s="174" t="n">
        <v>2028</v>
      </c>
      <c r="G140" s="175" t="n">
        <v>48</v>
      </c>
      <c r="H140" s="176" t="n">
        <v>8003.03726514603</v>
      </c>
      <c r="I140" s="177" t="n">
        <v>4034985.38197243</v>
      </c>
      <c r="J140" s="178" t="str">
        <f>IF(I140&gt;0,H140/I140,0)</f>
      </c>
      <c r="K140" s="179" t="str">
        <f>1-EXP(-J140)</f>
      </c>
      <c r="L140" s="180" t="str">
        <f>IF(G140=30,1,M139)</f>
      </c>
      <c r="M140" s="181" t="str">
        <f>L140*(1-K140)</f>
      </c>
    </row>
    <row r="141">
      <c r="A141" t="s">
        <v>164</v>
      </c>
      <c r="B141" t="s">
        <v>115</v>
      </c>
      <c r="C141" s="32" t="s">
        <v>294</v>
      </c>
      <c r="D141" t="s">
        <v>378</v>
      </c>
      <c r="E141" t="s">
        <v>395</v>
      </c>
      <c r="F141" s="174" t="n">
        <v>2028</v>
      </c>
      <c r="G141" s="175" t="n">
        <v>49</v>
      </c>
      <c r="H141" s="176" t="n">
        <v>8617.19865265665</v>
      </c>
      <c r="I141" s="177" t="n">
        <v>3972751.85767028</v>
      </c>
      <c r="J141" s="178" t="str">
        <f>IF(I141&gt;0,H141/I141,0)</f>
      </c>
      <c r="K141" s="179" t="str">
        <f>1-EXP(-J141)</f>
      </c>
      <c r="L141" s="180" t="str">
        <f>IF(G141=30,1,M140)</f>
      </c>
      <c r="M141" s="181" t="str">
        <f>L141*(1-K141)</f>
      </c>
    </row>
    <row r="142">
      <c r="A142" t="s">
        <v>164</v>
      </c>
      <c r="B142" t="s">
        <v>115</v>
      </c>
      <c r="C142" s="32" t="s">
        <v>294</v>
      </c>
      <c r="D142" t="s">
        <v>378</v>
      </c>
      <c r="E142" t="s">
        <v>395</v>
      </c>
      <c r="F142" s="174" t="n">
        <v>2028</v>
      </c>
      <c r="G142" s="175" t="n">
        <v>50</v>
      </c>
      <c r="H142" s="176" t="n">
        <v>9847.83725278074</v>
      </c>
      <c r="I142" s="177" t="n">
        <v>3890991.29223459</v>
      </c>
      <c r="J142" s="178" t="str">
        <f>IF(I142&gt;0,H142/I142,0)</f>
      </c>
      <c r="K142" s="179" t="str">
        <f>1-EXP(-J142)</f>
      </c>
      <c r="L142" s="180" t="str">
        <f>IF(G142=30,1,M141)</f>
      </c>
      <c r="M142" s="181" t="str">
        <f>L142*(1-K142)</f>
      </c>
    </row>
    <row r="143">
      <c r="A143" t="s">
        <v>164</v>
      </c>
      <c r="B143" t="s">
        <v>115</v>
      </c>
      <c r="C143" s="32" t="s">
        <v>294</v>
      </c>
      <c r="D143" t="s">
        <v>378</v>
      </c>
      <c r="E143" t="s">
        <v>395</v>
      </c>
      <c r="F143" s="174" t="n">
        <v>2028</v>
      </c>
      <c r="G143" s="175" t="n">
        <v>51</v>
      </c>
      <c r="H143" s="176" t="n">
        <v>10566.9843695238</v>
      </c>
      <c r="I143" s="177" t="n">
        <v>3825625.71219673</v>
      </c>
      <c r="J143" s="178" t="str">
        <f>IF(I143&gt;0,H143/I143,0)</f>
      </c>
      <c r="K143" s="179" t="str">
        <f>1-EXP(-J143)</f>
      </c>
      <c r="L143" s="180" t="str">
        <f>IF(G143=30,1,M142)</f>
      </c>
      <c r="M143" s="181" t="str">
        <f>L143*(1-K143)</f>
      </c>
    </row>
    <row r="144">
      <c r="A144" t="s">
        <v>164</v>
      </c>
      <c r="B144" t="s">
        <v>115</v>
      </c>
      <c r="C144" s="32" t="s">
        <v>294</v>
      </c>
      <c r="D144" t="s">
        <v>378</v>
      </c>
      <c r="E144" t="s">
        <v>395</v>
      </c>
      <c r="F144" s="174" t="n">
        <v>2028</v>
      </c>
      <c r="G144" s="175" t="n">
        <v>52</v>
      </c>
      <c r="H144" s="176" t="n">
        <v>11308.4561756819</v>
      </c>
      <c r="I144" s="177" t="n">
        <v>3749174.9662783</v>
      </c>
      <c r="J144" s="178" t="str">
        <f>IF(I144&gt;0,H144/I144,0)</f>
      </c>
      <c r="K144" s="179" t="str">
        <f>1-EXP(-J144)</f>
      </c>
      <c r="L144" s="180" t="str">
        <f>IF(G144=30,1,M143)</f>
      </c>
      <c r="M144" s="181" t="str">
        <f>L144*(1-K144)</f>
      </c>
    </row>
    <row r="145">
      <c r="A145" t="s">
        <v>164</v>
      </c>
      <c r="B145" t="s">
        <v>115</v>
      </c>
      <c r="C145" s="32" t="s">
        <v>294</v>
      </c>
      <c r="D145" t="s">
        <v>378</v>
      </c>
      <c r="E145" t="s">
        <v>395</v>
      </c>
      <c r="F145" s="174" t="n">
        <v>2028</v>
      </c>
      <c r="G145" s="175" t="n">
        <v>53</v>
      </c>
      <c r="H145" s="176" t="n">
        <v>12094.5963763824</v>
      </c>
      <c r="I145" s="177" t="n">
        <v>3672046.67426915</v>
      </c>
      <c r="J145" s="178" t="str">
        <f>IF(I145&gt;0,H145/I145,0)</f>
      </c>
      <c r="K145" s="179" t="str">
        <f>1-EXP(-J145)</f>
      </c>
      <c r="L145" s="180" t="str">
        <f>IF(G145=30,1,M144)</f>
      </c>
      <c r="M145" s="181" t="str">
        <f>L145*(1-K145)</f>
      </c>
    </row>
    <row r="146">
      <c r="A146" t="s">
        <v>164</v>
      </c>
      <c r="B146" t="s">
        <v>115</v>
      </c>
      <c r="C146" s="32" t="s">
        <v>294</v>
      </c>
      <c r="D146" t="s">
        <v>378</v>
      </c>
      <c r="E146" t="s">
        <v>395</v>
      </c>
      <c r="F146" s="174" t="n">
        <v>2028</v>
      </c>
      <c r="G146" s="175" t="n">
        <v>54</v>
      </c>
      <c r="H146" s="176" t="n">
        <v>12826.3561726485</v>
      </c>
      <c r="I146" s="177" t="n">
        <v>3567285.06378975</v>
      </c>
      <c r="J146" s="178" t="str">
        <f>IF(I146&gt;0,H146/I146,0)</f>
      </c>
      <c r="K146" s="179" t="str">
        <f>1-EXP(-J146)</f>
      </c>
      <c r="L146" s="180" t="str">
        <f>IF(G146=30,1,M145)</f>
      </c>
      <c r="M146" s="181" t="str">
        <f>L146*(1-K146)</f>
      </c>
    </row>
    <row r="147">
      <c r="A147" t="s">
        <v>164</v>
      </c>
      <c r="B147" t="s">
        <v>115</v>
      </c>
      <c r="C147" s="32" t="s">
        <v>294</v>
      </c>
      <c r="D147" t="s">
        <v>378</v>
      </c>
      <c r="E147" t="s">
        <v>395</v>
      </c>
      <c r="F147" s="174" t="n">
        <v>2028</v>
      </c>
      <c r="G147" s="175" t="n">
        <v>55</v>
      </c>
      <c r="H147" s="176" t="n">
        <v>14025.6647351276</v>
      </c>
      <c r="I147" s="177" t="n">
        <v>3523088.73382254</v>
      </c>
      <c r="J147" s="178" t="str">
        <f>IF(I147&gt;0,H147/I147,0)</f>
      </c>
      <c r="K147" s="179" t="str">
        <f>1-EXP(-J147)</f>
      </c>
      <c r="L147" s="180" t="str">
        <f>IF(G147=30,1,M146)</f>
      </c>
      <c r="M147" s="181" t="str">
        <f>L147*(1-K147)</f>
      </c>
    </row>
    <row r="148">
      <c r="A148" t="s">
        <v>164</v>
      </c>
      <c r="B148" t="s">
        <v>115</v>
      </c>
      <c r="C148" s="32" t="s">
        <v>294</v>
      </c>
      <c r="D148" t="s">
        <v>378</v>
      </c>
      <c r="E148" t="s">
        <v>395</v>
      </c>
      <c r="F148" s="174" t="n">
        <v>2028</v>
      </c>
      <c r="G148" s="175" t="n">
        <v>56</v>
      </c>
      <c r="H148" s="176" t="n">
        <v>14407.9350602108</v>
      </c>
      <c r="I148" s="177" t="n">
        <v>3313705.10748696</v>
      </c>
      <c r="J148" s="178" t="str">
        <f>IF(I148&gt;0,H148/I148,0)</f>
      </c>
      <c r="K148" s="179" t="str">
        <f>1-EXP(-J148)</f>
      </c>
      <c r="L148" s="180" t="str">
        <f>IF(G148=30,1,M147)</f>
      </c>
      <c r="M148" s="181" t="str">
        <f>L148*(1-K148)</f>
      </c>
    </row>
    <row r="149">
      <c r="A149" t="s">
        <v>164</v>
      </c>
      <c r="B149" t="s">
        <v>115</v>
      </c>
      <c r="C149" s="32" t="s">
        <v>294</v>
      </c>
      <c r="D149" t="s">
        <v>378</v>
      </c>
      <c r="E149" t="s">
        <v>395</v>
      </c>
      <c r="F149" s="174" t="n">
        <v>2028</v>
      </c>
      <c r="G149" s="175" t="n">
        <v>57</v>
      </c>
      <c r="H149" s="176" t="n">
        <v>15334.7260597209</v>
      </c>
      <c r="I149" s="177" t="n">
        <v>3226959.29352951</v>
      </c>
      <c r="J149" s="178" t="str">
        <f>IF(I149&gt;0,H149/I149,0)</f>
      </c>
      <c r="K149" s="179" t="str">
        <f>1-EXP(-J149)</f>
      </c>
      <c r="L149" s="180" t="str">
        <f>IF(G149=30,1,M148)</f>
      </c>
      <c r="M149" s="181" t="str">
        <f>L149*(1-K149)</f>
      </c>
    </row>
    <row r="150">
      <c r="A150" t="s">
        <v>164</v>
      </c>
      <c r="B150" t="s">
        <v>115</v>
      </c>
      <c r="C150" s="32" t="s">
        <v>294</v>
      </c>
      <c r="D150" t="s">
        <v>378</v>
      </c>
      <c r="E150" t="s">
        <v>395</v>
      </c>
      <c r="F150" s="174" t="n">
        <v>2028</v>
      </c>
      <c r="G150" s="175" t="n">
        <v>58</v>
      </c>
      <c r="H150" s="176" t="n">
        <v>16336.2564397154</v>
      </c>
      <c r="I150" s="177" t="n">
        <v>3144669.35633812</v>
      </c>
      <c r="J150" s="178" t="str">
        <f>IF(I150&gt;0,H150/I150,0)</f>
      </c>
      <c r="K150" s="179" t="str">
        <f>1-EXP(-J150)</f>
      </c>
      <c r="L150" s="180" t="str">
        <f>IF(G150=30,1,M149)</f>
      </c>
      <c r="M150" s="181" t="str">
        <f>L150*(1-K150)</f>
      </c>
    </row>
    <row r="151">
      <c r="A151" t="s">
        <v>164</v>
      </c>
      <c r="B151" t="s">
        <v>115</v>
      </c>
      <c r="C151" s="32" t="s">
        <v>294</v>
      </c>
      <c r="D151" t="s">
        <v>378</v>
      </c>
      <c r="E151" t="s">
        <v>395</v>
      </c>
      <c r="F151" s="174" t="n">
        <v>2028</v>
      </c>
      <c r="G151" s="175" t="n">
        <v>59</v>
      </c>
      <c r="H151" s="176" t="n">
        <v>17333.0787249582</v>
      </c>
      <c r="I151" s="177" t="n">
        <v>3053108.58269869</v>
      </c>
      <c r="J151" s="178" t="str">
        <f>IF(I151&gt;0,H151/I151,0)</f>
      </c>
      <c r="K151" s="179" t="str">
        <f>1-EXP(-J151)</f>
      </c>
      <c r="L151" s="180" t="str">
        <f>IF(G151=30,1,M150)</f>
      </c>
      <c r="M151" s="181" t="str">
        <f>L151*(1-K151)</f>
      </c>
    </row>
    <row r="152">
      <c r="A152" t="s">
        <v>164</v>
      </c>
      <c r="B152" t="s">
        <v>115</v>
      </c>
      <c r="C152" s="32" t="s">
        <v>294</v>
      </c>
      <c r="D152" t="s">
        <v>378</v>
      </c>
      <c r="E152" t="s">
        <v>395</v>
      </c>
      <c r="F152" s="174" t="n">
        <v>2028</v>
      </c>
      <c r="G152" s="175" t="n">
        <v>60</v>
      </c>
      <c r="H152" s="176" t="n">
        <v>18671.0359997682</v>
      </c>
      <c r="I152" s="177" t="n">
        <v>2941689.68164841</v>
      </c>
      <c r="J152" s="178" t="str">
        <f>IF(I152&gt;0,H152/I152,0)</f>
      </c>
      <c r="K152" s="179" t="str">
        <f>1-EXP(-J152)</f>
      </c>
      <c r="L152" s="180" t="str">
        <f>IF(G152=30,1,M151)</f>
      </c>
      <c r="M152" s="181" t="str">
        <f>L152*(1-K152)</f>
      </c>
    </row>
    <row r="153">
      <c r="A153" t="s">
        <v>164</v>
      </c>
      <c r="B153" t="s">
        <v>115</v>
      </c>
      <c r="C153" s="32" t="s">
        <v>294</v>
      </c>
      <c r="D153" t="s">
        <v>378</v>
      </c>
      <c r="E153" t="s">
        <v>395</v>
      </c>
      <c r="F153" s="174" t="n">
        <v>2028</v>
      </c>
      <c r="G153" s="175" t="n">
        <v>61</v>
      </c>
      <c r="H153" s="176" t="n">
        <v>19419.4661696198</v>
      </c>
      <c r="I153" s="177" t="n">
        <v>2798376.14776359</v>
      </c>
      <c r="J153" s="178" t="str">
        <f>IF(I153&gt;0,H153/I153,0)</f>
      </c>
      <c r="K153" s="179" t="str">
        <f>1-EXP(-J153)</f>
      </c>
      <c r="L153" s="180" t="str">
        <f>IF(G153=30,1,M152)</f>
      </c>
      <c r="M153" s="181" t="str">
        <f>L153*(1-K153)</f>
      </c>
    </row>
    <row r="154">
      <c r="A154" t="s">
        <v>164</v>
      </c>
      <c r="B154" t="s">
        <v>115</v>
      </c>
      <c r="C154" s="32" t="s">
        <v>294</v>
      </c>
      <c r="D154" t="s">
        <v>378</v>
      </c>
      <c r="E154" t="s">
        <v>395</v>
      </c>
      <c r="F154" s="174" t="n">
        <v>2028</v>
      </c>
      <c r="G154" s="175" t="n">
        <v>62</v>
      </c>
      <c r="H154" s="176" t="n">
        <v>20445.6486457772</v>
      </c>
      <c r="I154" s="177" t="n">
        <v>2692239.05502122</v>
      </c>
      <c r="J154" s="178" t="str">
        <f>IF(I154&gt;0,H154/I154,0)</f>
      </c>
      <c r="K154" s="179" t="str">
        <f>1-EXP(-J154)</f>
      </c>
      <c r="L154" s="180" t="str">
        <f>IF(G154=30,1,M153)</f>
      </c>
      <c r="M154" s="181" t="str">
        <f>L154*(1-K154)</f>
      </c>
    </row>
    <row r="155">
      <c r="A155" t="s">
        <v>164</v>
      </c>
      <c r="B155" t="s">
        <v>115</v>
      </c>
      <c r="C155" s="32" t="s">
        <v>294</v>
      </c>
      <c r="D155" t="s">
        <v>378</v>
      </c>
      <c r="E155" t="s">
        <v>395</v>
      </c>
      <c r="F155" s="174" t="n">
        <v>2028</v>
      </c>
      <c r="G155" s="175" t="n">
        <v>63</v>
      </c>
      <c r="H155" s="176" t="n">
        <v>21317.703881791</v>
      </c>
      <c r="I155" s="177" t="n">
        <v>2564417.11071843</v>
      </c>
      <c r="J155" s="178" t="str">
        <f>IF(I155&gt;0,H155/I155,0)</f>
      </c>
      <c r="K155" s="179" t="str">
        <f>1-EXP(-J155)</f>
      </c>
      <c r="L155" s="180" t="str">
        <f>IF(G155=30,1,M154)</f>
      </c>
      <c r="M155" s="181" t="str">
        <f>L155*(1-K155)</f>
      </c>
    </row>
    <row r="156">
      <c r="A156" t="s">
        <v>164</v>
      </c>
      <c r="B156" t="s">
        <v>115</v>
      </c>
      <c r="C156" s="32" t="s">
        <v>294</v>
      </c>
      <c r="D156" t="s">
        <v>378</v>
      </c>
      <c r="E156" t="s">
        <v>395</v>
      </c>
      <c r="F156" s="174" t="n">
        <v>2028</v>
      </c>
      <c r="G156" s="175" t="n">
        <v>64</v>
      </c>
      <c r="H156" s="176" t="n">
        <v>22176.5794983413</v>
      </c>
      <c r="I156" s="177" t="n">
        <v>2436818.98049828</v>
      </c>
      <c r="J156" s="178" t="str">
        <f>IF(I156&gt;0,H156/I156,0)</f>
      </c>
      <c r="K156" s="179" t="str">
        <f>1-EXP(-J156)</f>
      </c>
      <c r="L156" s="180" t="str">
        <f>IF(G156=30,1,M155)</f>
      </c>
      <c r="M156" s="181" t="str">
        <f>L156*(1-K156)</f>
      </c>
    </row>
    <row r="157">
      <c r="A157" t="s">
        <v>164</v>
      </c>
      <c r="B157" t="s">
        <v>115</v>
      </c>
      <c r="C157" s="32" t="s">
        <v>294</v>
      </c>
      <c r="D157" t="s">
        <v>378</v>
      </c>
      <c r="E157" t="s">
        <v>395</v>
      </c>
      <c r="F157" s="174" t="n">
        <v>2028</v>
      </c>
      <c r="G157" s="175" t="n">
        <v>65</v>
      </c>
      <c r="H157" s="176" t="n">
        <v>22455.5036449677</v>
      </c>
      <c r="I157" s="177" t="n">
        <v>2314122.020046</v>
      </c>
      <c r="J157" s="178" t="str">
        <f>IF(I157&gt;0,H157/I157,0)</f>
      </c>
      <c r="K157" s="179" t="str">
        <f>1-EXP(-J157)</f>
      </c>
      <c r="L157" s="180" t="str">
        <f>IF(G157=30,1,M156)</f>
      </c>
      <c r="M157" s="181" t="str">
        <f>L157*(1-K157)</f>
      </c>
    </row>
    <row r="158">
      <c r="A158" t="s">
        <v>164</v>
      </c>
      <c r="B158" t="s">
        <v>115</v>
      </c>
      <c r="C158" s="32" t="s">
        <v>294</v>
      </c>
      <c r="D158" t="s">
        <v>378</v>
      </c>
      <c r="E158" t="s">
        <v>395</v>
      </c>
      <c r="F158" s="174" t="n">
        <v>2028</v>
      </c>
      <c r="G158" s="175" t="n">
        <v>66</v>
      </c>
      <c r="H158" s="176" t="n">
        <v>23106.2821524211</v>
      </c>
      <c r="I158" s="177" t="n">
        <v>2166283.47906056</v>
      </c>
      <c r="J158" s="178" t="str">
        <f>IF(I158&gt;0,H158/I158,0)</f>
      </c>
      <c r="K158" s="179" t="str">
        <f>1-EXP(-J158)</f>
      </c>
      <c r="L158" s="180" t="str">
        <f>IF(G158=30,1,M157)</f>
      </c>
      <c r="M158" s="181" t="str">
        <f>L158*(1-K158)</f>
      </c>
    </row>
    <row r="159">
      <c r="A159" t="s">
        <v>164</v>
      </c>
      <c r="B159" t="s">
        <v>115</v>
      </c>
      <c r="C159" s="32" t="s">
        <v>294</v>
      </c>
      <c r="D159" t="s">
        <v>378</v>
      </c>
      <c r="E159" t="s">
        <v>395</v>
      </c>
      <c r="F159" s="174" t="n">
        <v>2028</v>
      </c>
      <c r="G159" s="175" t="n">
        <v>67</v>
      </c>
      <c r="H159" s="176" t="n">
        <v>23902.8646059369</v>
      </c>
      <c r="I159" s="177" t="n">
        <v>2043197.52658342</v>
      </c>
      <c r="J159" s="178" t="str">
        <f>IF(I159&gt;0,H159/I159,0)</f>
      </c>
      <c r="K159" s="179" t="str">
        <f>1-EXP(-J159)</f>
      </c>
      <c r="L159" s="180" t="str">
        <f>IF(G159=30,1,M158)</f>
      </c>
      <c r="M159" s="181" t="str">
        <f>L159*(1-K159)</f>
      </c>
    </row>
    <row r="160">
      <c r="A160" t="s">
        <v>164</v>
      </c>
      <c r="B160" t="s">
        <v>115</v>
      </c>
      <c r="C160" s="32" t="s">
        <v>294</v>
      </c>
      <c r="D160" t="s">
        <v>378</v>
      </c>
      <c r="E160" t="s">
        <v>395</v>
      </c>
      <c r="F160" s="174" t="n">
        <v>2028</v>
      </c>
      <c r="G160" s="175" t="n">
        <v>68</v>
      </c>
      <c r="H160" s="176" t="n">
        <v>24601.1644517617</v>
      </c>
      <c r="I160" s="177" t="n">
        <v>1916468.93966703</v>
      </c>
      <c r="J160" s="178" t="str">
        <f>IF(I160&gt;0,H160/I160,0)</f>
      </c>
      <c r="K160" s="179" t="str">
        <f>1-EXP(-J160)</f>
      </c>
      <c r="L160" s="180" t="str">
        <f>IF(G160=30,1,M159)</f>
      </c>
      <c r="M160" s="181" t="str">
        <f>L160*(1-K160)</f>
      </c>
    </row>
    <row r="161">
      <c r="A161" t="s">
        <v>164</v>
      </c>
      <c r="B161" t="s">
        <v>115</v>
      </c>
      <c r="C161" s="32" t="s">
        <v>294</v>
      </c>
      <c r="D161" t="s">
        <v>378</v>
      </c>
      <c r="E161" t="s">
        <v>395</v>
      </c>
      <c r="F161" s="174" t="n">
        <v>2028</v>
      </c>
      <c r="G161" s="175" t="n">
        <v>69</v>
      </c>
      <c r="H161" s="176" t="n">
        <v>25137.7168739661</v>
      </c>
      <c r="I161" s="177" t="n">
        <v>1784198.28160859</v>
      </c>
      <c r="J161" s="178" t="str">
        <f>IF(I161&gt;0,H161/I161,0)</f>
      </c>
      <c r="K161" s="179" t="str">
        <f>1-EXP(-J161)</f>
      </c>
      <c r="L161" s="180" t="str">
        <f>IF(G161=30,1,M160)</f>
      </c>
      <c r="M161" s="181" t="str">
        <f>L161*(1-K161)</f>
      </c>
    </row>
    <row r="162">
      <c r="A162" t="s">
        <v>164</v>
      </c>
      <c r="B162" t="s">
        <v>115</v>
      </c>
      <c r="C162" s="32" t="s">
        <v>294</v>
      </c>
      <c r="D162" t="s">
        <v>378</v>
      </c>
      <c r="E162" t="s">
        <v>395</v>
      </c>
      <c r="F162" s="174" t="n">
        <v>2029</v>
      </c>
      <c r="G162" s="175" t="n">
        <v>30</v>
      </c>
      <c r="H162" s="176" t="n">
        <v>966.055120160218</v>
      </c>
      <c r="I162" s="177" t="n">
        <v>4353617.84035411</v>
      </c>
      <c r="J162" s="178" t="str">
        <f>IF(I162&gt;0,H162/I162,0)</f>
      </c>
      <c r="K162" s="179" t="str">
        <f>1-EXP(-J162)</f>
      </c>
      <c r="L162" s="180" t="str">
        <f>IF(G162=30,1,M161)</f>
      </c>
      <c r="M162" s="181" t="str">
        <f>L162*(1-K162)</f>
      </c>
    </row>
    <row r="163">
      <c r="A163" t="s">
        <v>164</v>
      </c>
      <c r="B163" t="s">
        <v>115</v>
      </c>
      <c r="C163" s="32" t="s">
        <v>294</v>
      </c>
      <c r="D163" t="s">
        <v>378</v>
      </c>
      <c r="E163" t="s">
        <v>395</v>
      </c>
      <c r="F163" s="174" t="n">
        <v>2029</v>
      </c>
      <c r="G163" s="175" t="n">
        <v>31</v>
      </c>
      <c r="H163" s="176" t="n">
        <v>1118.2880465217</v>
      </c>
      <c r="I163" s="177" t="n">
        <v>4413832.00049983</v>
      </c>
      <c r="J163" s="178" t="str">
        <f>IF(I163&gt;0,H163/I163,0)</f>
      </c>
      <c r="K163" s="179" t="str">
        <f>1-EXP(-J163)</f>
      </c>
      <c r="L163" s="180" t="str">
        <f>IF(G163=30,1,M162)</f>
      </c>
      <c r="M163" s="181" t="str">
        <f>L163*(1-K163)</f>
      </c>
    </row>
    <row r="164">
      <c r="A164" t="s">
        <v>164</v>
      </c>
      <c r="B164" t="s">
        <v>115</v>
      </c>
      <c r="C164" s="32" t="s">
        <v>294</v>
      </c>
      <c r="D164" t="s">
        <v>378</v>
      </c>
      <c r="E164" t="s">
        <v>395</v>
      </c>
      <c r="F164" s="174" t="n">
        <v>2029</v>
      </c>
      <c r="G164" s="175" t="n">
        <v>32</v>
      </c>
      <c r="H164" s="176" t="n">
        <v>1406.74996251991</v>
      </c>
      <c r="I164" s="177" t="n">
        <v>4555458.69459171</v>
      </c>
      <c r="J164" s="178" t="str">
        <f>IF(I164&gt;0,H164/I164,0)</f>
      </c>
      <c r="K164" s="179" t="str">
        <f>1-EXP(-J164)</f>
      </c>
      <c r="L164" s="180" t="str">
        <f>IF(G164=30,1,M163)</f>
      </c>
      <c r="M164" s="181" t="str">
        <f>L164*(1-K164)</f>
      </c>
    </row>
    <row r="165">
      <c r="A165" t="s">
        <v>164</v>
      </c>
      <c r="B165" t="s">
        <v>115</v>
      </c>
      <c r="C165" s="32" t="s">
        <v>294</v>
      </c>
      <c r="D165" t="s">
        <v>378</v>
      </c>
      <c r="E165" t="s">
        <v>395</v>
      </c>
      <c r="F165" s="174" t="n">
        <v>2029</v>
      </c>
      <c r="G165" s="175" t="n">
        <v>33</v>
      </c>
      <c r="H165" s="176" t="n">
        <v>1466.86050823008</v>
      </c>
      <c r="I165" s="177" t="n">
        <v>4512898.53293366</v>
      </c>
      <c r="J165" s="178" t="str">
        <f>IF(I165&gt;0,H165/I165,0)</f>
      </c>
      <c r="K165" s="179" t="str">
        <f>1-EXP(-J165)</f>
      </c>
      <c r="L165" s="180" t="str">
        <f>IF(G165=30,1,M164)</f>
      </c>
      <c r="M165" s="181" t="str">
        <f>L165*(1-K165)</f>
      </c>
    </row>
    <row r="166">
      <c r="A166" t="s">
        <v>164</v>
      </c>
      <c r="B166" t="s">
        <v>115</v>
      </c>
      <c r="C166" s="32" t="s">
        <v>294</v>
      </c>
      <c r="D166" t="s">
        <v>378</v>
      </c>
      <c r="E166" t="s">
        <v>395</v>
      </c>
      <c r="F166" s="174" t="n">
        <v>2029</v>
      </c>
      <c r="G166" s="175" t="n">
        <v>34</v>
      </c>
      <c r="H166" s="176" t="n">
        <v>1528.55802875349</v>
      </c>
      <c r="I166" s="177" t="n">
        <v>4440149.02018589</v>
      </c>
      <c r="J166" s="178" t="str">
        <f>IF(I166&gt;0,H166/I166,0)</f>
      </c>
      <c r="K166" s="179" t="str">
        <f>1-EXP(-J166)</f>
      </c>
      <c r="L166" s="180" t="str">
        <f>IF(G166=30,1,M165)</f>
      </c>
      <c r="M166" s="181" t="str">
        <f>L166*(1-K166)</f>
      </c>
    </row>
    <row r="167">
      <c r="A167" t="s">
        <v>164</v>
      </c>
      <c r="B167" t="s">
        <v>115</v>
      </c>
      <c r="C167" s="32" t="s">
        <v>294</v>
      </c>
      <c r="D167" t="s">
        <v>378</v>
      </c>
      <c r="E167" t="s">
        <v>395</v>
      </c>
      <c r="F167" s="174" t="n">
        <v>2029</v>
      </c>
      <c r="G167" s="175" t="n">
        <v>35</v>
      </c>
      <c r="H167" s="176" t="n">
        <v>2059.20463021021</v>
      </c>
      <c r="I167" s="177" t="n">
        <v>4383246.15028424</v>
      </c>
      <c r="J167" s="178" t="str">
        <f>IF(I167&gt;0,H167/I167,0)</f>
      </c>
      <c r="K167" s="179" t="str">
        <f>1-EXP(-J167)</f>
      </c>
      <c r="L167" s="180" t="str">
        <f>IF(G167=30,1,M166)</f>
      </c>
      <c r="M167" s="181" t="str">
        <f>L167*(1-K167)</f>
      </c>
    </row>
    <row r="168">
      <c r="A168" t="s">
        <v>164</v>
      </c>
      <c r="B168" t="s">
        <v>115</v>
      </c>
      <c r="C168" s="32" t="s">
        <v>294</v>
      </c>
      <c r="D168" t="s">
        <v>378</v>
      </c>
      <c r="E168" t="s">
        <v>395</v>
      </c>
      <c r="F168" s="174" t="n">
        <v>2029</v>
      </c>
      <c r="G168" s="175" t="n">
        <v>36</v>
      </c>
      <c r="H168" s="176" t="n">
        <v>2170.0806291833</v>
      </c>
      <c r="I168" s="177" t="n">
        <v>4329489.57954355</v>
      </c>
      <c r="J168" s="178" t="str">
        <f>IF(I168&gt;0,H168/I168,0)</f>
      </c>
      <c r="K168" s="179" t="str">
        <f>1-EXP(-J168)</f>
      </c>
      <c r="L168" s="180" t="str">
        <f>IF(G168=30,1,M167)</f>
      </c>
      <c r="M168" s="181" t="str">
        <f>L168*(1-K168)</f>
      </c>
    </row>
    <row r="169">
      <c r="A169" t="s">
        <v>164</v>
      </c>
      <c r="B169" t="s">
        <v>115</v>
      </c>
      <c r="C169" s="32" t="s">
        <v>294</v>
      </c>
      <c r="D169" t="s">
        <v>378</v>
      </c>
      <c r="E169" t="s">
        <v>395</v>
      </c>
      <c r="F169" s="174" t="n">
        <v>2029</v>
      </c>
      <c r="G169" s="175" t="n">
        <v>37</v>
      </c>
      <c r="H169" s="176" t="n">
        <v>2346.95531348786</v>
      </c>
      <c r="I169" s="177" t="n">
        <v>4367809.42302221</v>
      </c>
      <c r="J169" s="178" t="str">
        <f>IF(I169&gt;0,H169/I169,0)</f>
      </c>
      <c r="K169" s="179" t="str">
        <f>1-EXP(-J169)</f>
      </c>
      <c r="L169" s="180" t="str">
        <f>IF(G169=30,1,M168)</f>
      </c>
      <c r="M169" s="181" t="str">
        <f>L169*(1-K169)</f>
      </c>
    </row>
    <row r="170">
      <c r="A170" t="s">
        <v>164</v>
      </c>
      <c r="B170" t="s">
        <v>115</v>
      </c>
      <c r="C170" s="32" t="s">
        <v>294</v>
      </c>
      <c r="D170" t="s">
        <v>378</v>
      </c>
      <c r="E170" t="s">
        <v>395</v>
      </c>
      <c r="F170" s="174" t="n">
        <v>2029</v>
      </c>
      <c r="G170" s="175" t="n">
        <v>38</v>
      </c>
      <c r="H170" s="176" t="n">
        <v>2533.02154526146</v>
      </c>
      <c r="I170" s="177" t="n">
        <v>4386435.83885401</v>
      </c>
      <c r="J170" s="178" t="str">
        <f>IF(I170&gt;0,H170/I170,0)</f>
      </c>
      <c r="K170" s="179" t="str">
        <f>1-EXP(-J170)</f>
      </c>
      <c r="L170" s="180" t="str">
        <f>IF(G170=30,1,M169)</f>
      </c>
      <c r="M170" s="181" t="str">
        <f>L170*(1-K170)</f>
      </c>
    </row>
    <row r="171">
      <c r="A171" t="s">
        <v>164</v>
      </c>
      <c r="B171" t="s">
        <v>115</v>
      </c>
      <c r="C171" s="32" t="s">
        <v>294</v>
      </c>
      <c r="D171" t="s">
        <v>378</v>
      </c>
      <c r="E171" t="s">
        <v>395</v>
      </c>
      <c r="F171" s="174" t="n">
        <v>2029</v>
      </c>
      <c r="G171" s="175" t="n">
        <v>39</v>
      </c>
      <c r="H171" s="176" t="n">
        <v>3844.83574947248</v>
      </c>
      <c r="I171" s="177" t="n">
        <v>6459525.49805818</v>
      </c>
      <c r="J171" s="178" t="str">
        <f>IF(I171&gt;0,H171/I171,0)</f>
      </c>
      <c r="K171" s="179" t="str">
        <f>1-EXP(-J171)</f>
      </c>
      <c r="L171" s="180" t="str">
        <f>IF(G171=30,1,M170)</f>
      </c>
      <c r="M171" s="181" t="str">
        <f>L171*(1-K171)</f>
      </c>
    </row>
    <row r="172">
      <c r="A172" t="s">
        <v>164</v>
      </c>
      <c r="B172" t="s">
        <v>115</v>
      </c>
      <c r="C172" s="32" t="s">
        <v>294</v>
      </c>
      <c r="D172" t="s">
        <v>378</v>
      </c>
      <c r="E172" t="s">
        <v>395</v>
      </c>
      <c r="F172" s="174" t="n">
        <v>2029</v>
      </c>
      <c r="G172" s="175" t="n">
        <v>40</v>
      </c>
      <c r="H172" s="176" t="n">
        <v>3636.52541466185</v>
      </c>
      <c r="I172" s="177" t="n">
        <v>4346224.8841744</v>
      </c>
      <c r="J172" s="178" t="str">
        <f>IF(I172&gt;0,H172/I172,0)</f>
      </c>
      <c r="K172" s="179" t="str">
        <f>1-EXP(-J172)</f>
      </c>
      <c r="L172" s="180" t="str">
        <f>IF(G172=30,1,M171)</f>
      </c>
      <c r="M172" s="181" t="str">
        <f>L172*(1-K172)</f>
      </c>
    </row>
    <row r="173">
      <c r="A173" t="s">
        <v>164</v>
      </c>
      <c r="B173" t="s">
        <v>115</v>
      </c>
      <c r="C173" s="32" t="s">
        <v>294</v>
      </c>
      <c r="D173" t="s">
        <v>378</v>
      </c>
      <c r="E173" t="s">
        <v>395</v>
      </c>
      <c r="F173" s="174" t="n">
        <v>2029</v>
      </c>
      <c r="G173" s="175" t="n">
        <v>41</v>
      </c>
      <c r="H173" s="176" t="n">
        <v>3905.94894922106</v>
      </c>
      <c r="I173" s="177" t="n">
        <v>4329388.65435651</v>
      </c>
      <c r="J173" s="178" t="str">
        <f>IF(I173&gt;0,H173/I173,0)</f>
      </c>
      <c r="K173" s="179" t="str">
        <f>1-EXP(-J173)</f>
      </c>
      <c r="L173" s="180" t="str">
        <f>IF(G173=30,1,M172)</f>
      </c>
      <c r="M173" s="181" t="str">
        <f>L173*(1-K173)</f>
      </c>
    </row>
    <row r="174">
      <c r="A174" t="s">
        <v>164</v>
      </c>
      <c r="B174" t="s">
        <v>115</v>
      </c>
      <c r="C174" s="32" t="s">
        <v>294</v>
      </c>
      <c r="D174" t="s">
        <v>378</v>
      </c>
      <c r="E174" t="s">
        <v>395</v>
      </c>
      <c r="F174" s="174" t="n">
        <v>2029</v>
      </c>
      <c r="G174" s="175" t="n">
        <v>42</v>
      </c>
      <c r="H174" s="176" t="n">
        <v>4107.93454262904</v>
      </c>
      <c r="I174" s="177" t="n">
        <v>4197536.08947626</v>
      </c>
      <c r="J174" s="178" t="str">
        <f>IF(I174&gt;0,H174/I174,0)</f>
      </c>
      <c r="K174" s="179" t="str">
        <f>1-EXP(-J174)</f>
      </c>
      <c r="L174" s="180" t="str">
        <f>IF(G174=30,1,M173)</f>
      </c>
      <c r="M174" s="181" t="str">
        <f>L174*(1-K174)</f>
      </c>
    </row>
    <row r="175">
      <c r="A175" t="s">
        <v>164</v>
      </c>
      <c r="B175" t="s">
        <v>115</v>
      </c>
      <c r="C175" s="32" t="s">
        <v>294</v>
      </c>
      <c r="D175" t="s">
        <v>378</v>
      </c>
      <c r="E175" t="s">
        <v>395</v>
      </c>
      <c r="F175" s="174" t="n">
        <v>2029</v>
      </c>
      <c r="G175" s="175" t="n">
        <v>43</v>
      </c>
      <c r="H175" s="176" t="n">
        <v>4434.04933807886</v>
      </c>
      <c r="I175" s="177" t="n">
        <v>4163655.41353381</v>
      </c>
      <c r="J175" s="178" t="str">
        <f>IF(I175&gt;0,H175/I175,0)</f>
      </c>
      <c r="K175" s="179" t="str">
        <f>1-EXP(-J175)</f>
      </c>
      <c r="L175" s="180" t="str">
        <f>IF(G175=30,1,M174)</f>
      </c>
      <c r="M175" s="181" t="str">
        <f>L175*(1-K175)</f>
      </c>
    </row>
    <row r="176">
      <c r="A176" t="s">
        <v>164</v>
      </c>
      <c r="B176" t="s">
        <v>115</v>
      </c>
      <c r="C176" s="32" t="s">
        <v>294</v>
      </c>
      <c r="D176" t="s">
        <v>378</v>
      </c>
      <c r="E176" t="s">
        <v>395</v>
      </c>
      <c r="F176" s="174" t="n">
        <v>2029</v>
      </c>
      <c r="G176" s="175" t="n">
        <v>44</v>
      </c>
      <c r="H176" s="176" t="n">
        <v>4910.37818110557</v>
      </c>
      <c r="I176" s="177" t="n">
        <v>4223701.30321647</v>
      </c>
      <c r="J176" s="178" t="str">
        <f>IF(I176&gt;0,H176/I176,0)</f>
      </c>
      <c r="K176" s="179" t="str">
        <f>1-EXP(-J176)</f>
      </c>
      <c r="L176" s="180" t="str">
        <f>IF(G176=30,1,M175)</f>
      </c>
      <c r="M176" s="181" t="str">
        <f>L176*(1-K176)</f>
      </c>
    </row>
    <row r="177">
      <c r="A177" t="s">
        <v>164</v>
      </c>
      <c r="B177" t="s">
        <v>115</v>
      </c>
      <c r="C177" s="32" t="s">
        <v>294</v>
      </c>
      <c r="D177" t="s">
        <v>378</v>
      </c>
      <c r="E177" t="s">
        <v>395</v>
      </c>
      <c r="F177" s="174" t="n">
        <v>2029</v>
      </c>
      <c r="G177" s="175" t="n">
        <v>45</v>
      </c>
      <c r="H177" s="176" t="n">
        <v>6481.08852925233</v>
      </c>
      <c r="I177" s="177" t="n">
        <v>4309023.57124494</v>
      </c>
      <c r="J177" s="178" t="str">
        <f>IF(I177&gt;0,H177/I177,0)</f>
      </c>
      <c r="K177" s="179" t="str">
        <f>1-EXP(-J177)</f>
      </c>
      <c r="L177" s="180" t="str">
        <f>IF(G177=30,1,M176)</f>
      </c>
      <c r="M177" s="181" t="str">
        <f>L177*(1-K177)</f>
      </c>
    </row>
    <row r="178">
      <c r="A178" t="s">
        <v>164</v>
      </c>
      <c r="B178" t="s">
        <v>115</v>
      </c>
      <c r="C178" s="32" t="s">
        <v>294</v>
      </c>
      <c r="D178" t="s">
        <v>378</v>
      </c>
      <c r="E178" t="s">
        <v>395</v>
      </c>
      <c r="F178" s="174" t="n">
        <v>2029</v>
      </c>
      <c r="G178" s="175" t="n">
        <v>46</v>
      </c>
      <c r="H178" s="176" t="n">
        <v>7041.00573190193</v>
      </c>
      <c r="I178" s="177" t="n">
        <v>4284136.68510464</v>
      </c>
      <c r="J178" s="178" t="str">
        <f>IF(I178&gt;0,H178/I178,0)</f>
      </c>
      <c r="K178" s="179" t="str">
        <f>1-EXP(-J178)</f>
      </c>
      <c r="L178" s="180" t="str">
        <f>IF(G178=30,1,M177)</f>
      </c>
      <c r="M178" s="181" t="str">
        <f>L178*(1-K178)</f>
      </c>
    </row>
    <row r="179">
      <c r="A179" t="s">
        <v>164</v>
      </c>
      <c r="B179" t="s">
        <v>115</v>
      </c>
      <c r="C179" s="32" t="s">
        <v>294</v>
      </c>
      <c r="D179" t="s">
        <v>378</v>
      </c>
      <c r="E179" t="s">
        <v>395</v>
      </c>
      <c r="F179" s="174" t="n">
        <v>2029</v>
      </c>
      <c r="G179" s="175" t="n">
        <v>47</v>
      </c>
      <c r="H179" s="176" t="n">
        <v>7476.98220367506</v>
      </c>
      <c r="I179" s="177" t="n">
        <v>4147589.85661834</v>
      </c>
      <c r="J179" s="178" t="str">
        <f>IF(I179&gt;0,H179/I179,0)</f>
      </c>
      <c r="K179" s="179" t="str">
        <f>1-EXP(-J179)</f>
      </c>
      <c r="L179" s="180" t="str">
        <f>IF(G179=30,1,M178)</f>
      </c>
      <c r="M179" s="181" t="str">
        <f>L179*(1-K179)</f>
      </c>
    </row>
    <row r="180">
      <c r="A180" t="s">
        <v>164</v>
      </c>
      <c r="B180" t="s">
        <v>115</v>
      </c>
      <c r="C180" s="32" t="s">
        <v>294</v>
      </c>
      <c r="D180" t="s">
        <v>378</v>
      </c>
      <c r="E180" t="s">
        <v>395</v>
      </c>
      <c r="F180" s="174" t="n">
        <v>2029</v>
      </c>
      <c r="G180" s="175" t="n">
        <v>48</v>
      </c>
      <c r="H180" s="176" t="n">
        <v>8046.24507140489</v>
      </c>
      <c r="I180" s="177" t="n">
        <v>4073493.0084309</v>
      </c>
      <c r="J180" s="178" t="str">
        <f>IF(I180&gt;0,H180/I180,0)</f>
      </c>
      <c r="K180" s="179" t="str">
        <f>1-EXP(-J180)</f>
      </c>
      <c r="L180" s="180" t="str">
        <f>IF(G180=30,1,M179)</f>
      </c>
      <c r="M180" s="181" t="str">
        <f>L180*(1-K180)</f>
      </c>
    </row>
    <row r="181">
      <c r="A181" t="s">
        <v>164</v>
      </c>
      <c r="B181" t="s">
        <v>115</v>
      </c>
      <c r="C181" s="32" t="s">
        <v>294</v>
      </c>
      <c r="D181" t="s">
        <v>378</v>
      </c>
      <c r="E181" t="s">
        <v>395</v>
      </c>
      <c r="F181" s="174" t="n">
        <v>2029</v>
      </c>
      <c r="G181" s="175" t="n">
        <v>49</v>
      </c>
      <c r="H181" s="176" t="n">
        <v>8683.04901174889</v>
      </c>
      <c r="I181" s="177" t="n">
        <v>4015227.32782726</v>
      </c>
      <c r="J181" s="178" t="str">
        <f>IF(I181&gt;0,H181/I181,0)</f>
      </c>
      <c r="K181" s="179" t="str">
        <f>1-EXP(-J181)</f>
      </c>
      <c r="L181" s="180" t="str">
        <f>IF(G181=30,1,M180)</f>
      </c>
      <c r="M181" s="181" t="str">
        <f>L181*(1-K181)</f>
      </c>
    </row>
    <row r="182">
      <c r="A182" t="s">
        <v>164</v>
      </c>
      <c r="B182" t="s">
        <v>115</v>
      </c>
      <c r="C182" s="32" t="s">
        <v>294</v>
      </c>
      <c r="D182" t="s">
        <v>378</v>
      </c>
      <c r="E182" t="s">
        <v>395</v>
      </c>
      <c r="F182" s="174" t="n">
        <v>2029</v>
      </c>
      <c r="G182" s="175" t="n">
        <v>50</v>
      </c>
      <c r="H182" s="176" t="n">
        <v>9958.93667733242</v>
      </c>
      <c r="I182" s="177" t="n">
        <v>3951472.41323671</v>
      </c>
      <c r="J182" s="178" t="str">
        <f>IF(I182&gt;0,H182/I182,0)</f>
      </c>
      <c r="K182" s="179" t="str">
        <f>1-EXP(-J182)</f>
      </c>
      <c r="L182" s="180" t="str">
        <f>IF(G182=30,1,M181)</f>
      </c>
      <c r="M182" s="181" t="str">
        <f>L182*(1-K182)</f>
      </c>
    </row>
    <row r="183">
      <c r="A183" t="s">
        <v>164</v>
      </c>
      <c r="B183" t="s">
        <v>115</v>
      </c>
      <c r="C183" s="32" t="s">
        <v>294</v>
      </c>
      <c r="D183" t="s">
        <v>378</v>
      </c>
      <c r="E183" t="s">
        <v>395</v>
      </c>
      <c r="F183" s="174" t="n">
        <v>2029</v>
      </c>
      <c r="G183" s="175" t="n">
        <v>51</v>
      </c>
      <c r="H183" s="176" t="n">
        <v>10625.7017551361</v>
      </c>
      <c r="I183" s="177" t="n">
        <v>3867329.44552569</v>
      </c>
      <c r="J183" s="178" t="str">
        <f>IF(I183&gt;0,H183/I183,0)</f>
      </c>
      <c r="K183" s="179" t="str">
        <f>1-EXP(-J183)</f>
      </c>
      <c r="L183" s="180" t="str">
        <f>IF(G183=30,1,M182)</f>
      </c>
      <c r="M183" s="181" t="str">
        <f>L183*(1-K183)</f>
      </c>
    </row>
    <row r="184">
      <c r="A184" t="s">
        <v>164</v>
      </c>
      <c r="B184" t="s">
        <v>115</v>
      </c>
      <c r="C184" s="32" t="s">
        <v>294</v>
      </c>
      <c r="D184" t="s">
        <v>378</v>
      </c>
      <c r="E184" t="s">
        <v>395</v>
      </c>
      <c r="F184" s="174" t="n">
        <v>2029</v>
      </c>
      <c r="G184" s="175" t="n">
        <v>52</v>
      </c>
      <c r="H184" s="176" t="n">
        <v>11421.1615318508</v>
      </c>
      <c r="I184" s="177" t="n">
        <v>3801086.53380311</v>
      </c>
      <c r="J184" s="178" t="str">
        <f>IF(I184&gt;0,H184/I184,0)</f>
      </c>
      <c r="K184" s="179" t="str">
        <f>1-EXP(-J184)</f>
      </c>
      <c r="L184" s="180" t="str">
        <f>IF(G184=30,1,M183)</f>
      </c>
      <c r="M184" s="181" t="str">
        <f>L184*(1-K184)</f>
      </c>
    </row>
    <row r="185">
      <c r="A185" t="s">
        <v>164</v>
      </c>
      <c r="B185" t="s">
        <v>115</v>
      </c>
      <c r="C185" s="32" t="s">
        <v>294</v>
      </c>
      <c r="D185" t="s">
        <v>378</v>
      </c>
      <c r="E185" t="s">
        <v>395</v>
      </c>
      <c r="F185" s="174" t="n">
        <v>2029</v>
      </c>
      <c r="G185" s="175" t="n">
        <v>53</v>
      </c>
      <c r="H185" s="176" t="n">
        <v>12218.3964450225</v>
      </c>
      <c r="I185" s="177" t="n">
        <v>3722927.1012222</v>
      </c>
      <c r="J185" s="178" t="str">
        <f>IF(I185&gt;0,H185/I185,0)</f>
      </c>
      <c r="K185" s="179" t="str">
        <f>1-EXP(-J185)</f>
      </c>
      <c r="L185" s="180" t="str">
        <f>IF(G185=30,1,M184)</f>
      </c>
      <c r="M185" s="181" t="str">
        <f>L185*(1-K185)</f>
      </c>
    </row>
    <row r="186">
      <c r="A186" t="s">
        <v>164</v>
      </c>
      <c r="B186" t="s">
        <v>115</v>
      </c>
      <c r="C186" s="32" t="s">
        <v>294</v>
      </c>
      <c r="D186" t="s">
        <v>378</v>
      </c>
      <c r="E186" t="s">
        <v>395</v>
      </c>
      <c r="F186" s="174" t="n">
        <v>2029</v>
      </c>
      <c r="G186" s="175" t="n">
        <v>54</v>
      </c>
      <c r="H186" s="176" t="n">
        <v>13063.5434573559</v>
      </c>
      <c r="I186" s="177" t="n">
        <v>3643990.97063934</v>
      </c>
      <c r="J186" s="178" t="str">
        <f>IF(I186&gt;0,H186/I186,0)</f>
      </c>
      <c r="K186" s="179" t="str">
        <f>1-EXP(-J186)</f>
      </c>
      <c r="L186" s="180" t="str">
        <f>IF(G186=30,1,M185)</f>
      </c>
      <c r="M186" s="181" t="str">
        <f>L186*(1-K186)</f>
      </c>
    </row>
    <row r="187">
      <c r="A187" t="s">
        <v>164</v>
      </c>
      <c r="B187" t="s">
        <v>115</v>
      </c>
      <c r="C187" s="32" t="s">
        <v>294</v>
      </c>
      <c r="D187" t="s">
        <v>378</v>
      </c>
      <c r="E187" t="s">
        <v>395</v>
      </c>
      <c r="F187" s="174" t="n">
        <v>2029</v>
      </c>
      <c r="G187" s="175" t="n">
        <v>55</v>
      </c>
      <c r="H187" s="176" t="n">
        <v>14014.7646341822</v>
      </c>
      <c r="I187" s="177" t="n">
        <v>3537541.23126237</v>
      </c>
      <c r="J187" s="178" t="str">
        <f>IF(I187&gt;0,H187/I187,0)</f>
      </c>
      <c r="K187" s="179" t="str">
        <f>1-EXP(-J187)</f>
      </c>
      <c r="L187" s="180" t="str">
        <f>IF(G187=30,1,M186)</f>
      </c>
      <c r="M187" s="181" t="str">
        <f>L187*(1-K187)</f>
      </c>
    </row>
    <row r="188">
      <c r="A188" t="s">
        <v>164</v>
      </c>
      <c r="B188" t="s">
        <v>115</v>
      </c>
      <c r="C188" s="32" t="s">
        <v>294</v>
      </c>
      <c r="D188" t="s">
        <v>378</v>
      </c>
      <c r="E188" t="s">
        <v>395</v>
      </c>
      <c r="F188" s="174" t="n">
        <v>2029</v>
      </c>
      <c r="G188" s="175" t="n">
        <v>56</v>
      </c>
      <c r="H188" s="176" t="n">
        <v>15077.6134147959</v>
      </c>
      <c r="I188" s="177" t="n">
        <v>3490540.8638369</v>
      </c>
      <c r="J188" s="178" t="str">
        <f>IF(I188&gt;0,H188/I188,0)</f>
      </c>
      <c r="K188" s="179" t="str">
        <f>1-EXP(-J188)</f>
      </c>
      <c r="L188" s="180" t="str">
        <f>IF(G188=30,1,M187)</f>
      </c>
      <c r="M188" s="181" t="str">
        <f>L188*(1-K188)</f>
      </c>
    </row>
    <row r="189">
      <c r="A189" t="s">
        <v>164</v>
      </c>
      <c r="B189" t="s">
        <v>115</v>
      </c>
      <c r="C189" s="32" t="s">
        <v>294</v>
      </c>
      <c r="D189" t="s">
        <v>378</v>
      </c>
      <c r="E189" t="s">
        <v>395</v>
      </c>
      <c r="F189" s="174" t="n">
        <v>2029</v>
      </c>
      <c r="G189" s="175" t="n">
        <v>57</v>
      </c>
      <c r="H189" s="176" t="n">
        <v>15506.4328842153</v>
      </c>
      <c r="I189" s="177" t="n">
        <v>3280709.66806978</v>
      </c>
      <c r="J189" s="178" t="str">
        <f>IF(I189&gt;0,H189/I189,0)</f>
      </c>
      <c r="K189" s="179" t="str">
        <f>1-EXP(-J189)</f>
      </c>
      <c r="L189" s="180" t="str">
        <f>IF(G189=30,1,M188)</f>
      </c>
      <c r="M189" s="181" t="str">
        <f>L189*(1-K189)</f>
      </c>
    </row>
    <row r="190">
      <c r="A190" t="s">
        <v>164</v>
      </c>
      <c r="B190" t="s">
        <v>115</v>
      </c>
      <c r="C190" s="32" t="s">
        <v>294</v>
      </c>
      <c r="D190" t="s">
        <v>378</v>
      </c>
      <c r="E190" t="s">
        <v>395</v>
      </c>
      <c r="F190" s="174" t="n">
        <v>2029</v>
      </c>
      <c r="G190" s="175" t="n">
        <v>58</v>
      </c>
      <c r="H190" s="176" t="n">
        <v>16493.0433271603</v>
      </c>
      <c r="I190" s="177" t="n">
        <v>3191859.73514999</v>
      </c>
      <c r="J190" s="178" t="str">
        <f>IF(I190&gt;0,H190/I190,0)</f>
      </c>
      <c r="K190" s="179" t="str">
        <f>1-EXP(-J190)</f>
      </c>
      <c r="L190" s="180" t="str">
        <f>IF(G190=30,1,M189)</f>
      </c>
      <c r="M190" s="181" t="str">
        <f>L190*(1-K190)</f>
      </c>
    </row>
    <row r="191">
      <c r="A191" t="s">
        <v>164</v>
      </c>
      <c r="B191" t="s">
        <v>115</v>
      </c>
      <c r="C191" s="32" t="s">
        <v>294</v>
      </c>
      <c r="D191" t="s">
        <v>378</v>
      </c>
      <c r="E191" t="s">
        <v>395</v>
      </c>
      <c r="F191" s="174" t="n">
        <v>2029</v>
      </c>
      <c r="G191" s="175" t="n">
        <v>59</v>
      </c>
      <c r="H191" s="176" t="n">
        <v>17558.1320642936</v>
      </c>
      <c r="I191" s="177" t="n">
        <v>3107294.39982625</v>
      </c>
      <c r="J191" s="178" t="str">
        <f>IF(I191&gt;0,H191/I191,0)</f>
      </c>
      <c r="K191" s="179" t="str">
        <f>1-EXP(-J191)</f>
      </c>
      <c r="L191" s="180" t="str">
        <f>IF(G191=30,1,M190)</f>
      </c>
      <c r="M191" s="181" t="str">
        <f>L191*(1-K191)</f>
      </c>
    </row>
    <row r="192">
      <c r="A192" t="s">
        <v>164</v>
      </c>
      <c r="B192" t="s">
        <v>115</v>
      </c>
      <c r="C192" s="32" t="s">
        <v>294</v>
      </c>
      <c r="D192" t="s">
        <v>378</v>
      </c>
      <c r="E192" t="s">
        <v>395</v>
      </c>
      <c r="F192" s="174" t="n">
        <v>2029</v>
      </c>
      <c r="G192" s="175" t="n">
        <v>60</v>
      </c>
      <c r="H192" s="176" t="n">
        <v>18997.7573413762</v>
      </c>
      <c r="I192" s="177" t="n">
        <v>3013459.11782101</v>
      </c>
      <c r="J192" s="178" t="str">
        <f>IF(I192&gt;0,H192/I192,0)</f>
      </c>
      <c r="K192" s="179" t="str">
        <f>1-EXP(-J192)</f>
      </c>
      <c r="L192" s="180" t="str">
        <f>IF(G192=30,1,M191)</f>
      </c>
      <c r="M192" s="181" t="str">
        <f>L192*(1-K192)</f>
      </c>
    </row>
    <row r="193">
      <c r="A193" t="s">
        <v>164</v>
      </c>
      <c r="B193" t="s">
        <v>115</v>
      </c>
      <c r="C193" s="32" t="s">
        <v>294</v>
      </c>
      <c r="D193" t="s">
        <v>378</v>
      </c>
      <c r="E193" t="s">
        <v>395</v>
      </c>
      <c r="F193" s="174" t="n">
        <v>2029</v>
      </c>
      <c r="G193" s="175" t="n">
        <v>61</v>
      </c>
      <c r="H193" s="176" t="n">
        <v>19959.5406390542</v>
      </c>
      <c r="I193" s="177" t="n">
        <v>2899324.05873328</v>
      </c>
      <c r="J193" s="178" t="str">
        <f>IF(I193&gt;0,H193/I193,0)</f>
      </c>
      <c r="K193" s="179" t="str">
        <f>1-EXP(-J193)</f>
      </c>
      <c r="L193" s="180" t="str">
        <f>IF(G193=30,1,M192)</f>
      </c>
      <c r="M193" s="181" t="str">
        <f>L193*(1-K193)</f>
      </c>
    </row>
    <row r="194">
      <c r="A194" t="s">
        <v>164</v>
      </c>
      <c r="B194" t="s">
        <v>115</v>
      </c>
      <c r="C194" s="32" t="s">
        <v>294</v>
      </c>
      <c r="D194" t="s">
        <v>378</v>
      </c>
      <c r="E194" t="s">
        <v>395</v>
      </c>
      <c r="F194" s="174" t="n">
        <v>2029</v>
      </c>
      <c r="G194" s="175" t="n">
        <v>62</v>
      </c>
      <c r="H194" s="176" t="n">
        <v>20779.4462513394</v>
      </c>
      <c r="I194" s="177" t="n">
        <v>2754874.72606155</v>
      </c>
      <c r="J194" s="178" t="str">
        <f>IF(I194&gt;0,H194/I194,0)</f>
      </c>
      <c r="K194" s="179" t="str">
        <f>1-EXP(-J194)</f>
      </c>
      <c r="L194" s="180" t="str">
        <f>IF(G194=30,1,M193)</f>
      </c>
      <c r="M194" s="181" t="str">
        <f>L194*(1-K194)</f>
      </c>
    </row>
    <row r="195">
      <c r="A195" t="s">
        <v>164</v>
      </c>
      <c r="B195" t="s">
        <v>115</v>
      </c>
      <c r="C195" s="32" t="s">
        <v>294</v>
      </c>
      <c r="D195" t="s">
        <v>378</v>
      </c>
      <c r="E195" t="s">
        <v>395</v>
      </c>
      <c r="F195" s="174" t="n">
        <v>2029</v>
      </c>
      <c r="G195" s="175" t="n">
        <v>63</v>
      </c>
      <c r="H195" s="176" t="n">
        <v>21857.7921995842</v>
      </c>
      <c r="I195" s="177" t="n">
        <v>2646463.78732436</v>
      </c>
      <c r="J195" s="178" t="str">
        <f>IF(I195&gt;0,H195/I195,0)</f>
      </c>
      <c r="K195" s="179" t="str">
        <f>1-EXP(-J195)</f>
      </c>
      <c r="L195" s="180" t="str">
        <f>IF(G195=30,1,M194)</f>
      </c>
      <c r="M195" s="181" t="str">
        <f>L195*(1-K195)</f>
      </c>
    </row>
    <row r="196">
      <c r="A196" t="s">
        <v>164</v>
      </c>
      <c r="B196" t="s">
        <v>115</v>
      </c>
      <c r="C196" s="32" t="s">
        <v>294</v>
      </c>
      <c r="D196" t="s">
        <v>378</v>
      </c>
      <c r="E196" t="s">
        <v>395</v>
      </c>
      <c r="F196" s="174" t="n">
        <v>2029</v>
      </c>
      <c r="G196" s="175" t="n">
        <v>64</v>
      </c>
      <c r="H196" s="176" t="n">
        <v>22765.422093559</v>
      </c>
      <c r="I196" s="177" t="n">
        <v>2516713.78580864</v>
      </c>
      <c r="J196" s="178" t="str">
        <f>IF(I196&gt;0,H196/I196,0)</f>
      </c>
      <c r="K196" s="179" t="str">
        <f>1-EXP(-J196)</f>
      </c>
      <c r="L196" s="180" t="str">
        <f>IF(G196=30,1,M195)</f>
      </c>
      <c r="M196" s="181" t="str">
        <f>L196*(1-K196)</f>
      </c>
    </row>
    <row r="197">
      <c r="A197" t="s">
        <v>164</v>
      </c>
      <c r="B197" t="s">
        <v>115</v>
      </c>
      <c r="C197" s="32" t="s">
        <v>294</v>
      </c>
      <c r="D197" t="s">
        <v>378</v>
      </c>
      <c r="E197" t="s">
        <v>395</v>
      </c>
      <c r="F197" s="174" t="n">
        <v>2029</v>
      </c>
      <c r="G197" s="175" t="n">
        <v>65</v>
      </c>
      <c r="H197" s="176" t="n">
        <v>22995.3766150597</v>
      </c>
      <c r="I197" s="177" t="n">
        <v>2387205.27050884</v>
      </c>
      <c r="J197" s="178" t="str">
        <f>IF(I197&gt;0,H197/I197,0)</f>
      </c>
      <c r="K197" s="179" t="str">
        <f>1-EXP(-J197)</f>
      </c>
      <c r="L197" s="180" t="str">
        <f>IF(G197=30,1,M196)</f>
      </c>
      <c r="M197" s="181" t="str">
        <f>L197*(1-K197)</f>
      </c>
    </row>
    <row r="198">
      <c r="A198" t="s">
        <v>164</v>
      </c>
      <c r="B198" t="s">
        <v>115</v>
      </c>
      <c r="C198" s="32" t="s">
        <v>294</v>
      </c>
      <c r="D198" t="s">
        <v>378</v>
      </c>
      <c r="E198" t="s">
        <v>395</v>
      </c>
      <c r="F198" s="174" t="n">
        <v>2029</v>
      </c>
      <c r="G198" s="175" t="n">
        <v>66</v>
      </c>
      <c r="H198" s="176" t="n">
        <v>23864.3779990573</v>
      </c>
      <c r="I198" s="177" t="n">
        <v>2262721.86393386</v>
      </c>
      <c r="J198" s="178" t="str">
        <f>IF(I198&gt;0,H198/I198,0)</f>
      </c>
      <c r="K198" s="179" t="str">
        <f>1-EXP(-J198)</f>
      </c>
      <c r="L198" s="180" t="str">
        <f>IF(G198=30,1,M197)</f>
      </c>
      <c r="M198" s="181" t="str">
        <f>L198*(1-K198)</f>
      </c>
    </row>
    <row r="199">
      <c r="A199" t="s">
        <v>164</v>
      </c>
      <c r="B199" t="s">
        <v>115</v>
      </c>
      <c r="C199" s="32" t="s">
        <v>294</v>
      </c>
      <c r="D199" t="s">
        <v>378</v>
      </c>
      <c r="E199" t="s">
        <v>395</v>
      </c>
      <c r="F199" s="174" t="n">
        <v>2029</v>
      </c>
      <c r="G199" s="175" t="n">
        <v>67</v>
      </c>
      <c r="H199" s="176" t="n">
        <v>24537.7652003984</v>
      </c>
      <c r="I199" s="177" t="n">
        <v>2113175.29633522</v>
      </c>
      <c r="J199" s="178" t="str">
        <f>IF(I199&gt;0,H199/I199,0)</f>
      </c>
      <c r="K199" s="179" t="str">
        <f>1-EXP(-J199)</f>
      </c>
      <c r="L199" s="180" t="str">
        <f>IF(G199=30,1,M198)</f>
      </c>
      <c r="M199" s="181" t="str">
        <f>L199*(1-K199)</f>
      </c>
    </row>
    <row r="200">
      <c r="A200" t="s">
        <v>164</v>
      </c>
      <c r="B200" t="s">
        <v>115</v>
      </c>
      <c r="C200" s="32" t="s">
        <v>294</v>
      </c>
      <c r="D200" t="s">
        <v>378</v>
      </c>
      <c r="E200" t="s">
        <v>395</v>
      </c>
      <c r="F200" s="174" t="n">
        <v>2029</v>
      </c>
      <c r="G200" s="175" t="n">
        <v>68</v>
      </c>
      <c r="H200" s="176" t="n">
        <v>25337.1149894406</v>
      </c>
      <c r="I200" s="177" t="n">
        <v>1988306.1838794</v>
      </c>
      <c r="J200" s="178" t="str">
        <f>IF(I200&gt;0,H200/I200,0)</f>
      </c>
      <c r="K200" s="179" t="str">
        <f>1-EXP(-J200)</f>
      </c>
      <c r="L200" s="180" t="str">
        <f>IF(G200=30,1,M199)</f>
      </c>
      <c r="M200" s="181" t="str">
        <f>L200*(1-K200)</f>
      </c>
    </row>
    <row r="201">
      <c r="A201" t="s">
        <v>164</v>
      </c>
      <c r="B201" t="s">
        <v>115</v>
      </c>
      <c r="C201" s="32" t="s">
        <v>294</v>
      </c>
      <c r="D201" t="s">
        <v>378</v>
      </c>
      <c r="E201" t="s">
        <v>395</v>
      </c>
      <c r="F201" s="174" t="n">
        <v>2029</v>
      </c>
      <c r="G201" s="175" t="n">
        <v>69</v>
      </c>
      <c r="H201" s="176" t="n">
        <v>26027.26592164</v>
      </c>
      <c r="I201" s="177" t="n">
        <v>1860026.61300478</v>
      </c>
      <c r="J201" s="178" t="str">
        <f>IF(I201&gt;0,H201/I201,0)</f>
      </c>
      <c r="K201" s="179" t="str">
        <f>1-EXP(-J201)</f>
      </c>
      <c r="L201" s="180" t="str">
        <f>IF(G201=30,1,M200)</f>
      </c>
      <c r="M201" s="181" t="str">
        <f>L201*(1-K201)</f>
      </c>
    </row>
    <row r="202">
      <c r="A202" t="s">
        <v>164</v>
      </c>
      <c r="B202" t="s">
        <v>115</v>
      </c>
      <c r="C202" s="32" t="s">
        <v>294</v>
      </c>
      <c r="D202" t="s">
        <v>378</v>
      </c>
      <c r="E202" t="s">
        <v>395</v>
      </c>
      <c r="F202" s="174" t="n">
        <v>2030</v>
      </c>
      <c r="G202" s="175" t="n">
        <v>30</v>
      </c>
      <c r="H202" s="176" t="n">
        <v>954.519285252029</v>
      </c>
      <c r="I202" s="177" t="n">
        <v>4327148.99500518</v>
      </c>
      <c r="J202" s="178" t="str">
        <f>IF(I202&gt;0,H202/I202,0)</f>
      </c>
      <c r="K202" s="179" t="str">
        <f>1-EXP(-J202)</f>
      </c>
      <c r="L202" s="180" t="str">
        <f>IF(G202=30,1,M201)</f>
      </c>
      <c r="M202" s="181" t="str">
        <f>L202*(1-K202)</f>
      </c>
    </row>
    <row r="203">
      <c r="A203" t="s">
        <v>164</v>
      </c>
      <c r="B203" t="s">
        <v>115</v>
      </c>
      <c r="C203" s="32" t="s">
        <v>294</v>
      </c>
      <c r="D203" t="s">
        <v>378</v>
      </c>
      <c r="E203" t="s">
        <v>395</v>
      </c>
      <c r="F203" s="174" t="n">
        <v>2030</v>
      </c>
      <c r="G203" s="175" t="n">
        <v>31</v>
      </c>
      <c r="H203" s="176" t="n">
        <v>1095.76416466877</v>
      </c>
      <c r="I203" s="177" t="n">
        <v>4347586.18435219</v>
      </c>
      <c r="J203" s="178" t="str">
        <f>IF(I203&gt;0,H203/I203,0)</f>
      </c>
      <c r="K203" s="179" t="str">
        <f>1-EXP(-J203)</f>
      </c>
      <c r="L203" s="180" t="str">
        <f>IF(G203=30,1,M202)</f>
      </c>
      <c r="M203" s="181" t="str">
        <f>L203*(1-K203)</f>
      </c>
    </row>
    <row r="204">
      <c r="A204" t="s">
        <v>164</v>
      </c>
      <c r="B204" t="s">
        <v>115</v>
      </c>
      <c r="C204" s="32" t="s">
        <v>294</v>
      </c>
      <c r="D204" t="s">
        <v>378</v>
      </c>
      <c r="E204" t="s">
        <v>395</v>
      </c>
      <c r="F204" s="174" t="n">
        <v>2030</v>
      </c>
      <c r="G204" s="175" t="n">
        <v>32</v>
      </c>
      <c r="H204" s="176" t="n">
        <v>1168.63222764649</v>
      </c>
      <c r="I204" s="177" t="n">
        <v>4407855.94760618</v>
      </c>
      <c r="J204" s="178" t="str">
        <f>IF(I204&gt;0,H204/I204,0)</f>
      </c>
      <c r="K204" s="179" t="str">
        <f>1-EXP(-J204)</f>
      </c>
      <c r="L204" s="180" t="str">
        <f>IF(G204=30,1,M203)</f>
      </c>
      <c r="M204" s="181" t="str">
        <f>L204*(1-K204)</f>
      </c>
    </row>
    <row r="205">
      <c r="A205" t="s">
        <v>164</v>
      </c>
      <c r="B205" t="s">
        <v>115</v>
      </c>
      <c r="C205" s="32" t="s">
        <v>294</v>
      </c>
      <c r="D205" t="s">
        <v>378</v>
      </c>
      <c r="E205" t="s">
        <v>395</v>
      </c>
      <c r="F205" s="174" t="n">
        <v>2030</v>
      </c>
      <c r="G205" s="175" t="n">
        <v>33</v>
      </c>
      <c r="H205" s="176" t="n">
        <v>1473.7668972987</v>
      </c>
      <c r="I205" s="177" t="n">
        <v>4548815.88591106</v>
      </c>
      <c r="J205" s="178" t="str">
        <f>IF(I205&gt;0,H205/I205,0)</f>
      </c>
      <c r="K205" s="179" t="str">
        <f>1-EXP(-J205)</f>
      </c>
      <c r="L205" s="180" t="str">
        <f>IF(G205=30,1,M204)</f>
      </c>
      <c r="M205" s="181" t="str">
        <f>L205*(1-K205)</f>
      </c>
    </row>
    <row r="206">
      <c r="A206" t="s">
        <v>164</v>
      </c>
      <c r="B206" t="s">
        <v>115</v>
      </c>
      <c r="C206" s="32" t="s">
        <v>294</v>
      </c>
      <c r="D206" t="s">
        <v>378</v>
      </c>
      <c r="E206" t="s">
        <v>395</v>
      </c>
      <c r="F206" s="174" t="n">
        <v>2030</v>
      </c>
      <c r="G206" s="175" t="n">
        <v>34</v>
      </c>
      <c r="H206" s="176" t="n">
        <v>1546.24516893501</v>
      </c>
      <c r="I206" s="177" t="n">
        <v>4506006.60205377</v>
      </c>
      <c r="J206" s="178" t="str">
        <f>IF(I206&gt;0,H206/I206,0)</f>
      </c>
      <c r="K206" s="179" t="str">
        <f>1-EXP(-J206)</f>
      </c>
      <c r="L206" s="180" t="str">
        <f>IF(G206=30,1,M205)</f>
      </c>
      <c r="M206" s="181" t="str">
        <f>L206*(1-K206)</f>
      </c>
    </row>
    <row r="207">
      <c r="A207" t="s">
        <v>164</v>
      </c>
      <c r="B207" t="s">
        <v>115</v>
      </c>
      <c r="C207" s="32" t="s">
        <v>294</v>
      </c>
      <c r="D207" t="s">
        <v>378</v>
      </c>
      <c r="E207" t="s">
        <v>395</v>
      </c>
      <c r="F207" s="174" t="n">
        <v>2030</v>
      </c>
      <c r="G207" s="175" t="n">
        <v>35</v>
      </c>
      <c r="H207" s="176" t="n">
        <v>2067.66472109888</v>
      </c>
      <c r="I207" s="177" t="n">
        <v>4433001.83831977</v>
      </c>
      <c r="J207" s="178" t="str">
        <f>IF(I207&gt;0,H207/I207,0)</f>
      </c>
      <c r="K207" s="179" t="str">
        <f>1-EXP(-J207)</f>
      </c>
      <c r="L207" s="180" t="str">
        <f>IF(G207=30,1,M206)</f>
      </c>
      <c r="M207" s="181" t="str">
        <f>L207*(1-K207)</f>
      </c>
    </row>
    <row r="208">
      <c r="A208" t="s">
        <v>164</v>
      </c>
      <c r="B208" t="s">
        <v>115</v>
      </c>
      <c r="C208" s="32" t="s">
        <v>294</v>
      </c>
      <c r="D208" t="s">
        <v>378</v>
      </c>
      <c r="E208" t="s">
        <v>395</v>
      </c>
      <c r="F208" s="174" t="n">
        <v>2030</v>
      </c>
      <c r="G208" s="175" t="n">
        <v>36</v>
      </c>
      <c r="H208" s="176" t="n">
        <v>2176.26583863317</v>
      </c>
      <c r="I208" s="177" t="n">
        <v>4375261.00990231</v>
      </c>
      <c r="J208" s="178" t="str">
        <f>IF(I208&gt;0,H208/I208,0)</f>
      </c>
      <c r="K208" s="179" t="str">
        <f>1-EXP(-J208)</f>
      </c>
      <c r="L208" s="180" t="str">
        <f>IF(G208=30,1,M207)</f>
      </c>
      <c r="M208" s="181" t="str">
        <f>L208*(1-K208)</f>
      </c>
    </row>
    <row r="209">
      <c r="A209" t="s">
        <v>164</v>
      </c>
      <c r="B209" t="s">
        <v>115</v>
      </c>
      <c r="C209" s="32" t="s">
        <v>294</v>
      </c>
      <c r="D209" t="s">
        <v>378</v>
      </c>
      <c r="E209" t="s">
        <v>395</v>
      </c>
      <c r="F209" s="174" t="n">
        <v>2030</v>
      </c>
      <c r="G209" s="175" t="n">
        <v>37</v>
      </c>
      <c r="H209" s="176" t="n">
        <v>2306.6647478833</v>
      </c>
      <c r="I209" s="177" t="n">
        <v>4321584.74820454</v>
      </c>
      <c r="J209" s="178" t="str">
        <f>IF(I209&gt;0,H209/I209,0)</f>
      </c>
      <c r="K209" s="179" t="str">
        <f>1-EXP(-J209)</f>
      </c>
      <c r="L209" s="180" t="str">
        <f>IF(G209=30,1,M208)</f>
      </c>
      <c r="M209" s="181" t="str">
        <f>L209*(1-K209)</f>
      </c>
    </row>
    <row r="210">
      <c r="A210" t="s">
        <v>164</v>
      </c>
      <c r="B210" t="s">
        <v>115</v>
      </c>
      <c r="C210" s="32" t="s">
        <v>294</v>
      </c>
      <c r="D210" t="s">
        <v>378</v>
      </c>
      <c r="E210" t="s">
        <v>395</v>
      </c>
      <c r="F210" s="174" t="n">
        <v>2030</v>
      </c>
      <c r="G210" s="175" t="n">
        <v>38</v>
      </c>
      <c r="H210" s="176" t="n">
        <v>2499.87000046407</v>
      </c>
      <c r="I210" s="177" t="n">
        <v>4359279.19006267</v>
      </c>
      <c r="J210" s="178" t="str">
        <f>IF(I210&gt;0,H210/I210,0)</f>
      </c>
      <c r="K210" s="179" t="str">
        <f>1-EXP(-J210)</f>
      </c>
      <c r="L210" s="180" t="str">
        <f>IF(G210=30,1,M209)</f>
      </c>
      <c r="M210" s="181" t="str">
        <f>L210*(1-K210)</f>
      </c>
    </row>
    <row r="211">
      <c r="A211" t="s">
        <v>164</v>
      </c>
      <c r="B211" t="s">
        <v>115</v>
      </c>
      <c r="C211" s="32" t="s">
        <v>294</v>
      </c>
      <c r="D211" t="s">
        <v>378</v>
      </c>
      <c r="E211" t="s">
        <v>395</v>
      </c>
      <c r="F211" s="174" t="n">
        <v>2030</v>
      </c>
      <c r="G211" s="175" t="n">
        <v>39</v>
      </c>
      <c r="H211" s="176" t="n">
        <v>2702.93887101188</v>
      </c>
      <c r="I211" s="177" t="n">
        <v>4377245.48605458</v>
      </c>
      <c r="J211" s="178" t="str">
        <f>IF(I211&gt;0,H211/I211,0)</f>
      </c>
      <c r="K211" s="179" t="str">
        <f>1-EXP(-J211)</f>
      </c>
      <c r="L211" s="180" t="str">
        <f>IF(G211=30,1,M210)</f>
      </c>
      <c r="M211" s="181" t="str">
        <f>L211*(1-K211)</f>
      </c>
    </row>
    <row r="212">
      <c r="A212" t="s">
        <v>164</v>
      </c>
      <c r="B212" t="s">
        <v>115</v>
      </c>
      <c r="C212" s="32" t="s">
        <v>294</v>
      </c>
      <c r="D212" t="s">
        <v>378</v>
      </c>
      <c r="E212" t="s">
        <v>395</v>
      </c>
      <c r="F212" s="174" t="n">
        <v>2030</v>
      </c>
      <c r="G212" s="175" t="n">
        <v>40</v>
      </c>
      <c r="H212" s="176" t="n">
        <v>5114.4031952192</v>
      </c>
      <c r="I212" s="177" t="n">
        <v>6445510.78583329</v>
      </c>
      <c r="J212" s="178" t="str">
        <f>IF(I212&gt;0,H212/I212,0)</f>
      </c>
      <c r="K212" s="179" t="str">
        <f>1-EXP(-J212)</f>
      </c>
      <c r="L212" s="180" t="str">
        <f>IF(G212=30,1,M211)</f>
      </c>
      <c r="M212" s="181" t="str">
        <f>L212*(1-K212)</f>
      </c>
    </row>
    <row r="213">
      <c r="A213" t="s">
        <v>164</v>
      </c>
      <c r="B213" t="s">
        <v>115</v>
      </c>
      <c r="C213" s="32" t="s">
        <v>294</v>
      </c>
      <c r="D213" t="s">
        <v>378</v>
      </c>
      <c r="E213" t="s">
        <v>395</v>
      </c>
      <c r="F213" s="174" t="n">
        <v>2030</v>
      </c>
      <c r="G213" s="175" t="n">
        <v>41</v>
      </c>
      <c r="H213" s="176" t="n">
        <v>3885.012613556</v>
      </c>
      <c r="I213" s="177" t="n">
        <v>4334866.1728485</v>
      </c>
      <c r="J213" s="178" t="str">
        <f>IF(I213&gt;0,H213/I213,0)</f>
      </c>
      <c r="K213" s="179" t="str">
        <f>1-EXP(-J213)</f>
      </c>
      <c r="L213" s="180" t="str">
        <f>IF(G213=30,1,M212)</f>
      </c>
      <c r="M213" s="181" t="str">
        <f>L213*(1-K213)</f>
      </c>
    </row>
    <row r="214">
      <c r="A214" t="s">
        <v>164</v>
      </c>
      <c r="B214" t="s">
        <v>115</v>
      </c>
      <c r="C214" s="32" t="s">
        <v>294</v>
      </c>
      <c r="D214" t="s">
        <v>378</v>
      </c>
      <c r="E214" t="s">
        <v>395</v>
      </c>
      <c r="F214" s="174" t="n">
        <v>2030</v>
      </c>
      <c r="G214" s="175" t="n">
        <v>42</v>
      </c>
      <c r="H214" s="176" t="n">
        <v>4198.6231120692</v>
      </c>
      <c r="I214" s="177" t="n">
        <v>4318016.57601731</v>
      </c>
      <c r="J214" s="178" t="str">
        <f>IF(I214&gt;0,H214/I214,0)</f>
      </c>
      <c r="K214" s="179" t="str">
        <f>1-EXP(-J214)</f>
      </c>
      <c r="L214" s="180" t="str">
        <f>IF(G214=30,1,M213)</f>
      </c>
      <c r="M214" s="181" t="str">
        <f>L214*(1-K214)</f>
      </c>
    </row>
    <row r="215">
      <c r="A215" t="s">
        <v>164</v>
      </c>
      <c r="B215" t="s">
        <v>115</v>
      </c>
      <c r="C215" s="32" t="s">
        <v>294</v>
      </c>
      <c r="D215" t="s">
        <v>378</v>
      </c>
      <c r="E215" t="s">
        <v>395</v>
      </c>
      <c r="F215" s="174" t="n">
        <v>2030</v>
      </c>
      <c r="G215" s="175" t="n">
        <v>43</v>
      </c>
      <c r="H215" s="176" t="n">
        <v>4431.20854157652</v>
      </c>
      <c r="I215" s="177" t="n">
        <v>4185605.45768446</v>
      </c>
      <c r="J215" s="178" t="str">
        <f>IF(I215&gt;0,H215/I215,0)</f>
      </c>
      <c r="K215" s="179" t="str">
        <f>1-EXP(-J215)</f>
      </c>
      <c r="L215" s="180" t="str">
        <f>IF(G215=30,1,M214)</f>
      </c>
      <c r="M215" s="181" t="str">
        <f>L215*(1-K215)</f>
      </c>
    </row>
    <row r="216">
      <c r="A216" t="s">
        <v>164</v>
      </c>
      <c r="B216" t="s">
        <v>115</v>
      </c>
      <c r="C216" s="32" t="s">
        <v>294</v>
      </c>
      <c r="D216" t="s">
        <v>378</v>
      </c>
      <c r="E216" t="s">
        <v>395</v>
      </c>
      <c r="F216" s="174" t="n">
        <v>2030</v>
      </c>
      <c r="G216" s="175" t="n">
        <v>44</v>
      </c>
      <c r="H216" s="176" t="n">
        <v>4797.74793292153</v>
      </c>
      <c r="I216" s="177" t="n">
        <v>4150811.41104877</v>
      </c>
      <c r="J216" s="178" t="str">
        <f>IF(I216&gt;0,H216/I216,0)</f>
      </c>
      <c r="K216" s="179" t="str">
        <f>1-EXP(-J216)</f>
      </c>
      <c r="L216" s="180" t="str">
        <f>IF(G216=30,1,M215)</f>
      </c>
      <c r="M216" s="181" t="str">
        <f>L216*(1-K216)</f>
      </c>
    </row>
    <row r="217">
      <c r="A217" t="s">
        <v>164</v>
      </c>
      <c r="B217" t="s">
        <v>115</v>
      </c>
      <c r="C217" s="32" t="s">
        <v>294</v>
      </c>
      <c r="D217" t="s">
        <v>378</v>
      </c>
      <c r="E217" t="s">
        <v>395</v>
      </c>
      <c r="F217" s="174" t="n">
        <v>2030</v>
      </c>
      <c r="G217" s="175" t="n">
        <v>45</v>
      </c>
      <c r="H217" s="176" t="n">
        <v>6296.10997321428</v>
      </c>
      <c r="I217" s="177" t="n">
        <v>4209511.84766055</v>
      </c>
      <c r="J217" s="178" t="str">
        <f>IF(I217&gt;0,H217/I217,0)</f>
      </c>
      <c r="K217" s="179" t="str">
        <f>1-EXP(-J217)</f>
      </c>
      <c r="L217" s="180" t="str">
        <f>IF(G217=30,1,M216)</f>
      </c>
      <c r="M217" s="181" t="str">
        <f>L217*(1-K217)</f>
      </c>
    </row>
    <row r="218">
      <c r="A218" t="s">
        <v>164</v>
      </c>
      <c r="B218" t="s">
        <v>115</v>
      </c>
      <c r="C218" s="32" t="s">
        <v>294</v>
      </c>
      <c r="D218" t="s">
        <v>378</v>
      </c>
      <c r="E218" t="s">
        <v>395</v>
      </c>
      <c r="F218" s="174" t="n">
        <v>2030</v>
      </c>
      <c r="G218" s="175" t="n">
        <v>46</v>
      </c>
      <c r="H218" s="176" t="n">
        <v>7012.15062217563</v>
      </c>
      <c r="I218" s="177" t="n">
        <v>4292146.90616588</v>
      </c>
      <c r="J218" s="178" t="str">
        <f>IF(I218&gt;0,H218/I218,0)</f>
      </c>
      <c r="K218" s="179" t="str">
        <f>1-EXP(-J218)</f>
      </c>
      <c r="L218" s="180" t="str">
        <f>IF(G218=30,1,M217)</f>
      </c>
      <c r="M218" s="181" t="str">
        <f>L218*(1-K218)</f>
      </c>
    </row>
    <row r="219">
      <c r="A219" t="s">
        <v>164</v>
      </c>
      <c r="B219" t="s">
        <v>115</v>
      </c>
      <c r="C219" s="32" t="s">
        <v>294</v>
      </c>
      <c r="D219" t="s">
        <v>378</v>
      </c>
      <c r="E219" t="s">
        <v>395</v>
      </c>
      <c r="F219" s="174" t="n">
        <v>2030</v>
      </c>
      <c r="G219" s="175" t="n">
        <v>47</v>
      </c>
      <c r="H219" s="176" t="n">
        <v>7643.51620781039</v>
      </c>
      <c r="I219" s="177" t="n">
        <v>4266857.54516534</v>
      </c>
      <c r="J219" s="178" t="str">
        <f>IF(I219&gt;0,H219/I219,0)</f>
      </c>
      <c r="K219" s="179" t="str">
        <f>1-EXP(-J219)</f>
      </c>
      <c r="L219" s="180" t="str">
        <f>IF(G219=30,1,M218)</f>
      </c>
      <c r="M219" s="181" t="str">
        <f>L219*(1-K219)</f>
      </c>
    </row>
    <row r="220">
      <c r="A220" t="s">
        <v>164</v>
      </c>
      <c r="B220" t="s">
        <v>115</v>
      </c>
      <c r="C220" s="32" t="s">
        <v>294</v>
      </c>
      <c r="D220" t="s">
        <v>378</v>
      </c>
      <c r="E220" t="s">
        <v>395</v>
      </c>
      <c r="F220" s="174" t="n">
        <v>2030</v>
      </c>
      <c r="G220" s="175" t="n">
        <v>48</v>
      </c>
      <c r="H220" s="176" t="n">
        <v>8114.13435817041</v>
      </c>
      <c r="I220" s="177" t="n">
        <v>4129258.53242914</v>
      </c>
      <c r="J220" s="178" t="str">
        <f>IF(I220&gt;0,H220/I220,0)</f>
      </c>
      <c r="K220" s="179" t="str">
        <f>1-EXP(-J220)</f>
      </c>
      <c r="L220" s="180" t="str">
        <f>IF(G220=30,1,M219)</f>
      </c>
      <c r="M220" s="181" t="str">
        <f>L220*(1-K220)</f>
      </c>
    </row>
    <row r="221">
      <c r="A221" t="s">
        <v>164</v>
      </c>
      <c r="B221" t="s">
        <v>115</v>
      </c>
      <c r="C221" s="32" t="s">
        <v>294</v>
      </c>
      <c r="D221" t="s">
        <v>378</v>
      </c>
      <c r="E221" t="s">
        <v>395</v>
      </c>
      <c r="F221" s="174" t="n">
        <v>2030</v>
      </c>
      <c r="G221" s="175" t="n">
        <v>49</v>
      </c>
      <c r="H221" s="176" t="n">
        <v>8725.28869089029</v>
      </c>
      <c r="I221" s="177" t="n">
        <v>4053774.3116898</v>
      </c>
      <c r="J221" s="178" t="str">
        <f>IF(I221&gt;0,H221/I221,0)</f>
      </c>
      <c r="K221" s="179" t="str">
        <f>1-EXP(-J221)</f>
      </c>
      <c r="L221" s="180" t="str">
        <f>IF(G221=30,1,M220)</f>
      </c>
      <c r="M221" s="181" t="str">
        <f>L221*(1-K221)</f>
      </c>
    </row>
    <row r="222">
      <c r="A222" t="s">
        <v>164</v>
      </c>
      <c r="B222" t="s">
        <v>115</v>
      </c>
      <c r="C222" s="32" t="s">
        <v>294</v>
      </c>
      <c r="D222" t="s">
        <v>378</v>
      </c>
      <c r="E222" t="s">
        <v>395</v>
      </c>
      <c r="F222" s="174" t="n">
        <v>2030</v>
      </c>
      <c r="G222" s="175" t="n">
        <v>50</v>
      </c>
      <c r="H222" s="176" t="n">
        <v>10013.8821202146</v>
      </c>
      <c r="I222" s="177" t="n">
        <v>3993952.06571101</v>
      </c>
      <c r="J222" s="178" t="str">
        <f>IF(I222&gt;0,H222/I222,0)</f>
      </c>
      <c r="K222" s="179" t="str">
        <f>1-EXP(-J222)</f>
      </c>
      <c r="L222" s="180" t="str">
        <f>IF(G222=30,1,M221)</f>
      </c>
      <c r="M222" s="181" t="str">
        <f>L222*(1-K222)</f>
      </c>
    </row>
    <row r="223">
      <c r="A223" t="s">
        <v>164</v>
      </c>
      <c r="B223" t="s">
        <v>115</v>
      </c>
      <c r="C223" s="32" t="s">
        <v>294</v>
      </c>
      <c r="D223" t="s">
        <v>378</v>
      </c>
      <c r="E223" t="s">
        <v>395</v>
      </c>
      <c r="F223" s="174" t="n">
        <v>2030</v>
      </c>
      <c r="G223" s="175" t="n">
        <v>51</v>
      </c>
      <c r="H223" s="176" t="n">
        <v>10734.4101662379</v>
      </c>
      <c r="I223" s="177" t="n">
        <v>3927700.93746363</v>
      </c>
      <c r="J223" s="178" t="str">
        <f>IF(I223&gt;0,H223/I223,0)</f>
      </c>
      <c r="K223" s="179" t="str">
        <f>1-EXP(-J223)</f>
      </c>
      <c r="L223" s="180" t="str">
        <f>IF(G223=30,1,M222)</f>
      </c>
      <c r="M223" s="181" t="str">
        <f>L223*(1-K223)</f>
      </c>
    </row>
    <row r="224">
      <c r="A224" t="s">
        <v>164</v>
      </c>
      <c r="B224" t="s">
        <v>115</v>
      </c>
      <c r="C224" s="32" t="s">
        <v>294</v>
      </c>
      <c r="D224" t="s">
        <v>378</v>
      </c>
      <c r="E224" t="s">
        <v>395</v>
      </c>
      <c r="F224" s="174" t="n">
        <v>2030</v>
      </c>
      <c r="G224" s="175" t="n">
        <v>52</v>
      </c>
      <c r="H224" s="176" t="n">
        <v>11478.0804093091</v>
      </c>
      <c r="I224" s="177" t="n">
        <v>3842793.72216667</v>
      </c>
      <c r="J224" s="178" t="str">
        <f>IF(I224&gt;0,H224/I224,0)</f>
      </c>
      <c r="K224" s="179" t="str">
        <f>1-EXP(-J224)</f>
      </c>
      <c r="L224" s="180" t="str">
        <f>IF(G224=30,1,M223)</f>
      </c>
      <c r="M224" s="181" t="str">
        <f>L224*(1-K224)</f>
      </c>
    </row>
    <row r="225">
      <c r="A225" t="s">
        <v>164</v>
      </c>
      <c r="B225" t="s">
        <v>115</v>
      </c>
      <c r="C225" s="32" t="s">
        <v>294</v>
      </c>
      <c r="D225" t="s">
        <v>378</v>
      </c>
      <c r="E225" t="s">
        <v>395</v>
      </c>
      <c r="F225" s="174" t="n">
        <v>2030</v>
      </c>
      <c r="G225" s="175" t="n">
        <v>53</v>
      </c>
      <c r="H225" s="176" t="n">
        <v>12332.8146896323</v>
      </c>
      <c r="I225" s="177" t="n">
        <v>3774731.39586321</v>
      </c>
      <c r="J225" s="178" t="str">
        <f>IF(I225&gt;0,H225/I225,0)</f>
      </c>
      <c r="K225" s="179" t="str">
        <f>1-EXP(-J225)</f>
      </c>
      <c r="L225" s="180" t="str">
        <f>IF(G225=30,1,M224)</f>
      </c>
      <c r="M225" s="181" t="str">
        <f>L225*(1-K225)</f>
      </c>
    </row>
    <row r="226">
      <c r="A226" t="s">
        <v>164</v>
      </c>
      <c r="B226" t="s">
        <v>115</v>
      </c>
      <c r="C226" s="32" t="s">
        <v>294</v>
      </c>
      <c r="D226" t="s">
        <v>378</v>
      </c>
      <c r="E226" t="s">
        <v>395</v>
      </c>
      <c r="F226" s="174" t="n">
        <v>2030</v>
      </c>
      <c r="G226" s="175" t="n">
        <v>54</v>
      </c>
      <c r="H226" s="176" t="n">
        <v>13188.456271694</v>
      </c>
      <c r="I226" s="177" t="n">
        <v>3694747.7166451</v>
      </c>
      <c r="J226" s="178" t="str">
        <f>IF(I226&gt;0,H226/I226,0)</f>
      </c>
      <c r="K226" s="179" t="str">
        <f>1-EXP(-J226)</f>
      </c>
      <c r="L226" s="180" t="str">
        <f>IF(G226=30,1,M225)</f>
      </c>
      <c r="M226" s="181" t="str">
        <f>L226*(1-K226)</f>
      </c>
    </row>
    <row r="227">
      <c r="A227" t="s">
        <v>164</v>
      </c>
      <c r="B227" t="s">
        <v>115</v>
      </c>
      <c r="C227" s="32" t="s">
        <v>294</v>
      </c>
      <c r="D227" t="s">
        <v>378</v>
      </c>
      <c r="E227" t="s">
        <v>395</v>
      </c>
      <c r="F227" s="174" t="n">
        <v>2030</v>
      </c>
      <c r="G227" s="175" t="n">
        <v>55</v>
      </c>
      <c r="H227" s="176" t="n">
        <v>14235.929866962</v>
      </c>
      <c r="I227" s="177" t="n">
        <v>3613879.23158528</v>
      </c>
      <c r="J227" s="178" t="str">
        <f>IF(I227&gt;0,H227/I227,0)</f>
      </c>
      <c r="K227" s="179" t="str">
        <f>1-EXP(-J227)</f>
      </c>
      <c r="L227" s="180" t="str">
        <f>IF(G227=30,1,M226)</f>
      </c>
      <c r="M227" s="181" t="str">
        <f>L227*(1-K227)</f>
      </c>
    </row>
    <row r="228">
      <c r="A228" t="s">
        <v>164</v>
      </c>
      <c r="B228" t="s">
        <v>115</v>
      </c>
      <c r="C228" s="32" t="s">
        <v>294</v>
      </c>
      <c r="D228" t="s">
        <v>378</v>
      </c>
      <c r="E228" t="s">
        <v>395</v>
      </c>
      <c r="F228" s="174" t="n">
        <v>2030</v>
      </c>
      <c r="G228" s="175" t="n">
        <v>56</v>
      </c>
      <c r="H228" s="176" t="n">
        <v>15048.7038814028</v>
      </c>
      <c r="I228" s="177" t="n">
        <v>3505173.3897297</v>
      </c>
      <c r="J228" s="178" t="str">
        <f>IF(I228&gt;0,H228/I228,0)</f>
      </c>
      <c r="K228" s="179" t="str">
        <f>1-EXP(-J228)</f>
      </c>
      <c r="L228" s="180" t="str">
        <f>IF(G228=30,1,M227)</f>
      </c>
      <c r="M228" s="181" t="str">
        <f>L228*(1-K228)</f>
      </c>
    </row>
    <row r="229">
      <c r="A229" t="s">
        <v>164</v>
      </c>
      <c r="B229" t="s">
        <v>115</v>
      </c>
      <c r="C229" s="32" t="s">
        <v>294</v>
      </c>
      <c r="D229" t="s">
        <v>378</v>
      </c>
      <c r="E229" t="s">
        <v>395</v>
      </c>
      <c r="F229" s="174" t="n">
        <v>2030</v>
      </c>
      <c r="G229" s="175" t="n">
        <v>57</v>
      </c>
      <c r="H229" s="176" t="n">
        <v>16216.9698885282</v>
      </c>
      <c r="I229" s="177" t="n">
        <v>3456137.69145276</v>
      </c>
      <c r="J229" s="178" t="str">
        <f>IF(I229&gt;0,H229/I229,0)</f>
      </c>
      <c r="K229" s="179" t="str">
        <f>1-EXP(-J229)</f>
      </c>
      <c r="L229" s="180" t="str">
        <f>IF(G229=30,1,M228)</f>
      </c>
      <c r="M229" s="181" t="str">
        <f>L229*(1-K229)</f>
      </c>
    </row>
    <row r="230">
      <c r="A230" t="s">
        <v>164</v>
      </c>
      <c r="B230" t="s">
        <v>115</v>
      </c>
      <c r="C230" s="32" t="s">
        <v>294</v>
      </c>
      <c r="D230" t="s">
        <v>378</v>
      </c>
      <c r="E230" t="s">
        <v>395</v>
      </c>
      <c r="F230" s="174" t="n">
        <v>2030</v>
      </c>
      <c r="G230" s="175" t="n">
        <v>58</v>
      </c>
      <c r="H230" s="176" t="n">
        <v>16669.3609944432</v>
      </c>
      <c r="I230" s="177" t="n">
        <v>3245350.6194636</v>
      </c>
      <c r="J230" s="178" t="str">
        <f>IF(I230&gt;0,H230/I230,0)</f>
      </c>
      <c r="K230" s="179" t="str">
        <f>1-EXP(-J230)</f>
      </c>
      <c r="L230" s="180" t="str">
        <f>IF(G230=30,1,M229)</f>
      </c>
      <c r="M230" s="181" t="str">
        <f>L230*(1-K230)</f>
      </c>
    </row>
    <row r="231">
      <c r="A231" t="s">
        <v>164</v>
      </c>
      <c r="B231" t="s">
        <v>115</v>
      </c>
      <c r="C231" s="32" t="s">
        <v>294</v>
      </c>
      <c r="D231" t="s">
        <v>378</v>
      </c>
      <c r="E231" t="s">
        <v>395</v>
      </c>
      <c r="F231" s="174" t="n">
        <v>2030</v>
      </c>
      <c r="G231" s="175" t="n">
        <v>59</v>
      </c>
      <c r="H231" s="176" t="n">
        <v>17719.5918400456</v>
      </c>
      <c r="I231" s="177" t="n">
        <v>3154268.82438424</v>
      </c>
      <c r="J231" s="178" t="str">
        <f>IF(I231&gt;0,H231/I231,0)</f>
      </c>
      <c r="K231" s="179" t="str">
        <f>1-EXP(-J231)</f>
      </c>
      <c r="L231" s="180" t="str">
        <f>IF(G231=30,1,M230)</f>
      </c>
      <c r="M231" s="181" t="str">
        <f>L231*(1-K231)</f>
      </c>
    </row>
    <row r="232">
      <c r="A232" t="s">
        <v>164</v>
      </c>
      <c r="B232" t="s">
        <v>115</v>
      </c>
      <c r="C232" s="32" t="s">
        <v>294</v>
      </c>
      <c r="D232" t="s">
        <v>378</v>
      </c>
      <c r="E232" t="s">
        <v>395</v>
      </c>
      <c r="F232" s="174" t="n">
        <v>2030</v>
      </c>
      <c r="G232" s="175" t="n">
        <v>60</v>
      </c>
      <c r="H232" s="176" t="n">
        <v>19195.7530940522</v>
      </c>
      <c r="I232" s="177" t="n">
        <v>3067292.94558406</v>
      </c>
      <c r="J232" s="178" t="str">
        <f>IF(I232&gt;0,H232/I232,0)</f>
      </c>
      <c r="K232" s="179" t="str">
        <f>1-EXP(-J232)</f>
      </c>
      <c r="L232" s="180" t="str">
        <f>IF(G232=30,1,M231)</f>
      </c>
      <c r="M232" s="181" t="str">
        <f>L232*(1-K232)</f>
      </c>
    </row>
    <row r="233">
      <c r="A233" t="s">
        <v>164</v>
      </c>
      <c r="B233" t="s">
        <v>115</v>
      </c>
      <c r="C233" s="32" t="s">
        <v>294</v>
      </c>
      <c r="D233" t="s">
        <v>378</v>
      </c>
      <c r="E233" t="s">
        <v>395</v>
      </c>
      <c r="F233" s="174" t="n">
        <v>2030</v>
      </c>
      <c r="G233" s="175" t="n">
        <v>61</v>
      </c>
      <c r="H233" s="176" t="n">
        <v>20295.8564740417</v>
      </c>
      <c r="I233" s="177" t="n">
        <v>2970463.68734575</v>
      </c>
      <c r="J233" s="178" t="str">
        <f>IF(I233&gt;0,H233/I233,0)</f>
      </c>
      <c r="K233" s="179" t="str">
        <f>1-EXP(-J233)</f>
      </c>
      <c r="L233" s="180" t="str">
        <f>IF(G233=30,1,M232)</f>
      </c>
      <c r="M233" s="181" t="str">
        <f>L233*(1-K233)</f>
      </c>
    </row>
    <row r="234">
      <c r="A234" t="s">
        <v>164</v>
      </c>
      <c r="B234" t="s">
        <v>115</v>
      </c>
      <c r="C234" s="32" t="s">
        <v>294</v>
      </c>
      <c r="D234" t="s">
        <v>378</v>
      </c>
      <c r="E234" t="s">
        <v>395</v>
      </c>
      <c r="F234" s="174" t="n">
        <v>2030</v>
      </c>
      <c r="G234" s="175" t="n">
        <v>62</v>
      </c>
      <c r="H234" s="176" t="n">
        <v>21353.1553171184</v>
      </c>
      <c r="I234" s="177" t="n">
        <v>2854684.36036851</v>
      </c>
      <c r="J234" s="178" t="str">
        <f>IF(I234&gt;0,H234/I234,0)</f>
      </c>
      <c r="K234" s="179" t="str">
        <f>1-EXP(-J234)</f>
      </c>
      <c r="L234" s="180" t="str">
        <f>IF(G234=30,1,M233)</f>
      </c>
      <c r="M234" s="181" t="str">
        <f>L234*(1-K234)</f>
      </c>
    </row>
    <row r="235">
      <c r="A235" t="s">
        <v>164</v>
      </c>
      <c r="B235" t="s">
        <v>115</v>
      </c>
      <c r="C235" s="32" t="s">
        <v>294</v>
      </c>
      <c r="D235" t="s">
        <v>378</v>
      </c>
      <c r="E235" t="s">
        <v>395</v>
      </c>
      <c r="F235" s="174" t="n">
        <v>2030</v>
      </c>
      <c r="G235" s="175" t="n">
        <v>63</v>
      </c>
      <c r="H235" s="176" t="n">
        <v>22210.2449757368</v>
      </c>
      <c r="I235" s="177" t="n">
        <v>2708426.35493525</v>
      </c>
      <c r="J235" s="178" t="str">
        <f>IF(I235&gt;0,H235/I235,0)</f>
      </c>
      <c r="K235" s="179" t="str">
        <f>1-EXP(-J235)</f>
      </c>
      <c r="L235" s="180" t="str">
        <f>IF(G235=30,1,M234)</f>
      </c>
      <c r="M235" s="181" t="str">
        <f>L235*(1-K235)</f>
      </c>
    </row>
    <row r="236">
      <c r="A236" t="s">
        <v>164</v>
      </c>
      <c r="B236" t="s">
        <v>115</v>
      </c>
      <c r="C236" s="32" t="s">
        <v>294</v>
      </c>
      <c r="D236" t="s">
        <v>378</v>
      </c>
      <c r="E236" t="s">
        <v>395</v>
      </c>
      <c r="F236" s="174" t="n">
        <v>2030</v>
      </c>
      <c r="G236" s="175" t="n">
        <v>64</v>
      </c>
      <c r="H236" s="176" t="n">
        <v>23337.3376632316</v>
      </c>
      <c r="I236" s="177" t="n">
        <v>2597629.15234851</v>
      </c>
      <c r="J236" s="178" t="str">
        <f>IF(I236&gt;0,H236/I236,0)</f>
      </c>
      <c r="K236" s="179" t="str">
        <f>1-EXP(-J236)</f>
      </c>
      <c r="L236" s="180" t="str">
        <f>IF(G236=30,1,M235)</f>
      </c>
      <c r="M236" s="181" t="str">
        <f>L236*(1-K236)</f>
      </c>
    </row>
    <row r="237">
      <c r="A237" t="s">
        <v>164</v>
      </c>
      <c r="B237" t="s">
        <v>115</v>
      </c>
      <c r="C237" s="32" t="s">
        <v>294</v>
      </c>
      <c r="D237" t="s">
        <v>378</v>
      </c>
      <c r="E237" t="s">
        <v>395</v>
      </c>
      <c r="F237" s="174" t="n">
        <v>2030</v>
      </c>
      <c r="G237" s="175" t="n">
        <v>65</v>
      </c>
      <c r="H237" s="176" t="n">
        <v>23569.9731755484</v>
      </c>
      <c r="I237" s="177" t="n">
        <v>2465873.56134317</v>
      </c>
      <c r="J237" s="178" t="str">
        <f>IF(I237&gt;0,H237/I237,0)</f>
      </c>
      <c r="K237" s="179" t="str">
        <f>1-EXP(-J237)</f>
      </c>
      <c r="L237" s="180" t="str">
        <f>IF(G237=30,1,M236)</f>
      </c>
      <c r="M237" s="181" t="str">
        <f>L237*(1-K237)</f>
      </c>
    </row>
    <row r="238">
      <c r="A238" t="s">
        <v>164</v>
      </c>
      <c r="B238" t="s">
        <v>115</v>
      </c>
      <c r="C238" s="32" t="s">
        <v>294</v>
      </c>
      <c r="D238" t="s">
        <v>378</v>
      </c>
      <c r="E238" t="s">
        <v>395</v>
      </c>
      <c r="F238" s="174" t="n">
        <v>2030</v>
      </c>
      <c r="G238" s="175" t="n">
        <v>66</v>
      </c>
      <c r="H238" s="176" t="n">
        <v>24426.3297183985</v>
      </c>
      <c r="I238" s="177" t="n">
        <v>2334615.73419546</v>
      </c>
      <c r="J238" s="178" t="str">
        <f>IF(I238&gt;0,H238/I238,0)</f>
      </c>
      <c r="K238" s="179" t="str">
        <f>1-EXP(-J238)</f>
      </c>
      <c r="L238" s="180" t="str">
        <f>IF(G238=30,1,M237)</f>
      </c>
      <c r="M238" s="181" t="str">
        <f>L238*(1-K238)</f>
      </c>
    </row>
    <row r="239">
      <c r="A239" t="s">
        <v>164</v>
      </c>
      <c r="B239" t="s">
        <v>115</v>
      </c>
      <c r="C239" s="32" t="s">
        <v>294</v>
      </c>
      <c r="D239" t="s">
        <v>378</v>
      </c>
      <c r="E239" t="s">
        <v>395</v>
      </c>
      <c r="F239" s="174" t="n">
        <v>2030</v>
      </c>
      <c r="G239" s="175" t="n">
        <v>67</v>
      </c>
      <c r="H239" s="176" t="n">
        <v>25345.1559896961</v>
      </c>
      <c r="I239" s="177" t="n">
        <v>2207917.95798918</v>
      </c>
      <c r="J239" s="178" t="str">
        <f>IF(I239&gt;0,H239/I239,0)</f>
      </c>
      <c r="K239" s="179" t="str">
        <f>1-EXP(-J239)</f>
      </c>
      <c r="L239" s="180" t="str">
        <f>IF(G239=30,1,M238)</f>
      </c>
      <c r="M239" s="181" t="str">
        <f>L239*(1-K239)</f>
      </c>
    </row>
    <row r="240">
      <c r="A240" t="s">
        <v>164</v>
      </c>
      <c r="B240" t="s">
        <v>115</v>
      </c>
      <c r="C240" s="32" t="s">
        <v>294</v>
      </c>
      <c r="D240" t="s">
        <v>378</v>
      </c>
      <c r="E240" t="s">
        <v>395</v>
      </c>
      <c r="F240" s="174" t="n">
        <v>2030</v>
      </c>
      <c r="G240" s="175" t="n">
        <v>68</v>
      </c>
      <c r="H240" s="176" t="n">
        <v>26008.1496278696</v>
      </c>
      <c r="I240" s="177" t="n">
        <v>2056836.08276569</v>
      </c>
      <c r="J240" s="178" t="str">
        <f>IF(I240&gt;0,H240/I240,0)</f>
      </c>
      <c r="K240" s="179" t="str">
        <f>1-EXP(-J240)</f>
      </c>
      <c r="L240" s="180" t="str">
        <f>IF(G240=30,1,M239)</f>
      </c>
      <c r="M240" s="181" t="str">
        <f>L240*(1-K240)</f>
      </c>
    </row>
    <row r="241">
      <c r="A241" t="s">
        <v>164</v>
      </c>
      <c r="B241" t="s">
        <v>115</v>
      </c>
      <c r="C241" s="32" t="s">
        <v>294</v>
      </c>
      <c r="D241" t="s">
        <v>378</v>
      </c>
      <c r="E241" t="s">
        <v>395</v>
      </c>
      <c r="F241" s="174" t="n">
        <v>2030</v>
      </c>
      <c r="G241" s="175" t="n">
        <v>69</v>
      </c>
      <c r="H241" s="176" t="n">
        <v>26805.3948188431</v>
      </c>
      <c r="I241" s="177" t="n">
        <v>1930186.31291451</v>
      </c>
      <c r="J241" s="178" t="str">
        <f>IF(I241&gt;0,H241/I241,0)</f>
      </c>
      <c r="K241" s="179" t="str">
        <f>1-EXP(-J241)</f>
      </c>
      <c r="L241" s="180" t="str">
        <f>IF(G241=30,1,M240)</f>
      </c>
      <c r="M241" s="181" t="str">
        <f>L241*(1-K241)</f>
      </c>
    </row>
    <row r="242">
      <c r="A242" t="s">
        <v>164</v>
      </c>
      <c r="B242" t="s">
        <v>115</v>
      </c>
      <c r="C242" s="32" t="s">
        <v>294</v>
      </c>
      <c r="D242" t="s">
        <v>378</v>
      </c>
      <c r="E242" t="s">
        <v>395</v>
      </c>
      <c r="F242" s="174" t="n">
        <v>2031</v>
      </c>
      <c r="G242" s="175" t="n">
        <v>30</v>
      </c>
      <c r="H242" s="176" t="n">
        <v>957.567640004782</v>
      </c>
      <c r="I242" s="177" t="n">
        <v>4340985.46827019</v>
      </c>
      <c r="J242" s="178" t="str">
        <f>IF(I242&gt;0,H242/I242,0)</f>
      </c>
      <c r="K242" s="179" t="str">
        <f>1-EXP(-J242)</f>
      </c>
      <c r="L242" s="180" t="str">
        <f>IF(G242=30,1,M241)</f>
      </c>
      <c r="M242" s="181" t="str">
        <f>L242*(1-K242)</f>
      </c>
    </row>
    <row r="243">
      <c r="A243" t="s">
        <v>164</v>
      </c>
      <c r="B243" t="s">
        <v>115</v>
      </c>
      <c r="C243" s="32" t="s">
        <v>294</v>
      </c>
      <c r="D243" t="s">
        <v>378</v>
      </c>
      <c r="E243" t="s">
        <v>395</v>
      </c>
      <c r="F243" s="174" t="n">
        <v>2031</v>
      </c>
      <c r="G243" s="175" t="n">
        <v>31</v>
      </c>
      <c r="H243" s="176" t="n">
        <v>1090.21495018865</v>
      </c>
      <c r="I243" s="177" t="n">
        <v>4321258.1271717</v>
      </c>
      <c r="J243" s="178" t="str">
        <f>IF(I243&gt;0,H243/I243,0)</f>
      </c>
      <c r="K243" s="179" t="str">
        <f>1-EXP(-J243)</f>
      </c>
      <c r="L243" s="180" t="str">
        <f>IF(G243=30,1,M242)</f>
      </c>
      <c r="M243" s="181" t="str">
        <f>L243*(1-K243)</f>
      </c>
    </row>
    <row r="244">
      <c r="A244" t="s">
        <v>164</v>
      </c>
      <c r="B244" t="s">
        <v>115</v>
      </c>
      <c r="C244" s="32" t="s">
        <v>294</v>
      </c>
      <c r="D244" t="s">
        <v>378</v>
      </c>
      <c r="E244" t="s">
        <v>395</v>
      </c>
      <c r="F244" s="174" t="n">
        <v>2031</v>
      </c>
      <c r="G244" s="175" t="n">
        <v>32</v>
      </c>
      <c r="H244" s="176" t="n">
        <v>1151.38443334212</v>
      </c>
      <c r="I244" s="177" t="n">
        <v>4341803.79819047</v>
      </c>
      <c r="J244" s="178" t="str">
        <f>IF(I244&gt;0,H244/I244,0)</f>
      </c>
      <c r="K244" s="179" t="str">
        <f>1-EXP(-J244)</f>
      </c>
      <c r="L244" s="180" t="str">
        <f>IF(G244=30,1,M243)</f>
      </c>
      <c r="M244" s="181" t="str">
        <f>L244*(1-K244)</f>
      </c>
    </row>
    <row r="245">
      <c r="A245" t="s">
        <v>164</v>
      </c>
      <c r="B245" t="s">
        <v>115</v>
      </c>
      <c r="C245" s="32" t="s">
        <v>294</v>
      </c>
      <c r="D245" t="s">
        <v>378</v>
      </c>
      <c r="E245" t="s">
        <v>395</v>
      </c>
      <c r="F245" s="174" t="n">
        <v>2031</v>
      </c>
      <c r="G245" s="175" t="n">
        <v>33</v>
      </c>
      <c r="H245" s="176" t="n">
        <v>1235.54340594708</v>
      </c>
      <c r="I245" s="177" t="n">
        <v>4401744.57742629</v>
      </c>
      <c r="J245" s="178" t="str">
        <f>IF(I245&gt;0,H245/I245,0)</f>
      </c>
      <c r="K245" s="179" t="str">
        <f>1-EXP(-J245)</f>
      </c>
      <c r="L245" s="180" t="str">
        <f>IF(G245=30,1,M244)</f>
      </c>
      <c r="M245" s="181" t="str">
        <f>L245*(1-K245)</f>
      </c>
    </row>
    <row r="246">
      <c r="A246" t="s">
        <v>164</v>
      </c>
      <c r="B246" t="s">
        <v>115</v>
      </c>
      <c r="C246" s="32" t="s">
        <v>294</v>
      </c>
      <c r="D246" t="s">
        <v>378</v>
      </c>
      <c r="E246" t="s">
        <v>395</v>
      </c>
      <c r="F246" s="174" t="n">
        <v>2031</v>
      </c>
      <c r="G246" s="175" t="n">
        <v>34</v>
      </c>
      <c r="H246" s="176" t="n">
        <v>1561.24626246299</v>
      </c>
      <c r="I246" s="177" t="n">
        <v>4541983.46757569</v>
      </c>
      <c r="J246" s="178" t="str">
        <f>IF(I246&gt;0,H246/I246,0)</f>
      </c>
      <c r="K246" s="179" t="str">
        <f>1-EXP(-J246)</f>
      </c>
      <c r="L246" s="180" t="str">
        <f>IF(G246=30,1,M245)</f>
      </c>
      <c r="M246" s="181" t="str">
        <f>L246*(1-K246)</f>
      </c>
    </row>
    <row r="247">
      <c r="A247" t="s">
        <v>164</v>
      </c>
      <c r="B247" t="s">
        <v>115</v>
      </c>
      <c r="C247" s="32" t="s">
        <v>294</v>
      </c>
      <c r="D247" t="s">
        <v>378</v>
      </c>
      <c r="E247" t="s">
        <v>395</v>
      </c>
      <c r="F247" s="174" t="n">
        <v>2031</v>
      </c>
      <c r="G247" s="175" t="n">
        <v>35</v>
      </c>
      <c r="H247" s="176" t="n">
        <v>2093.22296957094</v>
      </c>
      <c r="I247" s="177" t="n">
        <v>4498872.17389495</v>
      </c>
      <c r="J247" s="178" t="str">
        <f>IF(I247&gt;0,H247/I247,0)</f>
      </c>
      <c r="K247" s="179" t="str">
        <f>1-EXP(-J247)</f>
      </c>
      <c r="L247" s="180" t="str">
        <f>IF(G247=30,1,M246)</f>
      </c>
      <c r="M247" s="181" t="str">
        <f>L247*(1-K247)</f>
      </c>
    </row>
    <row r="248">
      <c r="A248" t="s">
        <v>164</v>
      </c>
      <c r="B248" t="s">
        <v>115</v>
      </c>
      <c r="C248" s="32" t="s">
        <v>294</v>
      </c>
      <c r="D248" t="s">
        <v>378</v>
      </c>
      <c r="E248" t="s">
        <v>395</v>
      </c>
      <c r="F248" s="174" t="n">
        <v>2031</v>
      </c>
      <c r="G248" s="175" t="n">
        <v>36</v>
      </c>
      <c r="H248" s="176" t="n">
        <v>2193.7337364218</v>
      </c>
      <c r="I248" s="177" t="n">
        <v>4425059.45754301</v>
      </c>
      <c r="J248" s="178" t="str">
        <f>IF(I248&gt;0,H248/I248,0)</f>
      </c>
      <c r="K248" s="179" t="str">
        <f>1-EXP(-J248)</f>
      </c>
      <c r="L248" s="180" t="str">
        <f>IF(G248=30,1,M247)</f>
      </c>
      <c r="M248" s="181" t="str">
        <f>L248*(1-K248)</f>
      </c>
    </row>
    <row r="249">
      <c r="A249" t="s">
        <v>164</v>
      </c>
      <c r="B249" t="s">
        <v>115</v>
      </c>
      <c r="C249" s="32" t="s">
        <v>294</v>
      </c>
      <c r="D249" t="s">
        <v>378</v>
      </c>
      <c r="E249" t="s">
        <v>395</v>
      </c>
      <c r="F249" s="174" t="n">
        <v>2031</v>
      </c>
      <c r="G249" s="175" t="n">
        <v>37</v>
      </c>
      <c r="H249" s="176" t="n">
        <v>2323.2506406985</v>
      </c>
      <c r="I249" s="177" t="n">
        <v>4367403.44982293</v>
      </c>
      <c r="J249" s="178" t="str">
        <f>IF(I249&gt;0,H249/I249,0)</f>
      </c>
      <c r="K249" s="179" t="str">
        <f>1-EXP(-J249)</f>
      </c>
      <c r="L249" s="180" t="str">
        <f>IF(G249=30,1,M248)</f>
      </c>
      <c r="M249" s="181" t="str">
        <f>L249*(1-K249)</f>
      </c>
    </row>
    <row r="250">
      <c r="A250" t="s">
        <v>164</v>
      </c>
      <c r="B250" t="s">
        <v>115</v>
      </c>
      <c r="C250" s="32" t="s">
        <v>294</v>
      </c>
      <c r="D250" t="s">
        <v>378</v>
      </c>
      <c r="E250" t="s">
        <v>395</v>
      </c>
      <c r="F250" s="174" t="n">
        <v>2031</v>
      </c>
      <c r="G250" s="175" t="n">
        <v>38</v>
      </c>
      <c r="H250" s="176" t="n">
        <v>2467.0085887797</v>
      </c>
      <c r="I250" s="177" t="n">
        <v>4313275.87671315</v>
      </c>
      <c r="J250" s="178" t="str">
        <f>IF(I250&gt;0,H250/I250,0)</f>
      </c>
      <c r="K250" s="179" t="str">
        <f>1-EXP(-J250)</f>
      </c>
      <c r="L250" s="180" t="str">
        <f>IF(G250=30,1,M249)</f>
      </c>
      <c r="M250" s="181" t="str">
        <f>L250*(1-K250)</f>
      </c>
    </row>
    <row r="251">
      <c r="A251" t="s">
        <v>164</v>
      </c>
      <c r="B251" t="s">
        <v>115</v>
      </c>
      <c r="C251" s="32" t="s">
        <v>294</v>
      </c>
      <c r="D251" t="s">
        <v>378</v>
      </c>
      <c r="E251" t="s">
        <v>395</v>
      </c>
      <c r="F251" s="174" t="n">
        <v>2031</v>
      </c>
      <c r="G251" s="175" t="n">
        <v>39</v>
      </c>
      <c r="H251" s="176" t="n">
        <v>2677.67785127265</v>
      </c>
      <c r="I251" s="177" t="n">
        <v>4350290.03815734</v>
      </c>
      <c r="J251" s="178" t="str">
        <f>IF(I251&gt;0,H251/I251,0)</f>
      </c>
      <c r="K251" s="179" t="str">
        <f>1-EXP(-J251)</f>
      </c>
      <c r="L251" s="180" t="str">
        <f>IF(G251=30,1,M250)</f>
      </c>
      <c r="M251" s="181" t="str">
        <f>L251*(1-K251)</f>
      </c>
    </row>
    <row r="252">
      <c r="A252" t="s">
        <v>164</v>
      </c>
      <c r="B252" t="s">
        <v>115</v>
      </c>
      <c r="C252" s="32" t="s">
        <v>294</v>
      </c>
      <c r="D252" t="s">
        <v>378</v>
      </c>
      <c r="E252" t="s">
        <v>395</v>
      </c>
      <c r="F252" s="174" t="n">
        <v>2031</v>
      </c>
      <c r="G252" s="175" t="n">
        <v>40</v>
      </c>
      <c r="H252" s="176" t="n">
        <v>3616.38144884391</v>
      </c>
      <c r="I252" s="177" t="n">
        <v>4367541.24753402</v>
      </c>
      <c r="J252" s="178" t="str">
        <f>IF(I252&gt;0,H252/I252,0)</f>
      </c>
      <c r="K252" s="179" t="str">
        <f>1-EXP(-J252)</f>
      </c>
      <c r="L252" s="180" t="str">
        <f>IF(G252=30,1,M251)</f>
      </c>
      <c r="M252" s="181" t="str">
        <f>L252*(1-K252)</f>
      </c>
    </row>
    <row r="253">
      <c r="A253" t="s">
        <v>164</v>
      </c>
      <c r="B253" t="s">
        <v>115</v>
      </c>
      <c r="C253" s="32" t="s">
        <v>294</v>
      </c>
      <c r="D253" t="s">
        <v>378</v>
      </c>
      <c r="E253" t="s">
        <v>395</v>
      </c>
      <c r="F253" s="174" t="n">
        <v>2031</v>
      </c>
      <c r="G253" s="175" t="n">
        <v>41</v>
      </c>
      <c r="H253" s="176" t="n">
        <v>5467.0703505278</v>
      </c>
      <c r="I253" s="177" t="n">
        <v>6429581.75208285</v>
      </c>
      <c r="J253" s="178" t="str">
        <f>IF(I253&gt;0,H253/I253,0)</f>
      </c>
      <c r="K253" s="179" t="str">
        <f>1-EXP(-J253)</f>
      </c>
      <c r="L253" s="180" t="str">
        <f>IF(G253=30,1,M252)</f>
      </c>
      <c r="M253" s="181" t="str">
        <f>L253*(1-K253)</f>
      </c>
    </row>
    <row r="254">
      <c r="A254" t="s">
        <v>164</v>
      </c>
      <c r="B254" t="s">
        <v>115</v>
      </c>
      <c r="C254" s="32" t="s">
        <v>294</v>
      </c>
      <c r="D254" t="s">
        <v>378</v>
      </c>
      <c r="E254" t="s">
        <v>395</v>
      </c>
      <c r="F254" s="174" t="n">
        <v>2031</v>
      </c>
      <c r="G254" s="175" t="n">
        <v>42</v>
      </c>
      <c r="H254" s="176" t="n">
        <v>4187.06813408808</v>
      </c>
      <c r="I254" s="177" t="n">
        <v>4323644.67271519</v>
      </c>
      <c r="J254" s="178" t="str">
        <f>IF(I254&gt;0,H254/I254,0)</f>
      </c>
      <c r="K254" s="179" t="str">
        <f>1-EXP(-J254)</f>
      </c>
      <c r="L254" s="180" t="str">
        <f>IF(G254=30,1,M253)</f>
      </c>
      <c r="M254" s="181" t="str">
        <f>L254*(1-K254)</f>
      </c>
    </row>
    <row r="255">
      <c r="A255" t="s">
        <v>164</v>
      </c>
      <c r="B255" t="s">
        <v>115</v>
      </c>
      <c r="C255" s="32" t="s">
        <v>294</v>
      </c>
      <c r="D255" t="s">
        <v>378</v>
      </c>
      <c r="E255" t="s">
        <v>395</v>
      </c>
      <c r="F255" s="174" t="n">
        <v>2031</v>
      </c>
      <c r="G255" s="175" t="n">
        <v>43</v>
      </c>
      <c r="H255" s="176" t="n">
        <v>4538.74086044909</v>
      </c>
      <c r="I255" s="177" t="n">
        <v>4305918.14048332</v>
      </c>
      <c r="J255" s="178" t="str">
        <f>IF(I255&gt;0,H255/I255,0)</f>
      </c>
      <c r="K255" s="179" t="str">
        <f>1-EXP(-J255)</f>
      </c>
      <c r="L255" s="180" t="str">
        <f>IF(G255=30,1,M254)</f>
      </c>
      <c r="M255" s="181" t="str">
        <f>L255*(1-K255)</f>
      </c>
    </row>
    <row r="256">
      <c r="A256" t="s">
        <v>164</v>
      </c>
      <c r="B256" t="s">
        <v>115</v>
      </c>
      <c r="C256" s="32" t="s">
        <v>294</v>
      </c>
      <c r="D256" t="s">
        <v>378</v>
      </c>
      <c r="E256" t="s">
        <v>395</v>
      </c>
      <c r="F256" s="174" t="n">
        <v>2031</v>
      </c>
      <c r="G256" s="175" t="n">
        <v>44</v>
      </c>
      <c r="H256" s="176" t="n">
        <v>4802.93615833453</v>
      </c>
      <c r="I256" s="177" t="n">
        <v>4172869.96927045</v>
      </c>
      <c r="J256" s="178" t="str">
        <f>IF(I256&gt;0,H256/I256,0)</f>
      </c>
      <c r="K256" s="179" t="str">
        <f>1-EXP(-J256)</f>
      </c>
      <c r="L256" s="180" t="str">
        <f>IF(G256=30,1,M255)</f>
      </c>
      <c r="M256" s="181" t="str">
        <f>L256*(1-K256)</f>
      </c>
    </row>
    <row r="257">
      <c r="A257" t="s">
        <v>164</v>
      </c>
      <c r="B257" t="s">
        <v>115</v>
      </c>
      <c r="C257" s="32" t="s">
        <v>294</v>
      </c>
      <c r="D257" t="s">
        <v>378</v>
      </c>
      <c r="E257" t="s">
        <v>395</v>
      </c>
      <c r="F257" s="174" t="n">
        <v>2031</v>
      </c>
      <c r="G257" s="175" t="n">
        <v>45</v>
      </c>
      <c r="H257" s="176" t="n">
        <v>6155.81407229852</v>
      </c>
      <c r="I257" s="177" t="n">
        <v>4137054.82299394</v>
      </c>
      <c r="J257" s="178" t="str">
        <f>IF(I257&gt;0,H257/I257,0)</f>
      </c>
      <c r="K257" s="179" t="str">
        <f>1-EXP(-J257)</f>
      </c>
      <c r="L257" s="180" t="str">
        <f>IF(G257=30,1,M256)</f>
      </c>
      <c r="M257" s="181" t="str">
        <f>L257*(1-K257)</f>
      </c>
    </row>
    <row r="258">
      <c r="A258" t="s">
        <v>164</v>
      </c>
      <c r="B258" t="s">
        <v>115</v>
      </c>
      <c r="C258" s="32" t="s">
        <v>294</v>
      </c>
      <c r="D258" t="s">
        <v>378</v>
      </c>
      <c r="E258" t="s">
        <v>395</v>
      </c>
      <c r="F258" s="174" t="n">
        <v>2031</v>
      </c>
      <c r="G258" s="175" t="n">
        <v>46</v>
      </c>
      <c r="H258" s="176" t="n">
        <v>6814.6978116479</v>
      </c>
      <c r="I258" s="177" t="n">
        <v>4193236.86929171</v>
      </c>
      <c r="J258" s="178" t="str">
        <f>IF(I258&gt;0,H258/I258,0)</f>
      </c>
      <c r="K258" s="179" t="str">
        <f>1-EXP(-J258)</f>
      </c>
      <c r="L258" s="180" t="str">
        <f>IF(G258=30,1,M257)</f>
      </c>
      <c r="M258" s="181" t="str">
        <f>L258*(1-K258)</f>
      </c>
    </row>
    <row r="259">
      <c r="A259" t="s">
        <v>164</v>
      </c>
      <c r="B259" t="s">
        <v>115</v>
      </c>
      <c r="C259" s="32" t="s">
        <v>294</v>
      </c>
      <c r="D259" t="s">
        <v>378</v>
      </c>
      <c r="E259" t="s">
        <v>395</v>
      </c>
      <c r="F259" s="174" t="n">
        <v>2031</v>
      </c>
      <c r="G259" s="175" t="n">
        <v>47</v>
      </c>
      <c r="H259" s="176" t="n">
        <v>7618.19076674871</v>
      </c>
      <c r="I259" s="177" t="n">
        <v>4275060.80039097</v>
      </c>
      <c r="J259" s="178" t="str">
        <f>IF(I259&gt;0,H259/I259,0)</f>
      </c>
      <c r="K259" s="179" t="str">
        <f>1-EXP(-J259)</f>
      </c>
      <c r="L259" s="180" t="str">
        <f>IF(G259=30,1,M258)</f>
      </c>
      <c r="M259" s="181" t="str">
        <f>L259*(1-K259)</f>
      </c>
    </row>
    <row r="260">
      <c r="A260" t="s">
        <v>164</v>
      </c>
      <c r="B260" t="s">
        <v>115</v>
      </c>
      <c r="C260" s="32" t="s">
        <v>294</v>
      </c>
      <c r="D260" t="s">
        <v>378</v>
      </c>
      <c r="E260" t="s">
        <v>395</v>
      </c>
      <c r="F260" s="174" t="n">
        <v>2031</v>
      </c>
      <c r="G260" s="175" t="n">
        <v>48</v>
      </c>
      <c r="H260" s="176" t="n">
        <v>8299.09693945864</v>
      </c>
      <c r="I260" s="177" t="n">
        <v>4248249.12507604</v>
      </c>
      <c r="J260" s="178" t="str">
        <f>IF(I260&gt;0,H260/I260,0)</f>
      </c>
      <c r="K260" s="179" t="str">
        <f>1-EXP(-J260)</f>
      </c>
      <c r="L260" s="180" t="str">
        <f>IF(G260=30,1,M259)</f>
      </c>
      <c r="M260" s="181" t="str">
        <f>L260*(1-K260)</f>
      </c>
    </row>
    <row r="261">
      <c r="A261" t="s">
        <v>164</v>
      </c>
      <c r="B261" t="s">
        <v>115</v>
      </c>
      <c r="C261" s="32" t="s">
        <v>294</v>
      </c>
      <c r="D261" t="s">
        <v>378</v>
      </c>
      <c r="E261" t="s">
        <v>395</v>
      </c>
      <c r="F261" s="174" t="n">
        <v>2031</v>
      </c>
      <c r="G261" s="175" t="n">
        <v>49</v>
      </c>
      <c r="H261" s="176" t="n">
        <v>8801.52341704146</v>
      </c>
      <c r="I261" s="177" t="n">
        <v>4109517.13706835</v>
      </c>
      <c r="J261" s="178" t="str">
        <f>IF(I261&gt;0,H261/I261,0)</f>
      </c>
      <c r="K261" s="179" t="str">
        <f>1-EXP(-J261)</f>
      </c>
      <c r="L261" s="180" t="str">
        <f>IF(G261=30,1,M260)</f>
      </c>
      <c r="M261" s="181" t="str">
        <f>L261*(1-K261)</f>
      </c>
    </row>
    <row r="262">
      <c r="A262" t="s">
        <v>164</v>
      </c>
      <c r="B262" t="s">
        <v>115</v>
      </c>
      <c r="C262" s="32" t="s">
        <v>294</v>
      </c>
      <c r="D262" t="s">
        <v>378</v>
      </c>
      <c r="E262" t="s">
        <v>395</v>
      </c>
      <c r="F262" s="174" t="n">
        <v>2031</v>
      </c>
      <c r="G262" s="175" t="n">
        <v>50</v>
      </c>
      <c r="H262" s="176" t="n">
        <v>10046.6206065223</v>
      </c>
      <c r="I262" s="177" t="n">
        <v>4032550.97692347</v>
      </c>
      <c r="J262" s="178" t="str">
        <f>IF(I262&gt;0,H262/I262,0)</f>
      </c>
      <c r="K262" s="179" t="str">
        <f>1-EXP(-J262)</f>
      </c>
      <c r="L262" s="180" t="str">
        <f>IF(G262=30,1,M261)</f>
      </c>
      <c r="M262" s="181" t="str">
        <f>L262*(1-K262)</f>
      </c>
    </row>
    <row r="263">
      <c r="A263" t="s">
        <v>164</v>
      </c>
      <c r="B263" t="s">
        <v>115</v>
      </c>
      <c r="C263" s="32" t="s">
        <v>294</v>
      </c>
      <c r="D263" t="s">
        <v>378</v>
      </c>
      <c r="E263" t="s">
        <v>395</v>
      </c>
      <c r="F263" s="174" t="n">
        <v>2031</v>
      </c>
      <c r="G263" s="175" t="n">
        <v>51</v>
      </c>
      <c r="H263" s="176" t="n">
        <v>10784.1416187236</v>
      </c>
      <c r="I263" s="177" t="n">
        <v>3970203.51109855</v>
      </c>
      <c r="J263" s="178" t="str">
        <f>IF(I263&gt;0,H263/I263,0)</f>
      </c>
      <c r="K263" s="179" t="str">
        <f>1-EXP(-J263)</f>
      </c>
      <c r="L263" s="180" t="str">
        <f>IF(G263=30,1,M262)</f>
      </c>
      <c r="M263" s="181" t="str">
        <f>L263*(1-K263)</f>
      </c>
    </row>
    <row r="264">
      <c r="A264" t="s">
        <v>164</v>
      </c>
      <c r="B264" t="s">
        <v>115</v>
      </c>
      <c r="C264" s="32" t="s">
        <v>294</v>
      </c>
      <c r="D264" t="s">
        <v>378</v>
      </c>
      <c r="E264" t="s">
        <v>395</v>
      </c>
      <c r="F264" s="174" t="n">
        <v>2031</v>
      </c>
      <c r="G264" s="175" t="n">
        <v>52</v>
      </c>
      <c r="H264" s="176" t="n">
        <v>11587.4955669781</v>
      </c>
      <c r="I264" s="177" t="n">
        <v>3903055.50311787</v>
      </c>
      <c r="J264" s="178" t="str">
        <f>IF(I264&gt;0,H264/I264,0)</f>
      </c>
      <c r="K264" s="179" t="str">
        <f>1-EXP(-J264)</f>
      </c>
      <c r="L264" s="180" t="str">
        <f>IF(G264=30,1,M263)</f>
      </c>
      <c r="M264" s="181" t="str">
        <f>L264*(1-K264)</f>
      </c>
    </row>
    <row r="265">
      <c r="A265" t="s">
        <v>164</v>
      </c>
      <c r="B265" t="s">
        <v>115</v>
      </c>
      <c r="C265" s="32" t="s">
        <v>294</v>
      </c>
      <c r="D265" t="s">
        <v>378</v>
      </c>
      <c r="E265" t="s">
        <v>395</v>
      </c>
      <c r="F265" s="174" t="n">
        <v>2031</v>
      </c>
      <c r="G265" s="175" t="n">
        <v>53</v>
      </c>
      <c r="H265" s="176" t="n">
        <v>12380.4524519521</v>
      </c>
      <c r="I265" s="177" t="n">
        <v>3816452.6999717</v>
      </c>
      <c r="J265" s="178" t="str">
        <f>IF(I265&gt;0,H265/I265,0)</f>
      </c>
      <c r="K265" s="179" t="str">
        <f>1-EXP(-J265)</f>
      </c>
      <c r="L265" s="180" t="str">
        <f>IF(G265=30,1,M264)</f>
      </c>
      <c r="M265" s="181" t="str">
        <f>L265*(1-K265)</f>
      </c>
    </row>
    <row r="266">
      <c r="A266" t="s">
        <v>164</v>
      </c>
      <c r="B266" t="s">
        <v>115</v>
      </c>
      <c r="C266" s="32" t="s">
        <v>294</v>
      </c>
      <c r="D266" t="s">
        <v>378</v>
      </c>
      <c r="E266" t="s">
        <v>395</v>
      </c>
      <c r="F266" s="174" t="n">
        <v>2031</v>
      </c>
      <c r="G266" s="175" t="n">
        <v>54</v>
      </c>
      <c r="H266" s="176" t="n">
        <v>13292.8451563504</v>
      </c>
      <c r="I266" s="177" t="n">
        <v>3746448.17876907</v>
      </c>
      <c r="J266" s="178" t="str">
        <f>IF(I266&gt;0,H266/I266,0)</f>
      </c>
      <c r="K266" s="179" t="str">
        <f>1-EXP(-J266)</f>
      </c>
      <c r="L266" s="180" t="str">
        <f>IF(G266=30,1,M265)</f>
      </c>
      <c r="M266" s="181" t="str">
        <f>L266*(1-K266)</f>
      </c>
    </row>
    <row r="267">
      <c r="A267" t="s">
        <v>164</v>
      </c>
      <c r="B267" t="s">
        <v>115</v>
      </c>
      <c r="C267" s="32" t="s">
        <v>294</v>
      </c>
      <c r="D267" t="s">
        <v>378</v>
      </c>
      <c r="E267" t="s">
        <v>395</v>
      </c>
      <c r="F267" s="174" t="n">
        <v>2031</v>
      </c>
      <c r="G267" s="175" t="n">
        <v>55</v>
      </c>
      <c r="H267" s="176" t="n">
        <v>14319.4385746827</v>
      </c>
      <c r="I267" s="177" t="n">
        <v>3664517.36510161</v>
      </c>
      <c r="J267" s="178" t="str">
        <f>IF(I267&gt;0,H267/I267,0)</f>
      </c>
      <c r="K267" s="179" t="str">
        <f>1-EXP(-J267)</f>
      </c>
      <c r="L267" s="180" t="str">
        <f>IF(G267=30,1,M266)</f>
      </c>
      <c r="M267" s="181" t="str">
        <f>L267*(1-K267)</f>
      </c>
    </row>
    <row r="268">
      <c r="A268" t="s">
        <v>164</v>
      </c>
      <c r="B268" t="s">
        <v>115</v>
      </c>
      <c r="C268" s="32" t="s">
        <v>294</v>
      </c>
      <c r="D268" t="s">
        <v>378</v>
      </c>
      <c r="E268" t="s">
        <v>395</v>
      </c>
      <c r="F268" s="174" t="n">
        <v>2031</v>
      </c>
      <c r="G268" s="175" t="n">
        <v>56</v>
      </c>
      <c r="H268" s="176" t="n">
        <v>15249.2374255026</v>
      </c>
      <c r="I268" s="177" t="n">
        <v>3581152.9147455</v>
      </c>
      <c r="J268" s="178" t="str">
        <f>IF(I268&gt;0,H268/I268,0)</f>
      </c>
      <c r="K268" s="179" t="str">
        <f>1-EXP(-J268)</f>
      </c>
      <c r="L268" s="180" t="str">
        <f>IF(G268=30,1,M267)</f>
      </c>
      <c r="M268" s="181" t="str">
        <f>L268*(1-K268)</f>
      </c>
    </row>
    <row r="269">
      <c r="A269" t="s">
        <v>164</v>
      </c>
      <c r="B269" t="s">
        <v>115</v>
      </c>
      <c r="C269" s="32" t="s">
        <v>294</v>
      </c>
      <c r="D269" t="s">
        <v>378</v>
      </c>
      <c r="E269" t="s">
        <v>395</v>
      </c>
      <c r="F269" s="174" t="n">
        <v>2031</v>
      </c>
      <c r="G269" s="175" t="n">
        <v>57</v>
      </c>
      <c r="H269" s="176" t="n">
        <v>16152.0043228118</v>
      </c>
      <c r="I269" s="177" t="n">
        <v>3470961.30820569</v>
      </c>
      <c r="J269" s="178" t="str">
        <f>IF(I269&gt;0,H269/I269,0)</f>
      </c>
      <c r="K269" s="179" t="str">
        <f>1-EXP(-J269)</f>
      </c>
      <c r="L269" s="180" t="str">
        <f>IF(G269=30,1,M268)</f>
      </c>
      <c r="M269" s="181" t="str">
        <f>L269*(1-K269)</f>
      </c>
    </row>
    <row r="270">
      <c r="A270" t="s">
        <v>164</v>
      </c>
      <c r="B270" t="s">
        <v>115</v>
      </c>
      <c r="C270" s="32" t="s">
        <v>294</v>
      </c>
      <c r="D270" t="s">
        <v>378</v>
      </c>
      <c r="E270" t="s">
        <v>395</v>
      </c>
      <c r="F270" s="174" t="n">
        <v>2031</v>
      </c>
      <c r="G270" s="175" t="n">
        <v>58</v>
      </c>
      <c r="H270" s="176" t="n">
        <v>17394.7552673804</v>
      </c>
      <c r="I270" s="177" t="n">
        <v>3419289.58325301</v>
      </c>
      <c r="J270" s="178" t="str">
        <f>IF(I270&gt;0,H270/I270,0)</f>
      </c>
      <c r="K270" s="179" t="str">
        <f>1-EXP(-J270)</f>
      </c>
      <c r="L270" s="180" t="str">
        <f>IF(G270=30,1,M269)</f>
      </c>
      <c r="M270" s="181" t="str">
        <f>L270*(1-K270)</f>
      </c>
    </row>
    <row r="271">
      <c r="A271" t="s">
        <v>164</v>
      </c>
      <c r="B271" t="s">
        <v>115</v>
      </c>
      <c r="C271" s="32" t="s">
        <v>294</v>
      </c>
      <c r="D271" t="s">
        <v>378</v>
      </c>
      <c r="E271" t="s">
        <v>395</v>
      </c>
      <c r="F271" s="174" t="n">
        <v>2031</v>
      </c>
      <c r="G271" s="175" t="n">
        <v>59</v>
      </c>
      <c r="H271" s="176" t="n">
        <v>17868.3921462724</v>
      </c>
      <c r="I271" s="177" t="n">
        <v>3207497.26214983</v>
      </c>
      <c r="J271" s="178" t="str">
        <f>IF(I271&gt;0,H271/I271,0)</f>
      </c>
      <c r="K271" s="179" t="str">
        <f>1-EXP(-J271)</f>
      </c>
      <c r="L271" s="180" t="str">
        <f>IF(G271=30,1,M270)</f>
      </c>
      <c r="M271" s="181" t="str">
        <f>L271*(1-K271)</f>
      </c>
    </row>
    <row r="272">
      <c r="A272" t="s">
        <v>164</v>
      </c>
      <c r="B272" t="s">
        <v>115</v>
      </c>
      <c r="C272" s="32" t="s">
        <v>294</v>
      </c>
      <c r="D272" t="s">
        <v>378</v>
      </c>
      <c r="E272" t="s">
        <v>395</v>
      </c>
      <c r="F272" s="174" t="n">
        <v>2031</v>
      </c>
      <c r="G272" s="175" t="n">
        <v>60</v>
      </c>
      <c r="H272" s="176" t="n">
        <v>19284.4238683927</v>
      </c>
      <c r="I272" s="177" t="n">
        <v>3114048.2738578</v>
      </c>
      <c r="J272" s="178" t="str">
        <f>IF(I272&gt;0,H272/I272,0)</f>
      </c>
      <c r="K272" s="179" t="str">
        <f>1-EXP(-J272)</f>
      </c>
      <c r="L272" s="180" t="str">
        <f>IF(G272=30,1,M271)</f>
      </c>
      <c r="M272" s="181" t="str">
        <f>L272*(1-K272)</f>
      </c>
    </row>
    <row r="273">
      <c r="A273" t="s">
        <v>164</v>
      </c>
      <c r="B273" t="s">
        <v>115</v>
      </c>
      <c r="C273" s="32" t="s">
        <v>294</v>
      </c>
      <c r="D273" t="s">
        <v>378</v>
      </c>
      <c r="E273" t="s">
        <v>395</v>
      </c>
      <c r="F273" s="174" t="n">
        <v>2031</v>
      </c>
      <c r="G273" s="175" t="n">
        <v>61</v>
      </c>
      <c r="H273" s="176" t="n">
        <v>20449.9801813919</v>
      </c>
      <c r="I273" s="177" t="n">
        <v>3023957.97869876</v>
      </c>
      <c r="J273" s="178" t="str">
        <f>IF(I273&gt;0,H273/I273,0)</f>
      </c>
      <c r="K273" s="179" t="str">
        <f>1-EXP(-J273)</f>
      </c>
      <c r="L273" s="180" t="str">
        <f>IF(G273=30,1,M272)</f>
      </c>
      <c r="M273" s="181" t="str">
        <f>L273*(1-K273)</f>
      </c>
    </row>
    <row r="274">
      <c r="A274" t="s">
        <v>164</v>
      </c>
      <c r="B274" t="s">
        <v>115</v>
      </c>
      <c r="C274" s="32" t="s">
        <v>294</v>
      </c>
      <c r="D274" t="s">
        <v>378</v>
      </c>
      <c r="E274" t="s">
        <v>395</v>
      </c>
      <c r="F274" s="174" t="n">
        <v>2031</v>
      </c>
      <c r="G274" s="175" t="n">
        <v>62</v>
      </c>
      <c r="H274" s="176" t="n">
        <v>21659.1519569754</v>
      </c>
      <c r="I274" s="177" t="n">
        <v>2925141.62005563</v>
      </c>
      <c r="J274" s="178" t="str">
        <f>IF(I274&gt;0,H274/I274,0)</f>
      </c>
      <c r="K274" s="179" t="str">
        <f>1-EXP(-J274)</f>
      </c>
      <c r="L274" s="180" t="str">
        <f>IF(G274=30,1,M273)</f>
      </c>
      <c r="M274" s="181" t="str">
        <f>L274*(1-K274)</f>
      </c>
    </row>
    <row r="275">
      <c r="A275" t="s">
        <v>164</v>
      </c>
      <c r="B275" t="s">
        <v>115</v>
      </c>
      <c r="C275" s="32" t="s">
        <v>294</v>
      </c>
      <c r="D275" t="s">
        <v>378</v>
      </c>
      <c r="E275" t="s">
        <v>395</v>
      </c>
      <c r="F275" s="174" t="n">
        <v>2031</v>
      </c>
      <c r="G275" s="175" t="n">
        <v>63</v>
      </c>
      <c r="H275" s="176" t="n">
        <v>22765.1929490781</v>
      </c>
      <c r="I275" s="177" t="n">
        <v>2807026.45004701</v>
      </c>
      <c r="J275" s="178" t="str">
        <f>IF(I275&gt;0,H275/I275,0)</f>
      </c>
      <c r="K275" s="179" t="str">
        <f>1-EXP(-J275)</f>
      </c>
      <c r="L275" s="180" t="str">
        <f>IF(G275=30,1,M274)</f>
      </c>
      <c r="M275" s="181" t="str">
        <f>L275*(1-K275)</f>
      </c>
    </row>
    <row r="276">
      <c r="A276" t="s">
        <v>164</v>
      </c>
      <c r="B276" t="s">
        <v>115</v>
      </c>
      <c r="C276" s="32" t="s">
        <v>294</v>
      </c>
      <c r="D276" t="s">
        <v>378</v>
      </c>
      <c r="E276" t="s">
        <v>395</v>
      </c>
      <c r="F276" s="174" t="n">
        <v>2031</v>
      </c>
      <c r="G276" s="175" t="n">
        <v>64</v>
      </c>
      <c r="H276" s="176" t="n">
        <v>23650.3674888659</v>
      </c>
      <c r="I276" s="177" t="n">
        <v>2658878.82643464</v>
      </c>
      <c r="J276" s="178" t="str">
        <f>IF(I276&gt;0,H276/I276,0)</f>
      </c>
      <c r="K276" s="179" t="str">
        <f>1-EXP(-J276)</f>
      </c>
      <c r="L276" s="180" t="str">
        <f>IF(G276=30,1,M275)</f>
      </c>
      <c r="M276" s="181" t="str">
        <f>L276*(1-K276)</f>
      </c>
    </row>
    <row r="277">
      <c r="A277" t="s">
        <v>164</v>
      </c>
      <c r="B277" t="s">
        <v>115</v>
      </c>
      <c r="C277" s="32" t="s">
        <v>294</v>
      </c>
      <c r="D277" t="s">
        <v>378</v>
      </c>
      <c r="E277" t="s">
        <v>395</v>
      </c>
      <c r="F277" s="174" t="n">
        <v>2031</v>
      </c>
      <c r="G277" s="175" t="n">
        <v>65</v>
      </c>
      <c r="H277" s="176" t="n">
        <v>24063.4410607366</v>
      </c>
      <c r="I277" s="177" t="n">
        <v>2545588.77833432</v>
      </c>
      <c r="J277" s="178" t="str">
        <f>IF(I277&gt;0,H277/I277,0)</f>
      </c>
      <c r="K277" s="179" t="str">
        <f>1-EXP(-J277)</f>
      </c>
      <c r="L277" s="180" t="str">
        <f>IF(G277=30,1,M276)</f>
      </c>
      <c r="M277" s="181" t="str">
        <f>L277*(1-K277)</f>
      </c>
    </row>
    <row r="278">
      <c r="A278" t="s">
        <v>164</v>
      </c>
      <c r="B278" t="s">
        <v>115</v>
      </c>
      <c r="C278" s="32" t="s">
        <v>294</v>
      </c>
      <c r="D278" t="s">
        <v>378</v>
      </c>
      <c r="E278" t="s">
        <v>395</v>
      </c>
      <c r="F278" s="174" t="n">
        <v>2031</v>
      </c>
      <c r="G278" s="175" t="n">
        <v>66</v>
      </c>
      <c r="H278" s="176" t="n">
        <v>24958.3195185212</v>
      </c>
      <c r="I278" s="177" t="n">
        <v>2412014.83489248</v>
      </c>
      <c r="J278" s="178" t="str">
        <f>IF(I278&gt;0,H278/I278,0)</f>
      </c>
      <c r="K278" s="179" t="str">
        <f>1-EXP(-J278)</f>
      </c>
      <c r="L278" s="180" t="str">
        <f>IF(G278=30,1,M277)</f>
      </c>
      <c r="M278" s="181" t="str">
        <f>L278*(1-K278)</f>
      </c>
    </row>
    <row r="279">
      <c r="A279" t="s">
        <v>164</v>
      </c>
      <c r="B279" t="s">
        <v>115</v>
      </c>
      <c r="C279" s="32" t="s">
        <v>294</v>
      </c>
      <c r="D279" t="s">
        <v>378</v>
      </c>
      <c r="E279" t="s">
        <v>395</v>
      </c>
      <c r="F279" s="174" t="n">
        <v>2031</v>
      </c>
      <c r="G279" s="175" t="n">
        <v>67</v>
      </c>
      <c r="H279" s="176" t="n">
        <v>25869.4063312419</v>
      </c>
      <c r="I279" s="177" t="n">
        <v>2278532.43823217</v>
      </c>
      <c r="J279" s="178" t="str">
        <f>IF(I279&gt;0,H279/I279,0)</f>
      </c>
      <c r="K279" s="179" t="str">
        <f>1-EXP(-J279)</f>
      </c>
      <c r="L279" s="180" t="str">
        <f>IF(G279=30,1,M278)</f>
      </c>
      <c r="M279" s="181" t="str">
        <f>L279*(1-K279)</f>
      </c>
    </row>
    <row r="280">
      <c r="A280" t="s">
        <v>164</v>
      </c>
      <c r="B280" t="s">
        <v>115</v>
      </c>
      <c r="C280" s="32" t="s">
        <v>294</v>
      </c>
      <c r="D280" t="s">
        <v>378</v>
      </c>
      <c r="E280" t="s">
        <v>395</v>
      </c>
      <c r="F280" s="174" t="n">
        <v>2031</v>
      </c>
      <c r="G280" s="175" t="n">
        <v>68</v>
      </c>
      <c r="H280" s="176" t="n">
        <v>26796.0701235629</v>
      </c>
      <c r="I280" s="177" t="n">
        <v>2149776.07849541</v>
      </c>
      <c r="J280" s="178" t="str">
        <f>IF(I280&gt;0,H280/I280,0)</f>
      </c>
      <c r="K280" s="179" t="str">
        <f>1-EXP(-J280)</f>
      </c>
      <c r="L280" s="180" t="str">
        <f>IF(G280=30,1,M279)</f>
      </c>
      <c r="M280" s="181" t="str">
        <f>L280*(1-K280)</f>
      </c>
    </row>
    <row r="281">
      <c r="A281" t="s">
        <v>164</v>
      </c>
      <c r="B281" t="s">
        <v>115</v>
      </c>
      <c r="C281" s="32" t="s">
        <v>294</v>
      </c>
      <c r="D281" t="s">
        <v>378</v>
      </c>
      <c r="E281" t="s">
        <v>395</v>
      </c>
      <c r="F281" s="174" t="n">
        <v>2031</v>
      </c>
      <c r="G281" s="175" t="n">
        <v>69</v>
      </c>
      <c r="H281" s="176" t="n">
        <v>27440.3943254593</v>
      </c>
      <c r="I281" s="177" t="n">
        <v>1997187.49798768</v>
      </c>
      <c r="J281" s="178" t="str">
        <f>IF(I281&gt;0,H281/I281,0)</f>
      </c>
      <c r="K281" s="179" t="str">
        <f>1-EXP(-J281)</f>
      </c>
      <c r="L281" s="180" t="str">
        <f>IF(G281=30,1,M280)</f>
      </c>
      <c r="M281" s="181" t="str">
        <f>L281*(1-K281)</f>
      </c>
    </row>
    <row r="282">
      <c r="A282" t="s">
        <v>164</v>
      </c>
      <c r="B282" t="s">
        <v>115</v>
      </c>
      <c r="C282" s="32" t="s">
        <v>294</v>
      </c>
      <c r="D282" t="s">
        <v>378</v>
      </c>
      <c r="E282" t="s">
        <v>395</v>
      </c>
      <c r="F282" s="174" t="n">
        <v>2032</v>
      </c>
      <c r="G282" s="175" t="n">
        <v>30</v>
      </c>
      <c r="H282" s="176" t="n">
        <v>960.813142162705</v>
      </c>
      <c r="I282" s="177" t="n">
        <v>4354850.51064009</v>
      </c>
      <c r="J282" s="178" t="str">
        <f>IF(I282&gt;0,H282/I282,0)</f>
      </c>
      <c r="K282" s="179" t="str">
        <f>1-EXP(-J282)</f>
      </c>
      <c r="L282" s="180" t="str">
        <f>IF(G282=30,1,M281)</f>
      </c>
      <c r="M282" s="181" t="str">
        <f>L282*(1-K282)</f>
      </c>
    </row>
    <row r="283">
      <c r="A283" t="s">
        <v>164</v>
      </c>
      <c r="B283" t="s">
        <v>115</v>
      </c>
      <c r="C283" s="32" t="s">
        <v>294</v>
      </c>
      <c r="D283" t="s">
        <v>378</v>
      </c>
      <c r="E283" t="s">
        <v>395</v>
      </c>
      <c r="F283" s="174" t="n">
        <v>2032</v>
      </c>
      <c r="G283" s="175" t="n">
        <v>31</v>
      </c>
      <c r="H283" s="176" t="n">
        <v>1093.23818204919</v>
      </c>
      <c r="I283" s="177" t="n">
        <v>4335141.22129194</v>
      </c>
      <c r="J283" s="178" t="str">
        <f>IF(I283&gt;0,H283/I283,0)</f>
      </c>
      <c r="K283" s="179" t="str">
        <f>1-EXP(-J283)</f>
      </c>
      <c r="L283" s="180" t="str">
        <f>IF(G283=30,1,M282)</f>
      </c>
      <c r="M283" s="181" t="str">
        <f>L283*(1-K283)</f>
      </c>
    </row>
    <row r="284">
      <c r="A284" t="s">
        <v>164</v>
      </c>
      <c r="B284" t="s">
        <v>115</v>
      </c>
      <c r="C284" s="32" t="s">
        <v>294</v>
      </c>
      <c r="D284" t="s">
        <v>378</v>
      </c>
      <c r="E284" t="s">
        <v>395</v>
      </c>
      <c r="F284" s="174" t="n">
        <v>2032</v>
      </c>
      <c r="G284" s="175" t="n">
        <v>32</v>
      </c>
      <c r="H284" s="176" t="n">
        <v>1143.77520433749</v>
      </c>
      <c r="I284" s="177" t="n">
        <v>4315576.78969892</v>
      </c>
      <c r="J284" s="178" t="str">
        <f>IF(I284&gt;0,H284/I284,0)</f>
      </c>
      <c r="K284" s="179" t="str">
        <f>1-EXP(-J284)</f>
      </c>
      <c r="L284" s="180" t="str">
        <f>IF(G284=30,1,M283)</f>
      </c>
      <c r="M284" s="181" t="str">
        <f>L284*(1-K284)</f>
      </c>
    </row>
    <row r="285">
      <c r="A285" t="s">
        <v>164</v>
      </c>
      <c r="B285" t="s">
        <v>115</v>
      </c>
      <c r="C285" s="32" t="s">
        <v>294</v>
      </c>
      <c r="D285" t="s">
        <v>378</v>
      </c>
      <c r="E285" t="s">
        <v>395</v>
      </c>
      <c r="F285" s="174" t="n">
        <v>2032</v>
      </c>
      <c r="G285" s="175" t="n">
        <v>33</v>
      </c>
      <c r="H285" s="176" t="n">
        <v>1215.43796168787</v>
      </c>
      <c r="I285" s="177" t="n">
        <v>4335853.90532638</v>
      </c>
      <c r="J285" s="178" t="str">
        <f>IF(I285&gt;0,H285/I285,0)</f>
      </c>
      <c r="K285" s="179" t="str">
        <f>1-EXP(-J285)</f>
      </c>
      <c r="L285" s="180" t="str">
        <f>IF(G285=30,1,M284)</f>
      </c>
      <c r="M285" s="181" t="str">
        <f>L285*(1-K285)</f>
      </c>
    </row>
    <row r="286">
      <c r="A286" t="s">
        <v>164</v>
      </c>
      <c r="B286" t="s">
        <v>115</v>
      </c>
      <c r="C286" s="32" t="s">
        <v>294</v>
      </c>
      <c r="D286" t="s">
        <v>378</v>
      </c>
      <c r="E286" t="s">
        <v>395</v>
      </c>
      <c r="F286" s="174" t="n">
        <v>2032</v>
      </c>
      <c r="G286" s="175" t="n">
        <v>34</v>
      </c>
      <c r="H286" s="176" t="n">
        <v>1311.91083817451</v>
      </c>
      <c r="I286" s="177" t="n">
        <v>4395420.36330501</v>
      </c>
      <c r="J286" s="178" t="str">
        <f>IF(I286&gt;0,H286/I286,0)</f>
      </c>
      <c r="K286" s="179" t="str">
        <f>1-EXP(-J286)</f>
      </c>
      <c r="L286" s="180" t="str">
        <f>IF(G286=30,1,M285)</f>
      </c>
      <c r="M286" s="181" t="str">
        <f>L286*(1-K286)</f>
      </c>
    </row>
    <row r="287">
      <c r="A287" t="s">
        <v>164</v>
      </c>
      <c r="B287" t="s">
        <v>115</v>
      </c>
      <c r="C287" s="32" t="s">
        <v>294</v>
      </c>
      <c r="D287" t="s">
        <v>378</v>
      </c>
      <c r="E287" t="s">
        <v>395</v>
      </c>
      <c r="F287" s="174" t="n">
        <v>2032</v>
      </c>
      <c r="G287" s="175" t="n">
        <v>35</v>
      </c>
      <c r="H287" s="176" t="n">
        <v>2102.13603940783</v>
      </c>
      <c r="I287" s="177" t="n">
        <v>4534871.31287131</v>
      </c>
      <c r="J287" s="178" t="str">
        <f>IF(I287&gt;0,H287/I287,0)</f>
      </c>
      <c r="K287" s="179" t="str">
        <f>1-EXP(-J287)</f>
      </c>
      <c r="L287" s="180" t="str">
        <f>IF(G287=30,1,M286)</f>
      </c>
      <c r="M287" s="181" t="str">
        <f>L287*(1-K287)</f>
      </c>
    </row>
    <row r="288">
      <c r="A288" t="s">
        <v>164</v>
      </c>
      <c r="B288" t="s">
        <v>115</v>
      </c>
      <c r="C288" s="32" t="s">
        <v>294</v>
      </c>
      <c r="D288" t="s">
        <v>378</v>
      </c>
      <c r="E288" t="s">
        <v>395</v>
      </c>
      <c r="F288" s="174" t="n">
        <v>2032</v>
      </c>
      <c r="G288" s="175" t="n">
        <v>36</v>
      </c>
      <c r="H288" s="176" t="n">
        <v>2209.48671611756</v>
      </c>
      <c r="I288" s="177" t="n">
        <v>4490904.48055447</v>
      </c>
      <c r="J288" s="178" t="str">
        <f>IF(I288&gt;0,H288/I288,0)</f>
      </c>
      <c r="K288" s="179" t="str">
        <f>1-EXP(-J288)</f>
      </c>
      <c r="L288" s="180" t="str">
        <f>IF(G288=30,1,M287)</f>
      </c>
      <c r="M288" s="181" t="str">
        <f>L288*(1-K288)</f>
      </c>
    </row>
    <row r="289">
      <c r="A289" t="s">
        <v>164</v>
      </c>
      <c r="B289" t="s">
        <v>115</v>
      </c>
      <c r="C289" s="32" t="s">
        <v>294</v>
      </c>
      <c r="D289" t="s">
        <v>378</v>
      </c>
      <c r="E289" t="s">
        <v>395</v>
      </c>
      <c r="F289" s="174" t="n">
        <v>2032</v>
      </c>
      <c r="G289" s="175" t="n">
        <v>37</v>
      </c>
      <c r="H289" s="176" t="n">
        <v>2338.76275348046</v>
      </c>
      <c r="I289" s="177" t="n">
        <v>4417205.02384571</v>
      </c>
      <c r="J289" s="178" t="str">
        <f>IF(I289&gt;0,H289/I289,0)</f>
      </c>
      <c r="K289" s="179" t="str">
        <f>1-EXP(-J289)</f>
      </c>
      <c r="L289" s="180" t="str">
        <f>IF(G289=30,1,M288)</f>
      </c>
      <c r="M289" s="181" t="str">
        <f>L289*(1-K289)</f>
      </c>
    </row>
    <row r="290">
      <c r="A290" t="s">
        <v>164</v>
      </c>
      <c r="B290" t="s">
        <v>115</v>
      </c>
      <c r="C290" s="32" t="s">
        <v>294</v>
      </c>
      <c r="D290" t="s">
        <v>378</v>
      </c>
      <c r="E290" t="s">
        <v>395</v>
      </c>
      <c r="F290" s="174" t="n">
        <v>2032</v>
      </c>
      <c r="G290" s="175" t="n">
        <v>38</v>
      </c>
      <c r="H290" s="176" t="n">
        <v>2481.61114122742</v>
      </c>
      <c r="I290" s="177" t="n">
        <v>4359105.19887856</v>
      </c>
      <c r="J290" s="178" t="str">
        <f>IF(I290&gt;0,H290/I290,0)</f>
      </c>
      <c r="K290" s="179" t="str">
        <f>1-EXP(-J290)</f>
      </c>
      <c r="L290" s="180" t="str">
        <f>IF(G290=30,1,M289)</f>
      </c>
      <c r="M290" s="181" t="str">
        <f>L290*(1-K290)</f>
      </c>
    </row>
    <row r="291">
      <c r="A291" t="s">
        <v>164</v>
      </c>
      <c r="B291" t="s">
        <v>115</v>
      </c>
      <c r="C291" s="32" t="s">
        <v>294</v>
      </c>
      <c r="D291" t="s">
        <v>378</v>
      </c>
      <c r="E291" t="s">
        <v>395</v>
      </c>
      <c r="F291" s="174" t="n">
        <v>2032</v>
      </c>
      <c r="G291" s="175" t="n">
        <v>39</v>
      </c>
      <c r="H291" s="176" t="n">
        <v>2639.37434881079</v>
      </c>
      <c r="I291" s="177" t="n">
        <v>4304480.63088411</v>
      </c>
      <c r="J291" s="178" t="str">
        <f>IF(I291&gt;0,H291/I291,0)</f>
      </c>
      <c r="K291" s="179" t="str">
        <f>1-EXP(-J291)</f>
      </c>
      <c r="L291" s="180" t="str">
        <f>IF(G291=30,1,M290)</f>
      </c>
      <c r="M291" s="181" t="str">
        <f>L291*(1-K291)</f>
      </c>
    </row>
    <row r="292">
      <c r="A292" t="s">
        <v>164</v>
      </c>
      <c r="B292" t="s">
        <v>115</v>
      </c>
      <c r="C292" s="32" t="s">
        <v>294</v>
      </c>
      <c r="D292" t="s">
        <v>378</v>
      </c>
      <c r="E292" t="s">
        <v>395</v>
      </c>
      <c r="F292" s="174" t="n">
        <v>2032</v>
      </c>
      <c r="G292" s="175" t="n">
        <v>40</v>
      </c>
      <c r="H292" s="176" t="n">
        <v>3574.91168815017</v>
      </c>
      <c r="I292" s="177" t="n">
        <v>4340758.16719353</v>
      </c>
      <c r="J292" s="178" t="str">
        <f>IF(I292&gt;0,H292/I292,0)</f>
      </c>
      <c r="K292" s="179" t="str">
        <f>1-EXP(-J292)</f>
      </c>
      <c r="L292" s="180" t="str">
        <f>IF(G292=30,1,M291)</f>
      </c>
      <c r="M292" s="181" t="str">
        <f>L292*(1-K292)</f>
      </c>
    </row>
    <row r="293">
      <c r="A293" t="s">
        <v>164</v>
      </c>
      <c r="B293" t="s">
        <v>115</v>
      </c>
      <c r="C293" s="32" t="s">
        <v>294</v>
      </c>
      <c r="D293" t="s">
        <v>378</v>
      </c>
      <c r="E293" t="s">
        <v>395</v>
      </c>
      <c r="F293" s="174" t="n">
        <v>2032</v>
      </c>
      <c r="G293" s="175" t="n">
        <v>41</v>
      </c>
      <c r="H293" s="176" t="n">
        <v>3855.33952965713</v>
      </c>
      <c r="I293" s="177" t="n">
        <v>4356419.44509944</v>
      </c>
      <c r="J293" s="178" t="str">
        <f>IF(I293&gt;0,H293/I293,0)</f>
      </c>
      <c r="K293" s="179" t="str">
        <f>1-EXP(-J293)</f>
      </c>
      <c r="L293" s="180" t="str">
        <f>IF(G293=30,1,M292)</f>
      </c>
      <c r="M293" s="181" t="str">
        <f>L293*(1-K293)</f>
      </c>
    </row>
    <row r="294">
      <c r="A294" t="s">
        <v>164</v>
      </c>
      <c r="B294" t="s">
        <v>115</v>
      </c>
      <c r="C294" s="32" t="s">
        <v>294</v>
      </c>
      <c r="D294" t="s">
        <v>378</v>
      </c>
      <c r="E294" t="s">
        <v>395</v>
      </c>
      <c r="F294" s="174" t="n">
        <v>2032</v>
      </c>
      <c r="G294" s="175" t="n">
        <v>42</v>
      </c>
      <c r="H294" s="176" t="n">
        <v>5867.89819610956</v>
      </c>
      <c r="I294" s="177" t="n">
        <v>6413794.55896823</v>
      </c>
      <c r="J294" s="178" t="str">
        <f>IF(I294&gt;0,H294/I294,0)</f>
      </c>
      <c r="K294" s="179" t="str">
        <f>1-EXP(-J294)</f>
      </c>
      <c r="L294" s="180" t="str">
        <f>IF(G294=30,1,M293)</f>
      </c>
      <c r="M294" s="181" t="str">
        <f>L294*(1-K294)</f>
      </c>
    </row>
    <row r="295">
      <c r="A295" t="s">
        <v>164</v>
      </c>
      <c r="B295" t="s">
        <v>115</v>
      </c>
      <c r="C295" s="32" t="s">
        <v>294</v>
      </c>
      <c r="D295" t="s">
        <v>378</v>
      </c>
      <c r="E295" t="s">
        <v>395</v>
      </c>
      <c r="F295" s="174" t="n">
        <v>2032</v>
      </c>
      <c r="G295" s="175" t="n">
        <v>43</v>
      </c>
      <c r="H295" s="176" t="n">
        <v>4519.81989462224</v>
      </c>
      <c r="I295" s="177" t="n">
        <v>4311670.73013251</v>
      </c>
      <c r="J295" s="178" t="str">
        <f>IF(I295&gt;0,H295/I295,0)</f>
      </c>
      <c r="K295" s="179" t="str">
        <f>1-EXP(-J295)</f>
      </c>
      <c r="L295" s="180" t="str">
        <f>IF(G295=30,1,M294)</f>
      </c>
      <c r="M295" s="181" t="str">
        <f>L295*(1-K295)</f>
      </c>
    </row>
    <row r="296">
      <c r="A296" t="s">
        <v>164</v>
      </c>
      <c r="B296" t="s">
        <v>115</v>
      </c>
      <c r="C296" s="32" t="s">
        <v>294</v>
      </c>
      <c r="D296" t="s">
        <v>378</v>
      </c>
      <c r="E296" t="s">
        <v>395</v>
      </c>
      <c r="F296" s="174" t="n">
        <v>2032</v>
      </c>
      <c r="G296" s="175" t="n">
        <v>44</v>
      </c>
      <c r="H296" s="176" t="n">
        <v>4912.03359998171</v>
      </c>
      <c r="I296" s="177" t="n">
        <v>4292970.97729742</v>
      </c>
      <c r="J296" s="178" t="str">
        <f>IF(I296&gt;0,H296/I296,0)</f>
      </c>
      <c r="K296" s="179" t="str">
        <f>1-EXP(-J296)</f>
      </c>
      <c r="L296" s="180" t="str">
        <f>IF(G296=30,1,M295)</f>
      </c>
      <c r="M296" s="181" t="str">
        <f>L296*(1-K296)</f>
      </c>
    </row>
    <row r="297">
      <c r="A297" t="s">
        <v>164</v>
      </c>
      <c r="B297" t="s">
        <v>115</v>
      </c>
      <c r="C297" s="32" t="s">
        <v>294</v>
      </c>
      <c r="D297" t="s">
        <v>378</v>
      </c>
      <c r="E297" t="s">
        <v>395</v>
      </c>
      <c r="F297" s="174" t="n">
        <v>2032</v>
      </c>
      <c r="G297" s="175" t="n">
        <v>45</v>
      </c>
      <c r="H297" s="176" t="n">
        <v>6149.02094714875</v>
      </c>
      <c r="I297" s="177" t="n">
        <v>4159201.27900065</v>
      </c>
      <c r="J297" s="178" t="str">
        <f>IF(I297&gt;0,H297/I297,0)</f>
      </c>
      <c r="K297" s="179" t="str">
        <f>1-EXP(-J297)</f>
      </c>
      <c r="L297" s="180" t="str">
        <f>IF(G297=30,1,M296)</f>
      </c>
      <c r="M297" s="181" t="str">
        <f>L297*(1-K297)</f>
      </c>
    </row>
    <row r="298">
      <c r="A298" t="s">
        <v>164</v>
      </c>
      <c r="B298" t="s">
        <v>115</v>
      </c>
      <c r="C298" s="32" t="s">
        <v>294</v>
      </c>
      <c r="D298" t="s">
        <v>378</v>
      </c>
      <c r="E298" t="s">
        <v>395</v>
      </c>
      <c r="F298" s="174" t="n">
        <v>2032</v>
      </c>
      <c r="G298" s="175" t="n">
        <v>46</v>
      </c>
      <c r="H298" s="176" t="n">
        <v>6630.45427126134</v>
      </c>
      <c r="I298" s="177" t="n">
        <v>4121248.9277013</v>
      </c>
      <c r="J298" s="178" t="str">
        <f>IF(I298&gt;0,H298/I298,0)</f>
      </c>
      <c r="K298" s="179" t="str">
        <f>1-EXP(-J298)</f>
      </c>
      <c r="L298" s="180" t="str">
        <f>IF(G298=30,1,M297)</f>
      </c>
      <c r="M298" s="181" t="str">
        <f>L298*(1-K298)</f>
      </c>
    </row>
    <row r="299">
      <c r="A299" t="s">
        <v>164</v>
      </c>
      <c r="B299" t="s">
        <v>115</v>
      </c>
      <c r="C299" s="32" t="s">
        <v>294</v>
      </c>
      <c r="D299" t="s">
        <v>378</v>
      </c>
      <c r="E299" t="s">
        <v>395</v>
      </c>
      <c r="F299" s="174" t="n">
        <v>2032</v>
      </c>
      <c r="G299" s="175" t="n">
        <v>47</v>
      </c>
      <c r="H299" s="176" t="n">
        <v>7393.29838534589</v>
      </c>
      <c r="I299" s="177" t="n">
        <v>4176746.63372391</v>
      </c>
      <c r="J299" s="178" t="str">
        <f>IF(I299&gt;0,H299/I299,0)</f>
      </c>
      <c r="K299" s="179" t="str">
        <f>1-EXP(-J299)</f>
      </c>
      <c r="L299" s="180" t="str">
        <f>IF(G299=30,1,M298)</f>
      </c>
      <c r="M299" s="181" t="str">
        <f>L299*(1-K299)</f>
      </c>
    </row>
    <row r="300">
      <c r="A300" t="s">
        <v>164</v>
      </c>
      <c r="B300" t="s">
        <v>115</v>
      </c>
      <c r="C300" s="32" t="s">
        <v>294</v>
      </c>
      <c r="D300" t="s">
        <v>378</v>
      </c>
      <c r="E300" t="s">
        <v>395</v>
      </c>
      <c r="F300" s="174" t="n">
        <v>2032</v>
      </c>
      <c r="G300" s="175" t="n">
        <v>48</v>
      </c>
      <c r="H300" s="176" t="n">
        <v>8260.52970662035</v>
      </c>
      <c r="I300" s="177" t="n">
        <v>4256643.38470277</v>
      </c>
      <c r="J300" s="178" t="str">
        <f>IF(I300&gt;0,H300/I300,0)</f>
      </c>
      <c r="K300" s="179" t="str">
        <f>1-EXP(-J300)</f>
      </c>
      <c r="L300" s="180" t="str">
        <f>IF(G300=30,1,M299)</f>
      </c>
      <c r="M300" s="181" t="str">
        <f>L300*(1-K300)</f>
      </c>
    </row>
    <row r="301">
      <c r="A301" t="s">
        <v>164</v>
      </c>
      <c r="B301" t="s">
        <v>115</v>
      </c>
      <c r="C301" s="32" t="s">
        <v>294</v>
      </c>
      <c r="D301" t="s">
        <v>378</v>
      </c>
      <c r="E301" t="s">
        <v>395</v>
      </c>
      <c r="F301" s="174" t="n">
        <v>2032</v>
      </c>
      <c r="G301" s="175" t="n">
        <v>49</v>
      </c>
      <c r="H301" s="176" t="n">
        <v>8990.10582390383</v>
      </c>
      <c r="I301" s="177" t="n">
        <v>4228196.46350418</v>
      </c>
      <c r="J301" s="178" t="str">
        <f>IF(I301&gt;0,H301/I301,0)</f>
      </c>
      <c r="K301" s="179" t="str">
        <f>1-EXP(-J301)</f>
      </c>
      <c r="L301" s="180" t="str">
        <f>IF(G301=30,1,M300)</f>
      </c>
      <c r="M301" s="181" t="str">
        <f>L301*(1-K301)</f>
      </c>
    </row>
    <row r="302">
      <c r="A302" t="s">
        <v>164</v>
      </c>
      <c r="B302" t="s">
        <v>115</v>
      </c>
      <c r="C302" s="32" t="s">
        <v>294</v>
      </c>
      <c r="D302" t="s">
        <v>378</v>
      </c>
      <c r="E302" t="s">
        <v>395</v>
      </c>
      <c r="F302" s="174" t="n">
        <v>2032</v>
      </c>
      <c r="G302" s="175" t="n">
        <v>50</v>
      </c>
      <c r="H302" s="176" t="n">
        <v>10105.3327305075</v>
      </c>
      <c r="I302" s="177" t="n">
        <v>4088260.34186777</v>
      </c>
      <c r="J302" s="178" t="str">
        <f>IF(I302&gt;0,H302/I302,0)</f>
      </c>
      <c r="K302" s="179" t="str">
        <f>1-EXP(-J302)</f>
      </c>
      <c r="L302" s="180" t="str">
        <f>IF(G302=30,1,M301)</f>
      </c>
      <c r="M302" s="181" t="str">
        <f>L302*(1-K302)</f>
      </c>
    </row>
    <row r="303">
      <c r="A303" t="s">
        <v>164</v>
      </c>
      <c r="B303" t="s">
        <v>115</v>
      </c>
      <c r="C303" s="32" t="s">
        <v>294</v>
      </c>
      <c r="D303" t="s">
        <v>378</v>
      </c>
      <c r="E303" t="s">
        <v>395</v>
      </c>
      <c r="F303" s="174" t="n">
        <v>2032</v>
      </c>
      <c r="G303" s="175" t="n">
        <v>51</v>
      </c>
      <c r="H303" s="176" t="n">
        <v>10774.0120209723</v>
      </c>
      <c r="I303" s="177" t="n">
        <v>4008868.89947756</v>
      </c>
      <c r="J303" s="178" t="str">
        <f>IF(I303&gt;0,H303/I303,0)</f>
      </c>
      <c r="K303" s="179" t="str">
        <f>1-EXP(-J303)</f>
      </c>
      <c r="L303" s="180" t="str">
        <f>IF(G303=30,1,M302)</f>
      </c>
      <c r="M303" s="181" t="str">
        <f>L303*(1-K303)</f>
      </c>
    </row>
    <row r="304">
      <c r="A304" t="s">
        <v>164</v>
      </c>
      <c r="B304" t="s">
        <v>115</v>
      </c>
      <c r="C304" s="32" t="s">
        <v>294</v>
      </c>
      <c r="D304" t="s">
        <v>378</v>
      </c>
      <c r="E304" t="s">
        <v>395</v>
      </c>
      <c r="F304" s="174" t="n">
        <v>2032</v>
      </c>
      <c r="G304" s="175" t="n">
        <v>52</v>
      </c>
      <c r="H304" s="176" t="n">
        <v>11625.186555767</v>
      </c>
      <c r="I304" s="177" t="n">
        <v>3945585.27433815</v>
      </c>
      <c r="J304" s="178" t="str">
        <f>IF(I304&gt;0,H304/I304,0)</f>
      </c>
      <c r="K304" s="179" t="str">
        <f>1-EXP(-J304)</f>
      </c>
      <c r="L304" s="180" t="str">
        <f>IF(G304=30,1,M303)</f>
      </c>
      <c r="M304" s="181" t="str">
        <f>L304*(1-K304)</f>
      </c>
    </row>
    <row r="305">
      <c r="A305" t="s">
        <v>164</v>
      </c>
      <c r="B305" t="s">
        <v>115</v>
      </c>
      <c r="C305" s="32" t="s">
        <v>294</v>
      </c>
      <c r="D305" t="s">
        <v>378</v>
      </c>
      <c r="E305" t="s">
        <v>395</v>
      </c>
      <c r="F305" s="174" t="n">
        <v>2032</v>
      </c>
      <c r="G305" s="175" t="n">
        <v>53</v>
      </c>
      <c r="H305" s="176" t="n">
        <v>12479.0852528572</v>
      </c>
      <c r="I305" s="177" t="n">
        <v>3876613.92845555</v>
      </c>
      <c r="J305" s="178" t="str">
        <f>IF(I305&gt;0,H305/I305,0)</f>
      </c>
      <c r="K305" s="179" t="str">
        <f>1-EXP(-J305)</f>
      </c>
      <c r="L305" s="180" t="str">
        <f>IF(G305=30,1,M304)</f>
      </c>
      <c r="M305" s="181" t="str">
        <f>L305*(1-K305)</f>
      </c>
    </row>
    <row r="306">
      <c r="A306" t="s">
        <v>164</v>
      </c>
      <c r="B306" t="s">
        <v>115</v>
      </c>
      <c r="C306" s="32" t="s">
        <v>294</v>
      </c>
      <c r="D306" t="s">
        <v>378</v>
      </c>
      <c r="E306" t="s">
        <v>395</v>
      </c>
      <c r="F306" s="174" t="n">
        <v>2032</v>
      </c>
      <c r="G306" s="175" t="n">
        <v>54</v>
      </c>
      <c r="H306" s="176" t="n">
        <v>13320.7356620841</v>
      </c>
      <c r="I306" s="177" t="n">
        <v>3788214.41717885</v>
      </c>
      <c r="J306" s="178" t="str">
        <f>IF(I306&gt;0,H306/I306,0)</f>
      </c>
      <c r="K306" s="179" t="str">
        <f>1-EXP(-J306)</f>
      </c>
      <c r="L306" s="180" t="str">
        <f>IF(G306=30,1,M305)</f>
      </c>
      <c r="M306" s="181" t="str">
        <f>L306*(1-K306)</f>
      </c>
    </row>
    <row r="307">
      <c r="A307" t="s">
        <v>164</v>
      </c>
      <c r="B307" t="s">
        <v>115</v>
      </c>
      <c r="C307" s="32" t="s">
        <v>294</v>
      </c>
      <c r="D307" t="s">
        <v>378</v>
      </c>
      <c r="E307" t="s">
        <v>395</v>
      </c>
      <c r="F307" s="174" t="n">
        <v>2032</v>
      </c>
      <c r="G307" s="175" t="n">
        <v>55</v>
      </c>
      <c r="H307" s="176" t="n">
        <v>14379.166258193</v>
      </c>
      <c r="I307" s="177" t="n">
        <v>3716148.38098827</v>
      </c>
      <c r="J307" s="178" t="str">
        <f>IF(I307&gt;0,H307/I307,0)</f>
      </c>
      <c r="K307" s="179" t="str">
        <f>1-EXP(-J307)</f>
      </c>
      <c r="L307" s="180" t="str">
        <f>IF(G307=30,1,M306)</f>
      </c>
      <c r="M307" s="181" t="str">
        <f>L307*(1-K307)</f>
      </c>
    </row>
    <row r="308">
      <c r="A308" t="s">
        <v>164</v>
      </c>
      <c r="B308" t="s">
        <v>115</v>
      </c>
      <c r="C308" s="32" t="s">
        <v>294</v>
      </c>
      <c r="D308" t="s">
        <v>378</v>
      </c>
      <c r="E308" t="s">
        <v>395</v>
      </c>
      <c r="F308" s="174" t="n">
        <v>2032</v>
      </c>
      <c r="G308" s="175" t="n">
        <v>56</v>
      </c>
      <c r="H308" s="176" t="n">
        <v>15275.5819540757</v>
      </c>
      <c r="I308" s="177" t="n">
        <v>3631745.61825842</v>
      </c>
      <c r="J308" s="178" t="str">
        <f>IF(I308&gt;0,H308/I308,0)</f>
      </c>
      <c r="K308" s="179" t="str">
        <f>1-EXP(-J308)</f>
      </c>
      <c r="L308" s="180" t="str">
        <f>IF(G308=30,1,M307)</f>
      </c>
      <c r="M308" s="181" t="str">
        <f>L308*(1-K308)</f>
      </c>
    </row>
    <row r="309">
      <c r="A309" t="s">
        <v>164</v>
      </c>
      <c r="B309" t="s">
        <v>115</v>
      </c>
      <c r="C309" s="32" t="s">
        <v>294</v>
      </c>
      <c r="D309" t="s">
        <v>378</v>
      </c>
      <c r="E309" t="s">
        <v>395</v>
      </c>
      <c r="F309" s="174" t="n">
        <v>2032</v>
      </c>
      <c r="G309" s="175" t="n">
        <v>57</v>
      </c>
      <c r="H309" s="176" t="n">
        <v>16338.9912540626</v>
      </c>
      <c r="I309" s="177" t="n">
        <v>3546616.54677469</v>
      </c>
      <c r="J309" s="178" t="str">
        <f>IF(I309&gt;0,H309/I309,0)</f>
      </c>
      <c r="K309" s="179" t="str">
        <f>1-EXP(-J309)</f>
      </c>
      <c r="L309" s="180" t="str">
        <f>IF(G309=30,1,M308)</f>
      </c>
      <c r="M309" s="181" t="str">
        <f>L309*(1-K309)</f>
      </c>
    </row>
    <row r="310">
      <c r="A310" t="s">
        <v>164</v>
      </c>
      <c r="B310" t="s">
        <v>115</v>
      </c>
      <c r="C310" s="32" t="s">
        <v>294</v>
      </c>
      <c r="D310" t="s">
        <v>378</v>
      </c>
      <c r="E310" t="s">
        <v>395</v>
      </c>
      <c r="F310" s="174" t="n">
        <v>2032</v>
      </c>
      <c r="G310" s="175" t="n">
        <v>58</v>
      </c>
      <c r="H310" s="176" t="n">
        <v>17295.1897760848</v>
      </c>
      <c r="I310" s="177" t="n">
        <v>3434400.62474525</v>
      </c>
      <c r="J310" s="178" t="str">
        <f>IF(I310&gt;0,H310/I310,0)</f>
      </c>
      <c r="K310" s="179" t="str">
        <f>1-EXP(-J310)</f>
      </c>
      <c r="L310" s="180" t="str">
        <f>IF(G310=30,1,M309)</f>
      </c>
      <c r="M310" s="181" t="str">
        <f>L310*(1-K310)</f>
      </c>
    </row>
    <row r="311">
      <c r="A311" t="s">
        <v>164</v>
      </c>
      <c r="B311" t="s">
        <v>115</v>
      </c>
      <c r="C311" s="32" t="s">
        <v>294</v>
      </c>
      <c r="D311" t="s">
        <v>378</v>
      </c>
      <c r="E311" t="s">
        <v>395</v>
      </c>
      <c r="F311" s="174" t="n">
        <v>2032</v>
      </c>
      <c r="G311" s="175" t="n">
        <v>59</v>
      </c>
      <c r="H311" s="176" t="n">
        <v>18613.2651457692</v>
      </c>
      <c r="I311" s="177" t="n">
        <v>3379936.08682392</v>
      </c>
      <c r="J311" s="178" t="str">
        <f>IF(I311&gt;0,H311/I311,0)</f>
      </c>
      <c r="K311" s="179" t="str">
        <f>1-EXP(-J311)</f>
      </c>
      <c r="L311" s="180" t="str">
        <f>IF(G311=30,1,M310)</f>
      </c>
      <c r="M311" s="181" t="str">
        <f>L311*(1-K311)</f>
      </c>
    </row>
    <row r="312">
      <c r="A312" t="s">
        <v>164</v>
      </c>
      <c r="B312" t="s">
        <v>115</v>
      </c>
      <c r="C312" s="32" t="s">
        <v>294</v>
      </c>
      <c r="D312" t="s">
        <v>378</v>
      </c>
      <c r="E312" t="s">
        <v>395</v>
      </c>
      <c r="F312" s="174" t="n">
        <v>2032</v>
      </c>
      <c r="G312" s="175" t="n">
        <v>60</v>
      </c>
      <c r="H312" s="176" t="n">
        <v>19371.2147957135</v>
      </c>
      <c r="I312" s="177" t="n">
        <v>3167094.91104385</v>
      </c>
      <c r="J312" s="178" t="str">
        <f>IF(I312&gt;0,H312/I312,0)</f>
      </c>
      <c r="K312" s="179" t="str">
        <f>1-EXP(-J312)</f>
      </c>
      <c r="L312" s="180" t="str">
        <f>IF(G312=30,1,M311)</f>
      </c>
      <c r="M312" s="181" t="str">
        <f>L312*(1-K312)</f>
      </c>
    </row>
    <row r="313">
      <c r="A313" t="s">
        <v>164</v>
      </c>
      <c r="B313" t="s">
        <v>115</v>
      </c>
      <c r="C313" s="32" t="s">
        <v>294</v>
      </c>
      <c r="D313" t="s">
        <v>378</v>
      </c>
      <c r="E313" t="s">
        <v>395</v>
      </c>
      <c r="F313" s="174" t="n">
        <v>2032</v>
      </c>
      <c r="G313" s="175" t="n">
        <v>61</v>
      </c>
      <c r="H313" s="176" t="n">
        <v>20465.6847179221</v>
      </c>
      <c r="I313" s="177" t="n">
        <v>3070621.20678214</v>
      </c>
      <c r="J313" s="178" t="str">
        <f>IF(I313&gt;0,H313/I313,0)</f>
      </c>
      <c r="K313" s="179" t="str">
        <f>1-EXP(-J313)</f>
      </c>
      <c r="L313" s="180" t="str">
        <f>IF(G313=30,1,M312)</f>
      </c>
      <c r="M313" s="181" t="str">
        <f>L313*(1-K313)</f>
      </c>
    </row>
    <row r="314">
      <c r="A314" t="s">
        <v>164</v>
      </c>
      <c r="B314" t="s">
        <v>115</v>
      </c>
      <c r="C314" s="32" t="s">
        <v>294</v>
      </c>
      <c r="D314" t="s">
        <v>378</v>
      </c>
      <c r="E314" t="s">
        <v>395</v>
      </c>
      <c r="F314" s="174" t="n">
        <v>2032</v>
      </c>
      <c r="G314" s="175" t="n">
        <v>62</v>
      </c>
      <c r="H314" s="176" t="n">
        <v>21790.02766072</v>
      </c>
      <c r="I314" s="177" t="n">
        <v>2978374.64844131</v>
      </c>
      <c r="J314" s="178" t="str">
        <f>IF(I314&gt;0,H314/I314,0)</f>
      </c>
      <c r="K314" s="179" t="str">
        <f>1-EXP(-J314)</f>
      </c>
      <c r="L314" s="180" t="str">
        <f>IF(G314=30,1,M313)</f>
      </c>
      <c r="M314" s="181" t="str">
        <f>L314*(1-K314)</f>
      </c>
    </row>
    <row r="315">
      <c r="A315" t="s">
        <v>164</v>
      </c>
      <c r="B315" t="s">
        <v>115</v>
      </c>
      <c r="C315" s="32" t="s">
        <v>294</v>
      </c>
      <c r="D315" t="s">
        <v>378</v>
      </c>
      <c r="E315" t="s">
        <v>395</v>
      </c>
      <c r="F315" s="174" t="n">
        <v>2032</v>
      </c>
      <c r="G315" s="175" t="n">
        <v>63</v>
      </c>
      <c r="H315" s="176" t="n">
        <v>23053.0170470857</v>
      </c>
      <c r="I315" s="177" t="n">
        <v>2876887.90156604</v>
      </c>
      <c r="J315" s="178" t="str">
        <f>IF(I315&gt;0,H315/I315,0)</f>
      </c>
      <c r="K315" s="179" t="str">
        <f>1-EXP(-J315)</f>
      </c>
      <c r="L315" s="180" t="str">
        <f>IF(G315=30,1,M314)</f>
      </c>
      <c r="M315" s="181" t="str">
        <f>L315*(1-K315)</f>
      </c>
    </row>
    <row r="316">
      <c r="A316" t="s">
        <v>164</v>
      </c>
      <c r="B316" t="s">
        <v>115</v>
      </c>
      <c r="C316" s="32" t="s">
        <v>294</v>
      </c>
      <c r="D316" t="s">
        <v>378</v>
      </c>
      <c r="E316" t="s">
        <v>395</v>
      </c>
      <c r="F316" s="174" t="n">
        <v>2032</v>
      </c>
      <c r="G316" s="175" t="n">
        <v>64</v>
      </c>
      <c r="H316" s="176" t="n">
        <v>24197.887683256</v>
      </c>
      <c r="I316" s="177" t="n">
        <v>2756331.7035236</v>
      </c>
      <c r="J316" s="178" t="str">
        <f>IF(I316&gt;0,H316/I316,0)</f>
      </c>
      <c r="K316" s="179" t="str">
        <f>1-EXP(-J316)</f>
      </c>
      <c r="L316" s="180" t="str">
        <f>IF(G316=30,1,M315)</f>
      </c>
      <c r="M316" s="181" t="str">
        <f>L316*(1-K316)</f>
      </c>
    </row>
    <row r="317">
      <c r="A317" t="s">
        <v>164</v>
      </c>
      <c r="B317" t="s">
        <v>115</v>
      </c>
      <c r="C317" s="32" t="s">
        <v>294</v>
      </c>
      <c r="D317" t="s">
        <v>378</v>
      </c>
      <c r="E317" t="s">
        <v>395</v>
      </c>
      <c r="F317" s="174" t="n">
        <v>2032</v>
      </c>
      <c r="G317" s="175" t="n">
        <v>65</v>
      </c>
      <c r="H317" s="176" t="n">
        <v>24306.8189308002</v>
      </c>
      <c r="I317" s="177" t="n">
        <v>2606232.67159603</v>
      </c>
      <c r="J317" s="178" t="str">
        <f>IF(I317&gt;0,H317/I317,0)</f>
      </c>
      <c r="K317" s="179" t="str">
        <f>1-EXP(-J317)</f>
      </c>
      <c r="L317" s="180" t="str">
        <f>IF(G317=30,1,M316)</f>
      </c>
      <c r="M317" s="181" t="str">
        <f>L317*(1-K317)</f>
      </c>
    </row>
    <row r="318">
      <c r="A318" t="s">
        <v>164</v>
      </c>
      <c r="B318" t="s">
        <v>115</v>
      </c>
      <c r="C318" s="32" t="s">
        <v>294</v>
      </c>
      <c r="D318" t="s">
        <v>378</v>
      </c>
      <c r="E318" t="s">
        <v>395</v>
      </c>
      <c r="F318" s="174" t="n">
        <v>2032</v>
      </c>
      <c r="G318" s="175" t="n">
        <v>66</v>
      </c>
      <c r="H318" s="176" t="n">
        <v>25380.3088593751</v>
      </c>
      <c r="I318" s="177" t="n">
        <v>2490653.85803161</v>
      </c>
      <c r="J318" s="178" t="str">
        <f>IF(I318&gt;0,H318/I318,0)</f>
      </c>
      <c r="K318" s="179" t="str">
        <f>1-EXP(-J318)</f>
      </c>
      <c r="L318" s="180" t="str">
        <f>IF(G318=30,1,M317)</f>
      </c>
      <c r="M318" s="181" t="str">
        <f>L318*(1-K318)</f>
      </c>
    </row>
    <row r="319">
      <c r="A319" t="s">
        <v>164</v>
      </c>
      <c r="B319" t="s">
        <v>115</v>
      </c>
      <c r="C319" s="32" t="s">
        <v>294</v>
      </c>
      <c r="D319" t="s">
        <v>378</v>
      </c>
      <c r="E319" t="s">
        <v>395</v>
      </c>
      <c r="F319" s="174" t="n">
        <v>2032</v>
      </c>
      <c r="G319" s="175" t="n">
        <v>67</v>
      </c>
      <c r="H319" s="176" t="n">
        <v>26380.3864742259</v>
      </c>
      <c r="I319" s="177" t="n">
        <v>2354741.58882354</v>
      </c>
      <c r="J319" s="178" t="str">
        <f>IF(I319&gt;0,H319/I319,0)</f>
      </c>
      <c r="K319" s="179" t="str">
        <f>1-EXP(-J319)</f>
      </c>
      <c r="L319" s="180" t="str">
        <f>IF(G319=30,1,M318)</f>
      </c>
      <c r="M319" s="181" t="str">
        <f>L319*(1-K319)</f>
      </c>
    </row>
    <row r="320">
      <c r="A320" t="s">
        <v>164</v>
      </c>
      <c r="B320" t="s">
        <v>115</v>
      </c>
      <c r="C320" s="32" t="s">
        <v>294</v>
      </c>
      <c r="D320" t="s">
        <v>378</v>
      </c>
      <c r="E320" t="s">
        <v>395</v>
      </c>
      <c r="F320" s="174" t="n">
        <v>2032</v>
      </c>
      <c r="G320" s="175" t="n">
        <v>68</v>
      </c>
      <c r="H320" s="176" t="n">
        <v>27292.3466863792</v>
      </c>
      <c r="I320" s="177" t="n">
        <v>2219221.26469954</v>
      </c>
      <c r="J320" s="178" t="str">
        <f>IF(I320&gt;0,H320/I320,0)</f>
      </c>
      <c r="K320" s="179" t="str">
        <f>1-EXP(-J320)</f>
      </c>
      <c r="L320" s="180" t="str">
        <f>IF(G320=30,1,M319)</f>
      </c>
      <c r="M320" s="181" t="str">
        <f>L320*(1-K320)</f>
      </c>
    </row>
    <row r="321">
      <c r="A321" t="s">
        <v>164</v>
      </c>
      <c r="B321" t="s">
        <v>115</v>
      </c>
      <c r="C321" s="32" t="s">
        <v>294</v>
      </c>
      <c r="D321" t="s">
        <v>378</v>
      </c>
      <c r="E321" t="s">
        <v>395</v>
      </c>
      <c r="F321" s="174" t="n">
        <v>2032</v>
      </c>
      <c r="G321" s="175" t="n">
        <v>69</v>
      </c>
      <c r="H321" s="176" t="n">
        <v>28214.3646378594</v>
      </c>
      <c r="I321" s="177" t="n">
        <v>2088399.62278508</v>
      </c>
      <c r="J321" s="178" t="str">
        <f>IF(I321&gt;0,H321/I321,0)</f>
      </c>
      <c r="K321" s="179" t="str">
        <f>1-EXP(-J321)</f>
      </c>
      <c r="L321" s="180" t="str">
        <f>IF(G321=30,1,M320)</f>
      </c>
      <c r="M321" s="181" t="str">
        <f>L321*(1-K321)</f>
      </c>
    </row>
    <row r="322">
      <c r="A322" t="s">
        <v>164</v>
      </c>
      <c r="B322" t="s">
        <v>115</v>
      </c>
      <c r="C322" s="32" t="s">
        <v>294</v>
      </c>
      <c r="D322" t="s">
        <v>378</v>
      </c>
      <c r="E322" t="s">
        <v>395</v>
      </c>
      <c r="F322" s="174" t="n">
        <v>2033</v>
      </c>
      <c r="G322" s="175" t="n">
        <v>30</v>
      </c>
      <c r="H322" s="176" t="n">
        <v>767.132607375596</v>
      </c>
      <c r="I322" s="177" t="n">
        <v>4369792.04694157</v>
      </c>
      <c r="J322" s="178" t="str">
        <f>IF(I322&gt;0,H322/I322,0)</f>
      </c>
      <c r="K322" s="179" t="str">
        <f>1-EXP(-J322)</f>
      </c>
      <c r="L322" s="180" t="str">
        <f>IF(G322=30,1,M321)</f>
      </c>
      <c r="M322" s="181" t="str">
        <f>L322*(1-K322)</f>
      </c>
    </row>
    <row r="323">
      <c r="A323" t="s">
        <v>164</v>
      </c>
      <c r="B323" t="s">
        <v>115</v>
      </c>
      <c r="C323" s="32" t="s">
        <v>294</v>
      </c>
      <c r="D323" t="s">
        <v>378</v>
      </c>
      <c r="E323" t="s">
        <v>395</v>
      </c>
      <c r="F323" s="174" t="n">
        <v>2033</v>
      </c>
      <c r="G323" s="175" t="n">
        <v>31</v>
      </c>
      <c r="H323" s="176" t="n">
        <v>1095.44156014276</v>
      </c>
      <c r="I323" s="177" t="n">
        <v>4349056.6641979</v>
      </c>
      <c r="J323" s="178" t="str">
        <f>IF(I323&gt;0,H323/I323,0)</f>
      </c>
      <c r="K323" s="179" t="str">
        <f>1-EXP(-J323)</f>
      </c>
      <c r="L323" s="180" t="str">
        <f>IF(G323=30,1,M322)</f>
      </c>
      <c r="M323" s="181" t="str">
        <f>L323*(1-K323)</f>
      </c>
    </row>
    <row r="324">
      <c r="A324" t="s">
        <v>164</v>
      </c>
      <c r="B324" t="s">
        <v>115</v>
      </c>
      <c r="C324" s="32" t="s">
        <v>294</v>
      </c>
      <c r="D324" t="s">
        <v>378</v>
      </c>
      <c r="E324" t="s">
        <v>395</v>
      </c>
      <c r="F324" s="174" t="n">
        <v>2033</v>
      </c>
      <c r="G324" s="175" t="n">
        <v>32</v>
      </c>
      <c r="H324" s="176" t="n">
        <v>1144.78482473982</v>
      </c>
      <c r="I324" s="177" t="n">
        <v>4329512.37729437</v>
      </c>
      <c r="J324" s="178" t="str">
        <f>IF(I324&gt;0,H324/I324,0)</f>
      </c>
      <c r="K324" s="179" t="str">
        <f>1-EXP(-J324)</f>
      </c>
      <c r="L324" s="180" t="str">
        <f>IF(G324=30,1,M323)</f>
      </c>
      <c r="M324" s="181" t="str">
        <f>L324*(1-K324)</f>
      </c>
    </row>
    <row r="325">
      <c r="A325" t="s">
        <v>164</v>
      </c>
      <c r="B325" t="s">
        <v>115</v>
      </c>
      <c r="C325" s="32" t="s">
        <v>294</v>
      </c>
      <c r="D325" t="s">
        <v>378</v>
      </c>
      <c r="E325" t="s">
        <v>395</v>
      </c>
      <c r="F325" s="174" t="n">
        <v>2033</v>
      </c>
      <c r="G325" s="175" t="n">
        <v>33</v>
      </c>
      <c r="H325" s="176" t="n">
        <v>1205.12668077</v>
      </c>
      <c r="I325" s="177" t="n">
        <v>4309736.43738751</v>
      </c>
      <c r="J325" s="178" t="str">
        <f>IF(I325&gt;0,H325/I325,0)</f>
      </c>
      <c r="K325" s="179" t="str">
        <f>1-EXP(-J325)</f>
      </c>
      <c r="L325" s="180" t="str">
        <f>IF(G325=30,1,M324)</f>
      </c>
      <c r="M325" s="181" t="str">
        <f>L325*(1-K325)</f>
      </c>
    </row>
    <row r="326">
      <c r="A326" t="s">
        <v>164</v>
      </c>
      <c r="B326" t="s">
        <v>115</v>
      </c>
      <c r="C326" s="32" t="s">
        <v>294</v>
      </c>
      <c r="D326" t="s">
        <v>378</v>
      </c>
      <c r="E326" t="s">
        <v>395</v>
      </c>
      <c r="F326" s="174" t="n">
        <v>2033</v>
      </c>
      <c r="G326" s="175" t="n">
        <v>34</v>
      </c>
      <c r="H326" s="176" t="n">
        <v>1288.12654788775</v>
      </c>
      <c r="I326" s="177" t="n">
        <v>4329702.86513165</v>
      </c>
      <c r="J326" s="178" t="str">
        <f>IF(I326&gt;0,H326/I326,0)</f>
      </c>
      <c r="K326" s="179" t="str">
        <f>1-EXP(-J326)</f>
      </c>
      <c r="L326" s="180" t="str">
        <f>IF(G326=30,1,M325)</f>
      </c>
      <c r="M326" s="181" t="str">
        <f>L326*(1-K326)</f>
      </c>
    </row>
    <row r="327">
      <c r="A327" t="s">
        <v>164</v>
      </c>
      <c r="B327" t="s">
        <v>115</v>
      </c>
      <c r="C327" s="32" t="s">
        <v>294</v>
      </c>
      <c r="D327" t="s">
        <v>378</v>
      </c>
      <c r="E327" t="s">
        <v>395</v>
      </c>
      <c r="F327" s="174" t="n">
        <v>2033</v>
      </c>
      <c r="G327" s="175" t="n">
        <v>35</v>
      </c>
      <c r="H327" s="176" t="n">
        <v>1770.47049263674</v>
      </c>
      <c r="I327" s="177" t="n">
        <v>4388842.1692855</v>
      </c>
      <c r="J327" s="178" t="str">
        <f>IF(I327&gt;0,H327/I327,0)</f>
      </c>
      <c r="K327" s="179" t="str">
        <f>1-EXP(-J327)</f>
      </c>
      <c r="L327" s="180" t="str">
        <f>IF(G327=30,1,M326)</f>
      </c>
      <c r="M327" s="181" t="str">
        <f>L327*(1-K327)</f>
      </c>
    </row>
    <row r="328">
      <c r="A328" t="s">
        <v>164</v>
      </c>
      <c r="B328" t="s">
        <v>115</v>
      </c>
      <c r="C328" s="32" t="s">
        <v>294</v>
      </c>
      <c r="D328" t="s">
        <v>378</v>
      </c>
      <c r="E328" t="s">
        <v>395</v>
      </c>
      <c r="F328" s="174" t="n">
        <v>2033</v>
      </c>
      <c r="G328" s="175" t="n">
        <v>36</v>
      </c>
      <c r="H328" s="176" t="n">
        <v>2207.04551908675</v>
      </c>
      <c r="I328" s="177" t="n">
        <v>4526939.38738863</v>
      </c>
      <c r="J328" s="178" t="str">
        <f>IF(I328&gt;0,H328/I328,0)</f>
      </c>
      <c r="K328" s="179" t="str">
        <f>1-EXP(-J328)</f>
      </c>
      <c r="L328" s="180" t="str">
        <f>IF(G328=30,1,M327)</f>
      </c>
      <c r="M328" s="181" t="str">
        <f>L328*(1-K328)</f>
      </c>
    </row>
    <row r="329">
      <c r="A329" t="s">
        <v>164</v>
      </c>
      <c r="B329" t="s">
        <v>115</v>
      </c>
      <c r="C329" s="32" t="s">
        <v>294</v>
      </c>
      <c r="D329" t="s">
        <v>378</v>
      </c>
      <c r="E329" t="s">
        <v>395</v>
      </c>
      <c r="F329" s="174" t="n">
        <v>2033</v>
      </c>
      <c r="G329" s="175" t="n">
        <v>37</v>
      </c>
      <c r="H329" s="176" t="n">
        <v>2351.95644271965</v>
      </c>
      <c r="I329" s="177" t="n">
        <v>4483039.95540932</v>
      </c>
      <c r="J329" s="178" t="str">
        <f>IF(I329&gt;0,H329/I329,0)</f>
      </c>
      <c r="K329" s="179" t="str">
        <f>1-EXP(-J329)</f>
      </c>
      <c r="L329" s="180" t="str">
        <f>IF(G329=30,1,M328)</f>
      </c>
      <c r="M329" s="181" t="str">
        <f>L329*(1-K329)</f>
      </c>
    </row>
    <row r="330">
      <c r="A330" t="s">
        <v>164</v>
      </c>
      <c r="B330" t="s">
        <v>115</v>
      </c>
      <c r="C330" s="32" t="s">
        <v>294</v>
      </c>
      <c r="D330" t="s">
        <v>378</v>
      </c>
      <c r="E330" t="s">
        <v>395</v>
      </c>
      <c r="F330" s="174" t="n">
        <v>2033</v>
      </c>
      <c r="G330" s="175" t="n">
        <v>38</v>
      </c>
      <c r="H330" s="176" t="n">
        <v>2494.36173305832</v>
      </c>
      <c r="I330" s="177" t="n">
        <v>4408918.42488696</v>
      </c>
      <c r="J330" s="178" t="str">
        <f>IF(I330&gt;0,H330/I330,0)</f>
      </c>
      <c r="K330" s="179" t="str">
        <f>1-EXP(-J330)</f>
      </c>
      <c r="L330" s="180" t="str">
        <f>IF(G330=30,1,M329)</f>
      </c>
      <c r="M330" s="181" t="str">
        <f>L330*(1-K330)</f>
      </c>
    </row>
    <row r="331">
      <c r="A331" t="s">
        <v>164</v>
      </c>
      <c r="B331" t="s">
        <v>115</v>
      </c>
      <c r="C331" s="32" t="s">
        <v>294</v>
      </c>
      <c r="D331" t="s">
        <v>378</v>
      </c>
      <c r="E331" t="s">
        <v>395</v>
      </c>
      <c r="F331" s="174" t="n">
        <v>2033</v>
      </c>
      <c r="G331" s="175" t="n">
        <v>39</v>
      </c>
      <c r="H331" s="176" t="n">
        <v>2651.10717741156</v>
      </c>
      <c r="I331" s="177" t="n">
        <v>4350329.18453254</v>
      </c>
      <c r="J331" s="178" t="str">
        <f>IF(I331&gt;0,H331/I331,0)</f>
      </c>
      <c r="K331" s="179" t="str">
        <f>1-EXP(-J331)</f>
      </c>
      <c r="L331" s="180" t="str">
        <f>IF(G331=30,1,M330)</f>
      </c>
      <c r="M331" s="181" t="str">
        <f>L331*(1-K331)</f>
      </c>
    </row>
    <row r="332">
      <c r="A332" t="s">
        <v>164</v>
      </c>
      <c r="B332" t="s">
        <v>115</v>
      </c>
      <c r="C332" s="32" t="s">
        <v>294</v>
      </c>
      <c r="D332" t="s">
        <v>378</v>
      </c>
      <c r="E332" t="s">
        <v>395</v>
      </c>
      <c r="F332" s="174" t="n">
        <v>2033</v>
      </c>
      <c r="G332" s="175" t="n">
        <v>40</v>
      </c>
      <c r="H332" s="176" t="n">
        <v>3515.59128180867</v>
      </c>
      <c r="I332" s="177" t="n">
        <v>4295161.82133361</v>
      </c>
      <c r="J332" s="178" t="str">
        <f>IF(I332&gt;0,H332/I332,0)</f>
      </c>
      <c r="K332" s="179" t="str">
        <f>1-EXP(-J332)</f>
      </c>
      <c r="L332" s="180" t="str">
        <f>IF(G332=30,1,M331)</f>
      </c>
      <c r="M332" s="181" t="str">
        <f>L332*(1-K332)</f>
      </c>
    </row>
    <row r="333">
      <c r="A333" t="s">
        <v>164</v>
      </c>
      <c r="B333" t="s">
        <v>115</v>
      </c>
      <c r="C333" s="32" t="s">
        <v>294</v>
      </c>
      <c r="D333" t="s">
        <v>378</v>
      </c>
      <c r="E333" t="s">
        <v>395</v>
      </c>
      <c r="F333" s="174" t="n">
        <v>2033</v>
      </c>
      <c r="G333" s="175" t="n">
        <v>41</v>
      </c>
      <c r="H333" s="176" t="n">
        <v>3793.12769661213</v>
      </c>
      <c r="I333" s="177" t="n">
        <v>4329840.32438677</v>
      </c>
      <c r="J333" s="178" t="str">
        <f>IF(I333&gt;0,H333/I333,0)</f>
      </c>
      <c r="K333" s="179" t="str">
        <f>1-EXP(-J333)</f>
      </c>
      <c r="L333" s="180" t="str">
        <f>IF(G333=30,1,M332)</f>
      </c>
      <c r="M333" s="181" t="str">
        <f>L333*(1-K333)</f>
      </c>
    </row>
    <row r="334">
      <c r="A334" t="s">
        <v>164</v>
      </c>
      <c r="B334" t="s">
        <v>115</v>
      </c>
      <c r="C334" s="32" t="s">
        <v>294</v>
      </c>
      <c r="D334" t="s">
        <v>378</v>
      </c>
      <c r="E334" t="s">
        <v>395</v>
      </c>
      <c r="F334" s="174" t="n">
        <v>2033</v>
      </c>
      <c r="G334" s="175" t="n">
        <v>42</v>
      </c>
      <c r="H334" s="176" t="n">
        <v>4143.68075063417</v>
      </c>
      <c r="I334" s="177" t="n">
        <v>4345424.59670151</v>
      </c>
      <c r="J334" s="178" t="str">
        <f>IF(I334&gt;0,H334/I334,0)</f>
      </c>
      <c r="K334" s="179" t="str">
        <f>1-EXP(-J334)</f>
      </c>
      <c r="L334" s="180" t="str">
        <f>IF(G334=30,1,M333)</f>
      </c>
      <c r="M334" s="181" t="str">
        <f>L334*(1-K334)</f>
      </c>
    </row>
    <row r="335">
      <c r="A335" t="s">
        <v>164</v>
      </c>
      <c r="B335" t="s">
        <v>115</v>
      </c>
      <c r="C335" s="32" t="s">
        <v>294</v>
      </c>
      <c r="D335" t="s">
        <v>378</v>
      </c>
      <c r="E335" t="s">
        <v>395</v>
      </c>
      <c r="F335" s="174" t="n">
        <v>2033</v>
      </c>
      <c r="G335" s="175" t="n">
        <v>43</v>
      </c>
      <c r="H335" s="176" t="n">
        <v>6307.4040661065</v>
      </c>
      <c r="I335" s="177" t="n">
        <v>6396999.48483681</v>
      </c>
      <c r="J335" s="178" t="str">
        <f>IF(I335&gt;0,H335/I335,0)</f>
      </c>
      <c r="K335" s="179" t="str">
        <f>1-EXP(-J335)</f>
      </c>
      <c r="L335" s="180" t="str">
        <f>IF(G335=30,1,M334)</f>
      </c>
      <c r="M335" s="181" t="str">
        <f>L335*(1-K335)</f>
      </c>
    </row>
    <row r="336">
      <c r="A336" t="s">
        <v>164</v>
      </c>
      <c r="B336" t="s">
        <v>115</v>
      </c>
      <c r="C336" s="32" t="s">
        <v>294</v>
      </c>
      <c r="D336" t="s">
        <v>378</v>
      </c>
      <c r="E336" t="s">
        <v>395</v>
      </c>
      <c r="F336" s="174" t="n">
        <v>2033</v>
      </c>
      <c r="G336" s="175" t="n">
        <v>44</v>
      </c>
      <c r="H336" s="176" t="n">
        <v>4882.97589226886</v>
      </c>
      <c r="I336" s="177" t="n">
        <v>4298868.67969102</v>
      </c>
      <c r="J336" s="178" t="str">
        <f>IF(I336&gt;0,H336/I336,0)</f>
      </c>
      <c r="K336" s="179" t="str">
        <f>1-EXP(-J336)</f>
      </c>
      <c r="L336" s="180" t="str">
        <f>IF(G336=30,1,M335)</f>
      </c>
      <c r="M336" s="181" t="str">
        <f>L336*(1-K336)</f>
      </c>
    </row>
    <row r="337">
      <c r="A337" t="s">
        <v>164</v>
      </c>
      <c r="B337" t="s">
        <v>115</v>
      </c>
      <c r="C337" s="32" t="s">
        <v>294</v>
      </c>
      <c r="D337" t="s">
        <v>378</v>
      </c>
      <c r="E337" t="s">
        <v>395</v>
      </c>
      <c r="F337" s="174" t="n">
        <v>2033</v>
      </c>
      <c r="G337" s="175" t="n">
        <v>45</v>
      </c>
      <c r="H337" s="176" t="n">
        <v>6273.00163777183</v>
      </c>
      <c r="I337" s="177" t="n">
        <v>4279089.17367669</v>
      </c>
      <c r="J337" s="178" t="str">
        <f>IF(I337&gt;0,H337/I337,0)</f>
      </c>
      <c r="K337" s="179" t="str">
        <f>1-EXP(-J337)</f>
      </c>
      <c r="L337" s="180" t="str">
        <f>IF(G337=30,1,M336)</f>
      </c>
      <c r="M337" s="181" t="str">
        <f>L337*(1-K337)</f>
      </c>
    </row>
    <row r="338">
      <c r="A338" t="s">
        <v>164</v>
      </c>
      <c r="B338" t="s">
        <v>115</v>
      </c>
      <c r="C338" s="32" t="s">
        <v>294</v>
      </c>
      <c r="D338" t="s">
        <v>378</v>
      </c>
      <c r="E338" t="s">
        <v>395</v>
      </c>
      <c r="F338" s="174" t="n">
        <v>2033</v>
      </c>
      <c r="G338" s="175" t="n">
        <v>46</v>
      </c>
      <c r="H338" s="176" t="n">
        <v>6590.40103857636</v>
      </c>
      <c r="I338" s="177" t="n">
        <v>4143511.74774259</v>
      </c>
      <c r="J338" s="178" t="str">
        <f>IF(I338&gt;0,H338/I338,0)</f>
      </c>
      <c r="K338" s="179" t="str">
        <f>1-EXP(-J338)</f>
      </c>
      <c r="L338" s="180" t="str">
        <f>IF(G338=30,1,M337)</f>
      </c>
      <c r="M338" s="181" t="str">
        <f>L338*(1-K338)</f>
      </c>
    </row>
    <row r="339">
      <c r="A339" t="s">
        <v>164</v>
      </c>
      <c r="B339" t="s">
        <v>115</v>
      </c>
      <c r="C339" s="32" t="s">
        <v>294</v>
      </c>
      <c r="D339" t="s">
        <v>378</v>
      </c>
      <c r="E339" t="s">
        <v>395</v>
      </c>
      <c r="F339" s="174" t="n">
        <v>2033</v>
      </c>
      <c r="G339" s="175" t="n">
        <v>47</v>
      </c>
      <c r="H339" s="176" t="n">
        <v>7182.93781643997</v>
      </c>
      <c r="I339" s="177" t="n">
        <v>4105276.73872048</v>
      </c>
      <c r="J339" s="178" t="str">
        <f>IF(I339&gt;0,H339/I339,0)</f>
      </c>
      <c r="K339" s="179" t="str">
        <f>1-EXP(-J339)</f>
      </c>
      <c r="L339" s="180" t="str">
        <f>IF(G339=30,1,M338)</f>
      </c>
      <c r="M339" s="181" t="str">
        <f>L339*(1-K339)</f>
      </c>
    </row>
    <row r="340">
      <c r="A340" t="s">
        <v>164</v>
      </c>
      <c r="B340" t="s">
        <v>115</v>
      </c>
      <c r="C340" s="32" t="s">
        <v>294</v>
      </c>
      <c r="D340" t="s">
        <v>378</v>
      </c>
      <c r="E340" t="s">
        <v>395</v>
      </c>
      <c r="F340" s="174" t="n">
        <v>2033</v>
      </c>
      <c r="G340" s="175" t="n">
        <v>48</v>
      </c>
      <c r="H340" s="176" t="n">
        <v>8004.23592649419</v>
      </c>
      <c r="I340" s="177" t="n">
        <v>4158989.36980537</v>
      </c>
      <c r="J340" s="178" t="str">
        <f>IF(I340&gt;0,H340/I340,0)</f>
      </c>
      <c r="K340" s="179" t="str">
        <f>1-EXP(-J340)</f>
      </c>
      <c r="L340" s="180" t="str">
        <f>IF(G340=30,1,M339)</f>
      </c>
      <c r="M340" s="181" t="str">
        <f>L340*(1-K340)</f>
      </c>
    </row>
    <row r="341">
      <c r="A341" t="s">
        <v>164</v>
      </c>
      <c r="B341" t="s">
        <v>115</v>
      </c>
      <c r="C341" s="32" t="s">
        <v>294</v>
      </c>
      <c r="D341" t="s">
        <v>378</v>
      </c>
      <c r="E341" t="s">
        <v>395</v>
      </c>
      <c r="F341" s="174" t="n">
        <v>2033</v>
      </c>
      <c r="G341" s="175" t="n">
        <v>49</v>
      </c>
      <c r="H341" s="176" t="n">
        <v>8934.93083139688</v>
      </c>
      <c r="I341" s="177" t="n">
        <v>4236814.68059194</v>
      </c>
      <c r="J341" s="178" t="str">
        <f>IF(I341&gt;0,H341/I341,0)</f>
      </c>
      <c r="K341" s="179" t="str">
        <f>1-EXP(-J341)</f>
      </c>
      <c r="L341" s="180" t="str">
        <f>IF(G341=30,1,M340)</f>
      </c>
      <c r="M341" s="181" t="str">
        <f>L341*(1-K341)</f>
      </c>
    </row>
    <row r="342">
      <c r="A342" t="s">
        <v>164</v>
      </c>
      <c r="B342" t="s">
        <v>115</v>
      </c>
      <c r="C342" s="32" t="s">
        <v>294</v>
      </c>
      <c r="D342" t="s">
        <v>378</v>
      </c>
      <c r="E342" t="s">
        <v>395</v>
      </c>
      <c r="F342" s="174" t="n">
        <v>2033</v>
      </c>
      <c r="G342" s="175" t="n">
        <v>50</v>
      </c>
      <c r="H342" s="176" t="n">
        <v>10290.4946089924</v>
      </c>
      <c r="I342" s="177" t="n">
        <v>4206623.04748821</v>
      </c>
      <c r="J342" s="178" t="str">
        <f>IF(I342&gt;0,H342/I342,0)</f>
      </c>
      <c r="K342" s="179" t="str">
        <f>1-EXP(-J342)</f>
      </c>
      <c r="L342" s="180" t="str">
        <f>IF(G342=30,1,M341)</f>
      </c>
      <c r="M342" s="181" t="str">
        <f>L342*(1-K342)</f>
      </c>
    </row>
    <row r="343">
      <c r="A343" t="s">
        <v>164</v>
      </c>
      <c r="B343" t="s">
        <v>115</v>
      </c>
      <c r="C343" s="32" t="s">
        <v>294</v>
      </c>
      <c r="D343" t="s">
        <v>378</v>
      </c>
      <c r="E343" t="s">
        <v>395</v>
      </c>
      <c r="F343" s="174" t="n">
        <v>2033</v>
      </c>
      <c r="G343" s="175" t="n">
        <v>51</v>
      </c>
      <c r="H343" s="176" t="n">
        <v>10791.2401320777</v>
      </c>
      <c r="I343" s="177" t="n">
        <v>4064571.38437048</v>
      </c>
      <c r="J343" s="178" t="str">
        <f>IF(I343&gt;0,H343/I343,0)</f>
      </c>
      <c r="K343" s="179" t="str">
        <f>1-EXP(-J343)</f>
      </c>
      <c r="L343" s="180" t="str">
        <f>IF(G343=30,1,M342)</f>
      </c>
      <c r="M343" s="181" t="str">
        <f>L343*(1-K343)</f>
      </c>
    </row>
    <row r="344">
      <c r="A344" t="s">
        <v>164</v>
      </c>
      <c r="B344" t="s">
        <v>115</v>
      </c>
      <c r="C344" s="32" t="s">
        <v>294</v>
      </c>
      <c r="D344" t="s">
        <v>378</v>
      </c>
      <c r="E344" t="s">
        <v>395</v>
      </c>
      <c r="F344" s="174" t="n">
        <v>2033</v>
      </c>
      <c r="G344" s="175" t="n">
        <v>52</v>
      </c>
      <c r="H344" s="176" t="n">
        <v>11598.2569569659</v>
      </c>
      <c r="I344" s="177" t="n">
        <v>3984360.9233359</v>
      </c>
      <c r="J344" s="178" t="str">
        <f>IF(I344&gt;0,H344/I344,0)</f>
      </c>
      <c r="K344" s="179" t="str">
        <f>1-EXP(-J344)</f>
      </c>
      <c r="L344" s="180" t="str">
        <f>IF(G344=30,1,M343)</f>
      </c>
      <c r="M344" s="181" t="str">
        <f>L344*(1-K344)</f>
      </c>
    </row>
    <row r="345">
      <c r="A345" t="s">
        <v>164</v>
      </c>
      <c r="B345" t="s">
        <v>115</v>
      </c>
      <c r="C345" s="32" t="s">
        <v>294</v>
      </c>
      <c r="D345" t="s">
        <v>378</v>
      </c>
      <c r="E345" t="s">
        <v>395</v>
      </c>
      <c r="F345" s="174" t="n">
        <v>2033</v>
      </c>
      <c r="G345" s="175" t="n">
        <v>53</v>
      </c>
      <c r="H345" s="176" t="n">
        <v>12498.0322571422</v>
      </c>
      <c r="I345" s="177" t="n">
        <v>3919194.10912343</v>
      </c>
      <c r="J345" s="178" t="str">
        <f>IF(I345&gt;0,H345/I345,0)</f>
      </c>
      <c r="K345" s="179" t="str">
        <f>1-EXP(-J345)</f>
      </c>
      <c r="L345" s="180" t="str">
        <f>IF(G345=30,1,M344)</f>
      </c>
      <c r="M345" s="181" t="str">
        <f>L345*(1-K345)</f>
      </c>
    </row>
    <row r="346">
      <c r="A346" t="s">
        <v>164</v>
      </c>
      <c r="B346" t="s">
        <v>115</v>
      </c>
      <c r="C346" s="32" t="s">
        <v>294</v>
      </c>
      <c r="D346" t="s">
        <v>378</v>
      </c>
      <c r="E346" t="s">
        <v>395</v>
      </c>
      <c r="F346" s="174" t="n">
        <v>2033</v>
      </c>
      <c r="G346" s="175" t="n">
        <v>54</v>
      </c>
      <c r="H346" s="176" t="n">
        <v>13401.5657698803</v>
      </c>
      <c r="I346" s="177" t="n">
        <v>3848293.89674544</v>
      </c>
      <c r="J346" s="178" t="str">
        <f>IF(I346&gt;0,H346/I346,0)</f>
      </c>
      <c r="K346" s="179" t="str">
        <f>1-EXP(-J346)</f>
      </c>
      <c r="L346" s="180" t="str">
        <f>IF(G346=30,1,M345)</f>
      </c>
      <c r="M346" s="181" t="str">
        <f>L346*(1-K346)</f>
      </c>
    </row>
    <row r="347">
      <c r="A347" t="s">
        <v>164</v>
      </c>
      <c r="B347" t="s">
        <v>115</v>
      </c>
      <c r="C347" s="32" t="s">
        <v>294</v>
      </c>
      <c r="D347" t="s">
        <v>378</v>
      </c>
      <c r="E347" t="s">
        <v>395</v>
      </c>
      <c r="F347" s="174" t="n">
        <v>2033</v>
      </c>
      <c r="G347" s="175" t="n">
        <v>55</v>
      </c>
      <c r="H347" s="176" t="n">
        <v>14355.3977950357</v>
      </c>
      <c r="I347" s="177" t="n">
        <v>3757995.41433891</v>
      </c>
      <c r="J347" s="178" t="str">
        <f>IF(I347&gt;0,H347/I347,0)</f>
      </c>
      <c r="K347" s="179" t="str">
        <f>1-EXP(-J347)</f>
      </c>
      <c r="L347" s="180" t="str">
        <f>IF(G347=30,1,M346)</f>
      </c>
      <c r="M347" s="181" t="str">
        <f>L347*(1-K347)</f>
      </c>
    </row>
    <row r="348">
      <c r="A348" t="s">
        <v>164</v>
      </c>
      <c r="B348" t="s">
        <v>115</v>
      </c>
      <c r="C348" s="32" t="s">
        <v>294</v>
      </c>
      <c r="D348" t="s">
        <v>378</v>
      </c>
      <c r="E348" t="s">
        <v>395</v>
      </c>
      <c r="F348" s="174" t="n">
        <v>2033</v>
      </c>
      <c r="G348" s="175" t="n">
        <v>56</v>
      </c>
      <c r="H348" s="176" t="n">
        <v>15276.5000602354</v>
      </c>
      <c r="I348" s="177" t="n">
        <v>3683365.33024556</v>
      </c>
      <c r="J348" s="178" t="str">
        <f>IF(I348&gt;0,H348/I348,0)</f>
      </c>
      <c r="K348" s="179" t="str">
        <f>1-EXP(-J348)</f>
      </c>
      <c r="L348" s="180" t="str">
        <f>IF(G348=30,1,M347)</f>
      </c>
      <c r="M348" s="181" t="str">
        <f>L348*(1-K348)</f>
      </c>
    </row>
    <row r="349">
      <c r="A349" t="s">
        <v>164</v>
      </c>
      <c r="B349" t="s">
        <v>115</v>
      </c>
      <c r="C349" s="32" t="s">
        <v>294</v>
      </c>
      <c r="D349" t="s">
        <v>378</v>
      </c>
      <c r="E349" t="s">
        <v>395</v>
      </c>
      <c r="F349" s="174" t="n">
        <v>2033</v>
      </c>
      <c r="G349" s="175" t="n">
        <v>57</v>
      </c>
      <c r="H349" s="176" t="n">
        <v>16339.8927350758</v>
      </c>
      <c r="I349" s="177" t="n">
        <v>3597212.79432601</v>
      </c>
      <c r="J349" s="178" t="str">
        <f>IF(I349&gt;0,H349/I349,0)</f>
      </c>
      <c r="K349" s="179" t="str">
        <f>1-EXP(-J349)</f>
      </c>
      <c r="L349" s="180" t="str">
        <f>IF(G349=30,1,M348)</f>
      </c>
      <c r="M349" s="181" t="str">
        <f>L349*(1-K349)</f>
      </c>
    </row>
    <row r="350">
      <c r="A350" t="s">
        <v>164</v>
      </c>
      <c r="B350" t="s">
        <v>115</v>
      </c>
      <c r="C350" s="32" t="s">
        <v>294</v>
      </c>
      <c r="D350" t="s">
        <v>378</v>
      </c>
      <c r="E350" t="s">
        <v>395</v>
      </c>
      <c r="F350" s="174" t="n">
        <v>2033</v>
      </c>
      <c r="G350" s="175" t="n">
        <v>58</v>
      </c>
      <c r="H350" s="176" t="n">
        <v>17463.964016097</v>
      </c>
      <c r="I350" s="177" t="n">
        <v>3509749.68064424</v>
      </c>
      <c r="J350" s="178" t="str">
        <f>IF(I350&gt;0,H350/I350,0)</f>
      </c>
      <c r="K350" s="179" t="str">
        <f>1-EXP(-J350)</f>
      </c>
      <c r="L350" s="180" t="str">
        <f>IF(G350=30,1,M349)</f>
      </c>
      <c r="M350" s="181" t="str">
        <f>L350*(1-K350)</f>
      </c>
    </row>
    <row r="351">
      <c r="A351" t="s">
        <v>164</v>
      </c>
      <c r="B351" t="s">
        <v>115</v>
      </c>
      <c r="C351" s="32" t="s">
        <v>294</v>
      </c>
      <c r="D351" t="s">
        <v>378</v>
      </c>
      <c r="E351" t="s">
        <v>395</v>
      </c>
      <c r="F351" s="174" t="n">
        <v>2033</v>
      </c>
      <c r="G351" s="175" t="n">
        <v>59</v>
      </c>
      <c r="H351" s="176" t="n">
        <v>18474.0322111644</v>
      </c>
      <c r="I351" s="177" t="n">
        <v>3395395.06610723</v>
      </c>
      <c r="J351" s="178" t="str">
        <f>IF(I351&gt;0,H351/I351,0)</f>
      </c>
      <c r="K351" s="179" t="str">
        <f>1-EXP(-J351)</f>
      </c>
      <c r="L351" s="180" t="str">
        <f>IF(G351=30,1,M350)</f>
      </c>
      <c r="M351" s="181" t="str">
        <f>L351*(1-K351)</f>
      </c>
    </row>
    <row r="352">
      <c r="A352" t="s">
        <v>164</v>
      </c>
      <c r="B352" t="s">
        <v>115</v>
      </c>
      <c r="C352" s="32" t="s">
        <v>294</v>
      </c>
      <c r="D352" t="s">
        <v>378</v>
      </c>
      <c r="E352" t="s">
        <v>395</v>
      </c>
      <c r="F352" s="174" t="n">
        <v>2033</v>
      </c>
      <c r="G352" s="175" t="n">
        <v>60</v>
      </c>
      <c r="H352" s="176" t="n">
        <v>20104.4172208704</v>
      </c>
      <c r="I352" s="177" t="n">
        <v>3337975.36419282</v>
      </c>
      <c r="J352" s="178" t="str">
        <f>IF(I352&gt;0,H352/I352,0)</f>
      </c>
      <c r="K352" s="179" t="str">
        <f>1-EXP(-J352)</f>
      </c>
      <c r="L352" s="180" t="str">
        <f>IF(G352=30,1,M351)</f>
      </c>
      <c r="M352" s="181" t="str">
        <f>L352*(1-K352)</f>
      </c>
    </row>
    <row r="353">
      <c r="A353" t="s">
        <v>164</v>
      </c>
      <c r="B353" t="s">
        <v>115</v>
      </c>
      <c r="C353" s="32" t="s">
        <v>294</v>
      </c>
      <c r="D353" t="s">
        <v>378</v>
      </c>
      <c r="E353" t="s">
        <v>395</v>
      </c>
      <c r="F353" s="174" t="n">
        <v>2033</v>
      </c>
      <c r="G353" s="175" t="n">
        <v>61</v>
      </c>
      <c r="H353" s="176" t="n">
        <v>20483.325911533</v>
      </c>
      <c r="I353" s="177" t="n">
        <v>3123547.15045379</v>
      </c>
      <c r="J353" s="178" t="str">
        <f>IF(I353&gt;0,H353/I353,0)</f>
      </c>
      <c r="K353" s="179" t="str">
        <f>1-EXP(-J353)</f>
      </c>
      <c r="L353" s="180" t="str">
        <f>IF(G353=30,1,M352)</f>
      </c>
      <c r="M353" s="181" t="str">
        <f>L353*(1-K353)</f>
      </c>
    </row>
    <row r="354">
      <c r="A354" t="s">
        <v>164</v>
      </c>
      <c r="B354" t="s">
        <v>115</v>
      </c>
      <c r="C354" s="32" t="s">
        <v>294</v>
      </c>
      <c r="D354" t="s">
        <v>378</v>
      </c>
      <c r="E354" t="s">
        <v>395</v>
      </c>
      <c r="F354" s="174" t="n">
        <v>2033</v>
      </c>
      <c r="G354" s="175" t="n">
        <v>62</v>
      </c>
      <c r="H354" s="176" t="n">
        <v>21777.3472731885</v>
      </c>
      <c r="I354" s="177" t="n">
        <v>3024993.06778736</v>
      </c>
      <c r="J354" s="178" t="str">
        <f>IF(I354&gt;0,H354/I354,0)</f>
      </c>
      <c r="K354" s="179" t="str">
        <f>1-EXP(-J354)</f>
      </c>
      <c r="L354" s="180" t="str">
        <f>IF(G354=30,1,M353)</f>
      </c>
      <c r="M354" s="181" t="str">
        <f>L354*(1-K354)</f>
      </c>
    </row>
    <row r="355">
      <c r="A355" t="s">
        <v>164</v>
      </c>
      <c r="B355" t="s">
        <v>115</v>
      </c>
      <c r="C355" s="32" t="s">
        <v>294</v>
      </c>
      <c r="D355" t="s">
        <v>378</v>
      </c>
      <c r="E355" t="s">
        <v>395</v>
      </c>
      <c r="F355" s="174" t="n">
        <v>2033</v>
      </c>
      <c r="G355" s="175" t="n">
        <v>63</v>
      </c>
      <c r="H355" s="176" t="n">
        <v>23155.2884987943</v>
      </c>
      <c r="I355" s="177" t="n">
        <v>2929880.55735645</v>
      </c>
      <c r="J355" s="178" t="str">
        <f>IF(I355&gt;0,H355/I355,0)</f>
      </c>
      <c r="K355" s="179" t="str">
        <f>1-EXP(-J355)</f>
      </c>
      <c r="L355" s="180" t="str">
        <f>IF(G355=30,1,M354)</f>
      </c>
      <c r="M355" s="181" t="str">
        <f>L355*(1-K355)</f>
      </c>
    </row>
    <row r="356">
      <c r="A356" t="s">
        <v>164</v>
      </c>
      <c r="B356" t="s">
        <v>115</v>
      </c>
      <c r="C356" s="32" t="s">
        <v>294</v>
      </c>
      <c r="D356" t="s">
        <v>378</v>
      </c>
      <c r="E356" t="s">
        <v>395</v>
      </c>
      <c r="F356" s="174" t="n">
        <v>2033</v>
      </c>
      <c r="G356" s="175" t="n">
        <v>64</v>
      </c>
      <c r="H356" s="176" t="n">
        <v>24462.6321974775</v>
      </c>
      <c r="I356" s="177" t="n">
        <v>2825601.58052176</v>
      </c>
      <c r="J356" s="178" t="str">
        <f>IF(I356&gt;0,H356/I356,0)</f>
      </c>
      <c r="K356" s="179" t="str">
        <f>1-EXP(-J356)</f>
      </c>
      <c r="L356" s="180" t="str">
        <f>IF(G356=30,1,M355)</f>
      </c>
      <c r="M356" s="181" t="str">
        <f>L356*(1-K356)</f>
      </c>
    </row>
    <row r="357">
      <c r="A357" t="s">
        <v>164</v>
      </c>
      <c r="B357" t="s">
        <v>115</v>
      </c>
      <c r="C357" s="32" t="s">
        <v>294</v>
      </c>
      <c r="D357" t="s">
        <v>378</v>
      </c>
      <c r="E357" t="s">
        <v>395</v>
      </c>
      <c r="F357" s="174" t="n">
        <v>2033</v>
      </c>
      <c r="G357" s="175" t="n">
        <v>65</v>
      </c>
      <c r="H357" s="176" t="n">
        <v>24798.9558927818</v>
      </c>
      <c r="I357" s="177" t="n">
        <v>2702513.81675869</v>
      </c>
      <c r="J357" s="178" t="str">
        <f>IF(I357&gt;0,H357/I357,0)</f>
      </c>
      <c r="K357" s="179" t="str">
        <f>1-EXP(-J357)</f>
      </c>
      <c r="L357" s="180" t="str">
        <f>IF(G357=30,1,M356)</f>
      </c>
      <c r="M357" s="181" t="str">
        <f>L357*(1-K357)</f>
      </c>
    </row>
    <row r="358">
      <c r="A358" t="s">
        <v>164</v>
      </c>
      <c r="B358" t="s">
        <v>115</v>
      </c>
      <c r="C358" s="32" t="s">
        <v>294</v>
      </c>
      <c r="D358" t="s">
        <v>378</v>
      </c>
      <c r="E358" t="s">
        <v>395</v>
      </c>
      <c r="F358" s="174" t="n">
        <v>2033</v>
      </c>
      <c r="G358" s="175" t="n">
        <v>66</v>
      </c>
      <c r="H358" s="176" t="n">
        <v>25547.5385102529</v>
      </c>
      <c r="I358" s="177" t="n">
        <v>2550739.34096289</v>
      </c>
      <c r="J358" s="178" t="str">
        <f>IF(I358&gt;0,H358/I358,0)</f>
      </c>
      <c r="K358" s="179" t="str">
        <f>1-EXP(-J358)</f>
      </c>
      <c r="L358" s="180" t="str">
        <f>IF(G358=30,1,M357)</f>
      </c>
      <c r="M358" s="181" t="str">
        <f>L358*(1-K358)</f>
      </c>
    </row>
    <row r="359">
      <c r="A359" t="s">
        <v>164</v>
      </c>
      <c r="B359" t="s">
        <v>115</v>
      </c>
      <c r="C359" s="32" t="s">
        <v>294</v>
      </c>
      <c r="D359" t="s">
        <v>378</v>
      </c>
      <c r="E359" t="s">
        <v>395</v>
      </c>
      <c r="F359" s="174" t="n">
        <v>2033</v>
      </c>
      <c r="G359" s="175" t="n">
        <v>67</v>
      </c>
      <c r="H359" s="176" t="n">
        <v>26785.8586417672</v>
      </c>
      <c r="I359" s="177" t="n">
        <v>2432314.92952834</v>
      </c>
      <c r="J359" s="178" t="str">
        <f>IF(I359&gt;0,H359/I359,0)</f>
      </c>
      <c r="K359" s="179" t="str">
        <f>1-EXP(-J359)</f>
      </c>
      <c r="L359" s="180" t="str">
        <f>IF(G359=30,1,M358)</f>
      </c>
      <c r="M359" s="181" t="str">
        <f>L359*(1-K359)</f>
      </c>
    </row>
    <row r="360">
      <c r="A360" t="s">
        <v>164</v>
      </c>
      <c r="B360" t="s">
        <v>115</v>
      </c>
      <c r="C360" s="32" t="s">
        <v>294</v>
      </c>
      <c r="D360" t="s">
        <v>378</v>
      </c>
      <c r="E360" t="s">
        <v>395</v>
      </c>
      <c r="F360" s="174" t="n">
        <v>2033</v>
      </c>
      <c r="G360" s="175" t="n">
        <v>68</v>
      </c>
      <c r="H360" s="176" t="n">
        <v>27786.9170513378</v>
      </c>
      <c r="I360" s="177" t="n">
        <v>2294227.9233789</v>
      </c>
      <c r="J360" s="178" t="str">
        <f>IF(I360&gt;0,H360/I360,0)</f>
      </c>
      <c r="K360" s="179" t="str">
        <f>1-EXP(-J360)</f>
      </c>
      <c r="L360" s="180" t="str">
        <f>IF(G360=30,1,M359)</f>
      </c>
      <c r="M360" s="181" t="str">
        <f>L360*(1-K360)</f>
      </c>
    </row>
    <row r="361">
      <c r="A361" t="s">
        <v>164</v>
      </c>
      <c r="B361" t="s">
        <v>115</v>
      </c>
      <c r="C361" s="32" t="s">
        <v>294</v>
      </c>
      <c r="D361" t="s">
        <v>378</v>
      </c>
      <c r="E361" t="s">
        <v>395</v>
      </c>
      <c r="F361" s="174" t="n">
        <v>2033</v>
      </c>
      <c r="G361" s="175" t="n">
        <v>69</v>
      </c>
      <c r="H361" s="176" t="n">
        <v>28691.0897600819</v>
      </c>
      <c r="I361" s="177" t="n">
        <v>2156670.78030608</v>
      </c>
      <c r="J361" s="178" t="str">
        <f>IF(I361&gt;0,H361/I361,0)</f>
      </c>
      <c r="K361" s="179" t="str">
        <f>1-EXP(-J361)</f>
      </c>
      <c r="L361" s="180" t="str">
        <f>IF(G361=30,1,M360)</f>
      </c>
      <c r="M361" s="181" t="str">
        <f>L361*(1-K361)</f>
      </c>
    </row>
    <row r="362">
      <c r="A362" t="s">
        <v>164</v>
      </c>
      <c r="B362" t="s">
        <v>115</v>
      </c>
      <c r="C362" s="32" t="s">
        <v>294</v>
      </c>
      <c r="D362" t="s">
        <v>378</v>
      </c>
      <c r="E362" t="s">
        <v>395</v>
      </c>
      <c r="F362" s="174" t="n">
        <v>2034</v>
      </c>
      <c r="G362" s="175" t="n">
        <v>30</v>
      </c>
      <c r="H362" s="176" t="n">
        <v>781.666882484398</v>
      </c>
      <c r="I362" s="177" t="n">
        <v>4429664.72763768</v>
      </c>
      <c r="J362" s="178" t="str">
        <f>IF(I362&gt;0,H362/I362,0)</f>
      </c>
      <c r="K362" s="179" t="str">
        <f>1-EXP(-J362)</f>
      </c>
      <c r="L362" s="180" t="str">
        <f>IF(G362=30,1,M361)</f>
      </c>
      <c r="M362" s="181" t="str">
        <f>L362*(1-K362)</f>
      </c>
    </row>
    <row r="363">
      <c r="A363" t="s">
        <v>164</v>
      </c>
      <c r="B363" t="s">
        <v>115</v>
      </c>
      <c r="C363" s="32" t="s">
        <v>294</v>
      </c>
      <c r="D363" t="s">
        <v>378</v>
      </c>
      <c r="E363" t="s">
        <v>395</v>
      </c>
      <c r="F363" s="174" t="n">
        <v>2034</v>
      </c>
      <c r="G363" s="175" t="n">
        <v>31</v>
      </c>
      <c r="H363" s="176" t="n">
        <v>964.788665019679</v>
      </c>
      <c r="I363" s="177" t="n">
        <v>4364275.60558875</v>
      </c>
      <c r="J363" s="178" t="str">
        <f>IF(I363&gt;0,H363/I363,0)</f>
      </c>
      <c r="K363" s="179" t="str">
        <f>1-EXP(-J363)</f>
      </c>
      <c r="L363" s="180" t="str">
        <f>IF(G363=30,1,M362)</f>
      </c>
      <c r="M363" s="181" t="str">
        <f>L363*(1-K363)</f>
      </c>
    </row>
    <row r="364">
      <c r="A364" t="s">
        <v>164</v>
      </c>
      <c r="B364" t="s">
        <v>115</v>
      </c>
      <c r="C364" s="32" t="s">
        <v>294</v>
      </c>
      <c r="D364" t="s">
        <v>378</v>
      </c>
      <c r="E364" t="s">
        <v>395</v>
      </c>
      <c r="F364" s="174" t="n">
        <v>2034</v>
      </c>
      <c r="G364" s="175" t="n">
        <v>32</v>
      </c>
      <c r="H364" s="176" t="n">
        <v>1152.67774203026</v>
      </c>
      <c r="I364" s="177" t="n">
        <v>4343486.1822525</v>
      </c>
      <c r="J364" s="178" t="str">
        <f>IF(I364&gt;0,H364/I364,0)</f>
      </c>
      <c r="K364" s="179" t="str">
        <f>1-EXP(-J364)</f>
      </c>
      <c r="L364" s="180" t="str">
        <f>IF(G364=30,1,M363)</f>
      </c>
      <c r="M364" s="181" t="str">
        <f>L364*(1-K364)</f>
      </c>
    </row>
    <row r="365">
      <c r="A365" t="s">
        <v>164</v>
      </c>
      <c r="B365" t="s">
        <v>115</v>
      </c>
      <c r="C365" s="32" t="s">
        <v>294</v>
      </c>
      <c r="D365" t="s">
        <v>378</v>
      </c>
      <c r="E365" t="s">
        <v>395</v>
      </c>
      <c r="F365" s="174" t="n">
        <v>2034</v>
      </c>
      <c r="G365" s="175" t="n">
        <v>33</v>
      </c>
      <c r="H365" s="176" t="n">
        <v>1211.75124180867</v>
      </c>
      <c r="I365" s="177" t="n">
        <v>4323733.46107318</v>
      </c>
      <c r="J365" s="178" t="str">
        <f>IF(I365&gt;0,H365/I365,0)</f>
      </c>
      <c r="K365" s="179" t="str">
        <f>1-EXP(-J365)</f>
      </c>
      <c r="L365" s="180" t="str">
        <f>IF(G365=30,1,M364)</f>
      </c>
      <c r="M365" s="181" t="str">
        <f>L365*(1-K365)</f>
      </c>
    </row>
    <row r="366">
      <c r="A366" t="s">
        <v>164</v>
      </c>
      <c r="B366" t="s">
        <v>115</v>
      </c>
      <c r="C366" s="32" t="s">
        <v>294</v>
      </c>
      <c r="D366" t="s">
        <v>378</v>
      </c>
      <c r="E366" t="s">
        <v>395</v>
      </c>
      <c r="F366" s="174" t="n">
        <v>2034</v>
      </c>
      <c r="G366" s="175" t="n">
        <v>34</v>
      </c>
      <c r="H366" s="176" t="n">
        <v>1282.76943116356</v>
      </c>
      <c r="I366" s="177" t="n">
        <v>4303706.63755878</v>
      </c>
      <c r="J366" s="178" t="str">
        <f>IF(I366&gt;0,H366/I366,0)</f>
      </c>
      <c r="K366" s="179" t="str">
        <f>1-EXP(-J366)</f>
      </c>
      <c r="L366" s="180" t="str">
        <f>IF(G366=30,1,M365)</f>
      </c>
      <c r="M366" s="181" t="str">
        <f>L366*(1-K366)</f>
      </c>
    </row>
    <row r="367">
      <c r="A367" t="s">
        <v>164</v>
      </c>
      <c r="B367" t="s">
        <v>115</v>
      </c>
      <c r="C367" s="32" t="s">
        <v>294</v>
      </c>
      <c r="D367" t="s">
        <v>378</v>
      </c>
      <c r="E367" t="s">
        <v>395</v>
      </c>
      <c r="F367" s="174" t="n">
        <v>2034</v>
      </c>
      <c r="G367" s="175" t="n">
        <v>35</v>
      </c>
      <c r="H367" s="176" t="n">
        <v>1739.70139476959</v>
      </c>
      <c r="I367" s="177" t="n">
        <v>4323313.49562871</v>
      </c>
      <c r="J367" s="178" t="str">
        <f>IF(I367&gt;0,H367/I367,0)</f>
      </c>
      <c r="K367" s="179" t="str">
        <f>1-EXP(-J367)</f>
      </c>
      <c r="L367" s="180" t="str">
        <f>IF(G367=30,1,M366)</f>
      </c>
      <c r="M367" s="181" t="str">
        <f>L367*(1-K367)</f>
      </c>
    </row>
    <row r="368">
      <c r="A368" t="s">
        <v>164</v>
      </c>
      <c r="B368" t="s">
        <v>115</v>
      </c>
      <c r="C368" s="32" t="s">
        <v>294</v>
      </c>
      <c r="D368" t="s">
        <v>378</v>
      </c>
      <c r="E368" t="s">
        <v>395</v>
      </c>
      <c r="F368" s="174" t="n">
        <v>2034</v>
      </c>
      <c r="G368" s="175" t="n">
        <v>36</v>
      </c>
      <c r="H368" s="176" t="n">
        <v>1940.32097941106</v>
      </c>
      <c r="I368" s="177" t="n">
        <v>4381556.58387135</v>
      </c>
      <c r="J368" s="178" t="str">
        <f>IF(I368&gt;0,H368/I368,0)</f>
      </c>
      <c r="K368" s="179" t="str">
        <f>1-EXP(-J368)</f>
      </c>
      <c r="L368" s="180" t="str">
        <f>IF(G368=30,1,M367)</f>
      </c>
      <c r="M368" s="181" t="str">
        <f>L368*(1-K368)</f>
      </c>
    </row>
    <row r="369">
      <c r="A369" t="s">
        <v>164</v>
      </c>
      <c r="B369" t="s">
        <v>115</v>
      </c>
      <c r="C369" s="32" t="s">
        <v>294</v>
      </c>
      <c r="D369" t="s">
        <v>378</v>
      </c>
      <c r="E369" t="s">
        <v>395</v>
      </c>
      <c r="F369" s="174" t="n">
        <v>2034</v>
      </c>
      <c r="G369" s="175" t="n">
        <v>37</v>
      </c>
      <c r="H369" s="176" t="n">
        <v>2358.48631310217</v>
      </c>
      <c r="I369" s="177" t="n">
        <v>4519127.37128336</v>
      </c>
      <c r="J369" s="178" t="str">
        <f>IF(I369&gt;0,H369/I369,0)</f>
      </c>
      <c r="K369" s="179" t="str">
        <f>1-EXP(-J369)</f>
      </c>
      <c r="L369" s="180" t="str">
        <f>IF(G369=30,1,M368)</f>
      </c>
      <c r="M369" s="181" t="str">
        <f>L369*(1-K369)</f>
      </c>
    </row>
    <row r="370">
      <c r="A370" t="s">
        <v>164</v>
      </c>
      <c r="B370" t="s">
        <v>115</v>
      </c>
      <c r="C370" s="32" t="s">
        <v>294</v>
      </c>
      <c r="D370" t="s">
        <v>378</v>
      </c>
      <c r="E370" t="s">
        <v>395</v>
      </c>
      <c r="F370" s="174" t="n">
        <v>2034</v>
      </c>
      <c r="G370" s="175" t="n">
        <v>38</v>
      </c>
      <c r="H370" s="176" t="n">
        <v>2517.69529255786</v>
      </c>
      <c r="I370" s="177" t="n">
        <v>4474753.30415558</v>
      </c>
      <c r="J370" s="178" t="str">
        <f>IF(I370&gt;0,H370/I370,0)</f>
      </c>
      <c r="K370" s="179" t="str">
        <f>1-EXP(-J370)</f>
      </c>
      <c r="L370" s="180" t="str">
        <f>IF(G370=30,1,M369)</f>
      </c>
      <c r="M370" s="181" t="str">
        <f>L370*(1-K370)</f>
      </c>
    </row>
    <row r="371">
      <c r="A371" t="s">
        <v>164</v>
      </c>
      <c r="B371" t="s">
        <v>115</v>
      </c>
      <c r="C371" s="32" t="s">
        <v>294</v>
      </c>
      <c r="D371" t="s">
        <v>378</v>
      </c>
      <c r="E371" t="s">
        <v>395</v>
      </c>
      <c r="F371" s="174" t="n">
        <v>2034</v>
      </c>
      <c r="G371" s="175" t="n">
        <v>39</v>
      </c>
      <c r="H371" s="176" t="n">
        <v>2673.73241466911</v>
      </c>
      <c r="I371" s="177" t="n">
        <v>4400165.13239718</v>
      </c>
      <c r="J371" s="178" t="str">
        <f>IF(I371&gt;0,H371/I371,0)</f>
      </c>
      <c r="K371" s="179" t="str">
        <f>1-EXP(-J371)</f>
      </c>
      <c r="L371" s="180" t="str">
        <f>IF(G371=30,1,M370)</f>
      </c>
      <c r="M371" s="181" t="str">
        <f>L371*(1-K371)</f>
      </c>
    </row>
    <row r="372">
      <c r="A372" t="s">
        <v>164</v>
      </c>
      <c r="B372" t="s">
        <v>115</v>
      </c>
      <c r="C372" s="32" t="s">
        <v>294</v>
      </c>
      <c r="D372" t="s">
        <v>378</v>
      </c>
      <c r="E372" t="s">
        <v>395</v>
      </c>
      <c r="F372" s="174" t="n">
        <v>2034</v>
      </c>
      <c r="G372" s="175" t="n">
        <v>40</v>
      </c>
      <c r="H372" s="176" t="n">
        <v>3538.93121270152</v>
      </c>
      <c r="I372" s="177" t="n">
        <v>4341040.87068366</v>
      </c>
      <c r="J372" s="178" t="str">
        <f>IF(I372&gt;0,H372/I372,0)</f>
      </c>
      <c r="K372" s="179" t="str">
        <f>1-EXP(-J372)</f>
      </c>
      <c r="L372" s="180" t="str">
        <f>IF(G372=30,1,M371)</f>
      </c>
      <c r="M372" s="181" t="str">
        <f>L372*(1-K372)</f>
      </c>
    </row>
    <row r="373">
      <c r="A373" t="s">
        <v>164</v>
      </c>
      <c r="B373" t="s">
        <v>115</v>
      </c>
      <c r="C373" s="32" t="s">
        <v>294</v>
      </c>
      <c r="D373" t="s">
        <v>378</v>
      </c>
      <c r="E373" t="s">
        <v>395</v>
      </c>
      <c r="F373" s="174" t="n">
        <v>2034</v>
      </c>
      <c r="G373" s="175" t="n">
        <v>41</v>
      </c>
      <c r="H373" s="176" t="n">
        <v>3728.995467353</v>
      </c>
      <c r="I373" s="177" t="n">
        <v>4284496.76512146</v>
      </c>
      <c r="J373" s="178" t="str">
        <f>IF(I373&gt;0,H373/I373,0)</f>
      </c>
      <c r="K373" s="179" t="str">
        <f>1-EXP(-J373)</f>
      </c>
      <c r="L373" s="180" t="str">
        <f>IF(G373=30,1,M372)</f>
      </c>
      <c r="M373" s="181" t="str">
        <f>L373*(1-K373)</f>
      </c>
    </row>
    <row r="374">
      <c r="A374" t="s">
        <v>164</v>
      </c>
      <c r="B374" t="s">
        <v>115</v>
      </c>
      <c r="C374" s="32" t="s">
        <v>294</v>
      </c>
      <c r="D374" t="s">
        <v>378</v>
      </c>
      <c r="E374" t="s">
        <v>395</v>
      </c>
      <c r="F374" s="174" t="n">
        <v>2034</v>
      </c>
      <c r="G374" s="175" t="n">
        <v>42</v>
      </c>
      <c r="H374" s="176" t="n">
        <v>4087.44788517578</v>
      </c>
      <c r="I374" s="177" t="n">
        <v>4319074.47493162</v>
      </c>
      <c r="J374" s="178" t="str">
        <f>IF(I374&gt;0,H374/I374,0)</f>
      </c>
      <c r="K374" s="179" t="str">
        <f>1-EXP(-J374)</f>
      </c>
      <c r="L374" s="180" t="str">
        <f>IF(G374=30,1,M373)</f>
      </c>
      <c r="M374" s="181" t="str">
        <f>L374*(1-K374)</f>
      </c>
    </row>
    <row r="375">
      <c r="A375" t="s">
        <v>164</v>
      </c>
      <c r="B375" t="s">
        <v>115</v>
      </c>
      <c r="C375" s="32" t="s">
        <v>294</v>
      </c>
      <c r="D375" t="s">
        <v>378</v>
      </c>
      <c r="E375" t="s">
        <v>395</v>
      </c>
      <c r="F375" s="174" t="n">
        <v>2034</v>
      </c>
      <c r="G375" s="175" t="n">
        <v>43</v>
      </c>
      <c r="H375" s="176" t="n">
        <v>4475.59860840323</v>
      </c>
      <c r="I375" s="177" t="n">
        <v>4333715.14999758</v>
      </c>
      <c r="J375" s="178" t="str">
        <f>IF(I375&gt;0,H375/I375,0)</f>
      </c>
      <c r="K375" s="179" t="str">
        <f>1-EXP(-J375)</f>
      </c>
      <c r="L375" s="180" t="str">
        <f>IF(G375=30,1,M374)</f>
      </c>
      <c r="M375" s="181" t="str">
        <f>L375*(1-K375)</f>
      </c>
    </row>
    <row r="376">
      <c r="A376" t="s">
        <v>164</v>
      </c>
      <c r="B376" t="s">
        <v>115</v>
      </c>
      <c r="C376" s="32" t="s">
        <v>294</v>
      </c>
      <c r="D376" t="s">
        <v>378</v>
      </c>
      <c r="E376" t="s">
        <v>395</v>
      </c>
      <c r="F376" s="174" t="n">
        <v>2034</v>
      </c>
      <c r="G376" s="175" t="n">
        <v>44</v>
      </c>
      <c r="H376" s="176" t="n">
        <v>6809.43346712894</v>
      </c>
      <c r="I376" s="177" t="n">
        <v>6379100.2919473</v>
      </c>
      <c r="J376" s="178" t="str">
        <f>IF(I376&gt;0,H376/I376,0)</f>
      </c>
      <c r="K376" s="179" t="str">
        <f>1-EXP(-J376)</f>
      </c>
      <c r="L376" s="180" t="str">
        <f>IF(G376=30,1,M375)</f>
      </c>
      <c r="M376" s="181" t="str">
        <f>L376*(1-K376)</f>
      </c>
    </row>
    <row r="377">
      <c r="A377" t="s">
        <v>164</v>
      </c>
      <c r="B377" t="s">
        <v>115</v>
      </c>
      <c r="C377" s="32" t="s">
        <v>294</v>
      </c>
      <c r="D377" t="s">
        <v>378</v>
      </c>
      <c r="E377" t="s">
        <v>395</v>
      </c>
      <c r="F377" s="174" t="n">
        <v>2034</v>
      </c>
      <c r="G377" s="175" t="n">
        <v>45</v>
      </c>
      <c r="H377" s="176" t="n">
        <v>6241.28448620549</v>
      </c>
      <c r="I377" s="177" t="n">
        <v>4285159.8503815</v>
      </c>
      <c r="J377" s="178" t="str">
        <f>IF(I377&gt;0,H377/I377,0)</f>
      </c>
      <c r="K377" s="179" t="str">
        <f>1-EXP(-J377)</f>
      </c>
      <c r="L377" s="180" t="str">
        <f>IF(G377=30,1,M376)</f>
      </c>
      <c r="M377" s="181" t="str">
        <f>L377*(1-K377)</f>
      </c>
    </row>
    <row r="378">
      <c r="A378" t="s">
        <v>164</v>
      </c>
      <c r="B378" t="s">
        <v>115</v>
      </c>
      <c r="C378" s="32" t="s">
        <v>294</v>
      </c>
      <c r="D378" t="s">
        <v>378</v>
      </c>
      <c r="E378" t="s">
        <v>395</v>
      </c>
      <c r="F378" s="174" t="n">
        <v>2034</v>
      </c>
      <c r="G378" s="175" t="n">
        <v>46</v>
      </c>
      <c r="H378" s="176" t="n">
        <v>6711.6415891588</v>
      </c>
      <c r="I378" s="177" t="n">
        <v>4263175.52634203</v>
      </c>
      <c r="J378" s="178" t="str">
        <f>IF(I378&gt;0,H378/I378,0)</f>
      </c>
      <c r="K378" s="179" t="str">
        <f>1-EXP(-J378)</f>
      </c>
      <c r="L378" s="180" t="str">
        <f>IF(G378=30,1,M377)</f>
      </c>
      <c r="M378" s="181" t="str">
        <f>L378*(1-K378)</f>
      </c>
    </row>
    <row r="379">
      <c r="A379" t="s">
        <v>164</v>
      </c>
      <c r="B379" t="s">
        <v>115</v>
      </c>
      <c r="C379" s="32" t="s">
        <v>294</v>
      </c>
      <c r="D379" t="s">
        <v>378</v>
      </c>
      <c r="E379" t="s">
        <v>395</v>
      </c>
      <c r="F379" s="174" t="n">
        <v>2034</v>
      </c>
      <c r="G379" s="175" t="n">
        <v>47</v>
      </c>
      <c r="H379" s="176" t="n">
        <v>7149.94307600545</v>
      </c>
      <c r="I379" s="177" t="n">
        <v>4127702.72067415</v>
      </c>
      <c r="J379" s="178" t="str">
        <f>IF(I379&gt;0,H379/I379,0)</f>
      </c>
      <c r="K379" s="179" t="str">
        <f>1-EXP(-J379)</f>
      </c>
      <c r="L379" s="180" t="str">
        <f>IF(G379=30,1,M378)</f>
      </c>
      <c r="M379" s="181" t="str">
        <f>L379*(1-K379)</f>
      </c>
    </row>
    <row r="380">
      <c r="A380" t="s">
        <v>164</v>
      </c>
      <c r="B380" t="s">
        <v>115</v>
      </c>
      <c r="C380" s="32" t="s">
        <v>294</v>
      </c>
      <c r="D380" t="s">
        <v>378</v>
      </c>
      <c r="E380" t="s">
        <v>395</v>
      </c>
      <c r="F380" s="174" t="n">
        <v>2034</v>
      </c>
      <c r="G380" s="175" t="n">
        <v>48</v>
      </c>
      <c r="H380" s="176" t="n">
        <v>7786.91179570119</v>
      </c>
      <c r="I380" s="177" t="n">
        <v>4088097.40187659</v>
      </c>
      <c r="J380" s="178" t="str">
        <f>IF(I380&gt;0,H380/I380,0)</f>
      </c>
      <c r="K380" s="179" t="str">
        <f>1-EXP(-J380)</f>
      </c>
      <c r="L380" s="180" t="str">
        <f>IF(G380=30,1,M379)</f>
      </c>
      <c r="M380" s="181" t="str">
        <f>L380*(1-K380)</f>
      </c>
    </row>
    <row r="381">
      <c r="A381" t="s">
        <v>164</v>
      </c>
      <c r="B381" t="s">
        <v>115</v>
      </c>
      <c r="C381" s="32" t="s">
        <v>294</v>
      </c>
      <c r="D381" t="s">
        <v>378</v>
      </c>
      <c r="E381" t="s">
        <v>395</v>
      </c>
      <c r="F381" s="174" t="n">
        <v>2034</v>
      </c>
      <c r="G381" s="175" t="n">
        <v>49</v>
      </c>
      <c r="H381" s="176" t="n">
        <v>8666.60064942537</v>
      </c>
      <c r="I381" s="177" t="n">
        <v>4139893.04021604</v>
      </c>
      <c r="J381" s="178" t="str">
        <f>IF(I381&gt;0,H381/I381,0)</f>
      </c>
      <c r="K381" s="179" t="str">
        <f>1-EXP(-J381)</f>
      </c>
      <c r="L381" s="180" t="str">
        <f>IF(G381=30,1,M380)</f>
      </c>
      <c r="M381" s="181" t="str">
        <f>L381*(1-K381)</f>
      </c>
    </row>
    <row r="382">
      <c r="A382" t="s">
        <v>164</v>
      </c>
      <c r="B382" t="s">
        <v>115</v>
      </c>
      <c r="C382" s="32" t="s">
        <v>294</v>
      </c>
      <c r="D382" t="s">
        <v>378</v>
      </c>
      <c r="E382" t="s">
        <v>395</v>
      </c>
      <c r="F382" s="174" t="n">
        <v>2034</v>
      </c>
      <c r="G382" s="175" t="n">
        <v>50</v>
      </c>
      <c r="H382" s="176" t="n">
        <v>10220.4734120507</v>
      </c>
      <c r="I382" s="177" t="n">
        <v>4215504.2802131</v>
      </c>
      <c r="J382" s="178" t="str">
        <f>IF(I382&gt;0,H382/I382,0)</f>
      </c>
      <c r="K382" s="179" t="str">
        <f>1-EXP(-J382)</f>
      </c>
      <c r="L382" s="180" t="str">
        <f>IF(G382=30,1,M381)</f>
      </c>
      <c r="M382" s="181" t="str">
        <f>L382*(1-K382)</f>
      </c>
    </row>
    <row r="383">
      <c r="A383" t="s">
        <v>164</v>
      </c>
      <c r="B383" t="s">
        <v>115</v>
      </c>
      <c r="C383" s="32" t="s">
        <v>294</v>
      </c>
      <c r="D383" t="s">
        <v>378</v>
      </c>
      <c r="E383" t="s">
        <v>395</v>
      </c>
      <c r="F383" s="174" t="n">
        <v>2034</v>
      </c>
      <c r="G383" s="175" t="n">
        <v>51</v>
      </c>
      <c r="H383" s="176" t="n">
        <v>10967.6349629759</v>
      </c>
      <c r="I383" s="177" t="n">
        <v>4182617.74480204</v>
      </c>
      <c r="J383" s="178" t="str">
        <f>IF(I383&gt;0,H383/I383,0)</f>
      </c>
      <c r="K383" s="179" t="str">
        <f>1-EXP(-J383)</f>
      </c>
      <c r="L383" s="180" t="str">
        <f>IF(G383=30,1,M382)</f>
      </c>
      <c r="M383" s="181" t="str">
        <f>L383*(1-K383)</f>
      </c>
    </row>
    <row r="384">
      <c r="A384" t="s">
        <v>164</v>
      </c>
      <c r="B384" t="s">
        <v>115</v>
      </c>
      <c r="C384" s="32" t="s">
        <v>294</v>
      </c>
      <c r="D384" t="s">
        <v>378</v>
      </c>
      <c r="E384" t="s">
        <v>395</v>
      </c>
      <c r="F384" s="174" t="n">
        <v>2034</v>
      </c>
      <c r="G384" s="175" t="n">
        <v>52</v>
      </c>
      <c r="H384" s="176" t="n">
        <v>11624.4698301024</v>
      </c>
      <c r="I384" s="177" t="n">
        <v>4040101.44015344</v>
      </c>
      <c r="J384" s="178" t="str">
        <f>IF(I384&gt;0,H384/I384,0)</f>
      </c>
      <c r="K384" s="179" t="str">
        <f>1-EXP(-J384)</f>
      </c>
      <c r="L384" s="180" t="str">
        <f>IF(G384=30,1,M383)</f>
      </c>
      <c r="M384" s="181" t="str">
        <f>L384*(1-K384)</f>
      </c>
    </row>
    <row r="385">
      <c r="A385" t="s">
        <v>164</v>
      </c>
      <c r="B385" t="s">
        <v>115</v>
      </c>
      <c r="C385" s="32" t="s">
        <v>294</v>
      </c>
      <c r="D385" t="s">
        <v>378</v>
      </c>
      <c r="E385" t="s">
        <v>395</v>
      </c>
      <c r="F385" s="174" t="n">
        <v>2034</v>
      </c>
      <c r="G385" s="175" t="n">
        <v>53</v>
      </c>
      <c r="H385" s="176" t="n">
        <v>12473.6964114843</v>
      </c>
      <c r="I385" s="177" t="n">
        <v>3958112.6102091</v>
      </c>
      <c r="J385" s="178" t="str">
        <f>IF(I385&gt;0,H385/I385,0)</f>
      </c>
      <c r="K385" s="179" t="str">
        <f>1-EXP(-J385)</f>
      </c>
      <c r="L385" s="180" t="str">
        <f>IF(G385=30,1,M384)</f>
      </c>
      <c r="M385" s="181" t="str">
        <f>L385*(1-K385)</f>
      </c>
    </row>
    <row r="386">
      <c r="A386" t="s">
        <v>164</v>
      </c>
      <c r="B386" t="s">
        <v>115</v>
      </c>
      <c r="C386" s="32" t="s">
        <v>294</v>
      </c>
      <c r="D386" t="s">
        <v>378</v>
      </c>
      <c r="E386" t="s">
        <v>395</v>
      </c>
      <c r="F386" s="174" t="n">
        <v>2034</v>
      </c>
      <c r="G386" s="175" t="n">
        <v>54</v>
      </c>
      <c r="H386" s="176" t="n">
        <v>13420.6013854291</v>
      </c>
      <c r="I386" s="177" t="n">
        <v>3890960.023805</v>
      </c>
      <c r="J386" s="178" t="str">
        <f>IF(I386&gt;0,H386/I386,0)</f>
      </c>
      <c r="K386" s="179" t="str">
        <f>1-EXP(-J386)</f>
      </c>
      <c r="L386" s="180" t="str">
        <f>IF(G386=30,1,M385)</f>
      </c>
      <c r="M386" s="181" t="str">
        <f>L386*(1-K386)</f>
      </c>
    </row>
    <row r="387">
      <c r="A387" t="s">
        <v>164</v>
      </c>
      <c r="B387" t="s">
        <v>115</v>
      </c>
      <c r="C387" s="32" t="s">
        <v>294</v>
      </c>
      <c r="D387" t="s">
        <v>378</v>
      </c>
      <c r="E387" t="s">
        <v>395</v>
      </c>
      <c r="F387" s="174" t="n">
        <v>2034</v>
      </c>
      <c r="G387" s="175" t="n">
        <v>55</v>
      </c>
      <c r="H387" s="176" t="n">
        <v>14411.9942379839</v>
      </c>
      <c r="I387" s="177" t="n">
        <v>3818025.39263485</v>
      </c>
      <c r="J387" s="178" t="str">
        <f>IF(I387&gt;0,H387/I387,0)</f>
      </c>
      <c r="K387" s="179" t="str">
        <f>1-EXP(-J387)</f>
      </c>
      <c r="L387" s="180" t="str">
        <f>IF(G387=30,1,M386)</f>
      </c>
      <c r="M387" s="181" t="str">
        <f>L387*(1-K387)</f>
      </c>
    </row>
    <row r="388">
      <c r="A388" t="s">
        <v>164</v>
      </c>
      <c r="B388" t="s">
        <v>115</v>
      </c>
      <c r="C388" s="32" t="s">
        <v>294</v>
      </c>
      <c r="D388" t="s">
        <v>378</v>
      </c>
      <c r="E388" t="s">
        <v>395</v>
      </c>
      <c r="F388" s="174" t="n">
        <v>2034</v>
      </c>
      <c r="G388" s="175" t="n">
        <v>56</v>
      </c>
      <c r="H388" s="176" t="n">
        <v>15213.3973969789</v>
      </c>
      <c r="I388" s="177" t="n">
        <v>3725368.76429328</v>
      </c>
      <c r="J388" s="178" t="str">
        <f>IF(I388&gt;0,H388/I388,0)</f>
      </c>
      <c r="K388" s="179" t="str">
        <f>1-EXP(-J388)</f>
      </c>
      <c r="L388" s="180" t="str">
        <f>IF(G388=30,1,M387)</f>
      </c>
      <c r="M388" s="181" t="str">
        <f>L388*(1-K388)</f>
      </c>
    </row>
    <row r="389">
      <c r="A389" t="s">
        <v>164</v>
      </c>
      <c r="B389" t="s">
        <v>115</v>
      </c>
      <c r="C389" s="32" t="s">
        <v>294</v>
      </c>
      <c r="D389" t="s">
        <v>378</v>
      </c>
      <c r="E389" t="s">
        <v>395</v>
      </c>
      <c r="F389" s="174" t="n">
        <v>2034</v>
      </c>
      <c r="G389" s="175" t="n">
        <v>57</v>
      </c>
      <c r="H389" s="176" t="n">
        <v>16336.8187626323</v>
      </c>
      <c r="I389" s="177" t="n">
        <v>3648876.93183774</v>
      </c>
      <c r="J389" s="178" t="str">
        <f>IF(I389&gt;0,H389/I389,0)</f>
      </c>
      <c r="K389" s="179" t="str">
        <f>1-EXP(-J389)</f>
      </c>
      <c r="L389" s="180" t="str">
        <f>IF(G389=30,1,M388)</f>
      </c>
      <c r="M389" s="181" t="str">
        <f>L389*(1-K389)</f>
      </c>
    </row>
    <row r="390">
      <c r="A390" t="s">
        <v>164</v>
      </c>
      <c r="B390" t="s">
        <v>115</v>
      </c>
      <c r="C390" s="32" t="s">
        <v>294</v>
      </c>
      <c r="D390" t="s">
        <v>378</v>
      </c>
      <c r="E390" t="s">
        <v>395</v>
      </c>
      <c r="F390" s="174" t="n">
        <v>2034</v>
      </c>
      <c r="G390" s="175" t="n">
        <v>58</v>
      </c>
      <c r="H390" s="176" t="n">
        <v>17459.6112887904</v>
      </c>
      <c r="I390" s="177" t="n">
        <v>3560394.15818745</v>
      </c>
      <c r="J390" s="178" t="str">
        <f>IF(I390&gt;0,H390/I390,0)</f>
      </c>
      <c r="K390" s="179" t="str">
        <f>1-EXP(-J390)</f>
      </c>
      <c r="L390" s="180" t="str">
        <f>IF(G390=30,1,M389)</f>
      </c>
      <c r="M390" s="181" t="str">
        <f>L390*(1-K390)</f>
      </c>
    </row>
    <row r="391">
      <c r="A391" t="s">
        <v>164</v>
      </c>
      <c r="B391" t="s">
        <v>115</v>
      </c>
      <c r="C391" s="32" t="s">
        <v>294</v>
      </c>
      <c r="D391" t="s">
        <v>378</v>
      </c>
      <c r="E391" t="s">
        <v>395</v>
      </c>
      <c r="F391" s="174" t="n">
        <v>2034</v>
      </c>
      <c r="G391" s="175" t="n">
        <v>59</v>
      </c>
      <c r="H391" s="176" t="n">
        <v>18644.7434702088</v>
      </c>
      <c r="I391" s="177" t="n">
        <v>3470465.4732504</v>
      </c>
      <c r="J391" s="178" t="str">
        <f>IF(I391&gt;0,H391/I391,0)</f>
      </c>
      <c r="K391" s="179" t="str">
        <f>1-EXP(-J391)</f>
      </c>
      <c r="L391" s="180" t="str">
        <f>IF(G391=30,1,M390)</f>
      </c>
      <c r="M391" s="181" t="str">
        <f>L391*(1-K391)</f>
      </c>
    </row>
    <row r="392">
      <c r="A392" t="s">
        <v>164</v>
      </c>
      <c r="B392" t="s">
        <v>115</v>
      </c>
      <c r="C392" s="32" t="s">
        <v>294</v>
      </c>
      <c r="D392" t="s">
        <v>378</v>
      </c>
      <c r="E392" t="s">
        <v>395</v>
      </c>
      <c r="F392" s="174" t="n">
        <v>2034</v>
      </c>
      <c r="G392" s="175" t="n">
        <v>60</v>
      </c>
      <c r="H392" s="176" t="n">
        <v>19902.5923934658</v>
      </c>
      <c r="I392" s="177" t="n">
        <v>3353853.12149775</v>
      </c>
      <c r="J392" s="178" t="str">
        <f>IF(I392&gt;0,H392/I392,0)</f>
      </c>
      <c r="K392" s="179" t="str">
        <f>1-EXP(-J392)</f>
      </c>
      <c r="L392" s="180" t="str">
        <f>IF(G392=30,1,M391)</f>
      </c>
      <c r="M392" s="181" t="str">
        <f>L392*(1-K392)</f>
      </c>
    </row>
    <row r="393">
      <c r="A393" t="s">
        <v>164</v>
      </c>
      <c r="B393" t="s">
        <v>115</v>
      </c>
      <c r="C393" s="32" t="s">
        <v>294</v>
      </c>
      <c r="D393" t="s">
        <v>378</v>
      </c>
      <c r="E393" t="s">
        <v>395</v>
      </c>
      <c r="F393" s="174" t="n">
        <v>2034</v>
      </c>
      <c r="G393" s="175" t="n">
        <v>61</v>
      </c>
      <c r="H393" s="176" t="n">
        <v>21206.7835515066</v>
      </c>
      <c r="I393" s="177" t="n">
        <v>3292829.37697392</v>
      </c>
      <c r="J393" s="178" t="str">
        <f>IF(I393&gt;0,H393/I393,0)</f>
      </c>
      <c r="K393" s="179" t="str">
        <f>1-EXP(-J393)</f>
      </c>
      <c r="L393" s="180" t="str">
        <f>IF(G393=30,1,M392)</f>
      </c>
      <c r="M393" s="181" t="str">
        <f>L393*(1-K393)</f>
      </c>
    </row>
    <row r="394">
      <c r="A394" t="s">
        <v>164</v>
      </c>
      <c r="B394" t="s">
        <v>115</v>
      </c>
      <c r="C394" s="32" t="s">
        <v>294</v>
      </c>
      <c r="D394" t="s">
        <v>378</v>
      </c>
      <c r="E394" t="s">
        <v>395</v>
      </c>
      <c r="F394" s="174" t="n">
        <v>2034</v>
      </c>
      <c r="G394" s="175" t="n">
        <v>62</v>
      </c>
      <c r="H394" s="176" t="n">
        <v>21787.6687104159</v>
      </c>
      <c r="I394" s="177" t="n">
        <v>3077846.5997874</v>
      </c>
      <c r="J394" s="178" t="str">
        <f>IF(I394&gt;0,H394/I394,0)</f>
      </c>
      <c r="K394" s="179" t="str">
        <f>1-EXP(-J394)</f>
      </c>
      <c r="L394" s="180" t="str">
        <f>IF(G394=30,1,M393)</f>
      </c>
      <c r="M394" s="181" t="str">
        <f>L394*(1-K394)</f>
      </c>
    </row>
    <row r="395">
      <c r="A395" t="s">
        <v>164</v>
      </c>
      <c r="B395" t="s">
        <v>115</v>
      </c>
      <c r="C395" s="32" t="s">
        <v>294</v>
      </c>
      <c r="D395" t="s">
        <v>378</v>
      </c>
      <c r="E395" t="s">
        <v>395</v>
      </c>
      <c r="F395" s="174" t="n">
        <v>2034</v>
      </c>
      <c r="G395" s="175" t="n">
        <v>63</v>
      </c>
      <c r="H395" s="176" t="n">
        <v>23129.6184373556</v>
      </c>
      <c r="I395" s="177" t="n">
        <v>2976491.50027948</v>
      </c>
      <c r="J395" s="178" t="str">
        <f>IF(I395&gt;0,H395/I395,0)</f>
      </c>
      <c r="K395" s="179" t="str">
        <f>1-EXP(-J395)</f>
      </c>
      <c r="L395" s="180" t="str">
        <f>IF(G395=30,1,M394)</f>
      </c>
      <c r="M395" s="181" t="str">
        <f>L395*(1-K395)</f>
      </c>
    </row>
    <row r="396">
      <c r="A396" t="s">
        <v>164</v>
      </c>
      <c r="B396" t="s">
        <v>115</v>
      </c>
      <c r="C396" s="32" t="s">
        <v>294</v>
      </c>
      <c r="D396" t="s">
        <v>378</v>
      </c>
      <c r="E396" t="s">
        <v>395</v>
      </c>
      <c r="F396" s="174" t="n">
        <v>2034</v>
      </c>
      <c r="G396" s="175" t="n">
        <v>64</v>
      </c>
      <c r="H396" s="176" t="n">
        <v>24550.5131075144</v>
      </c>
      <c r="I396" s="177" t="n">
        <v>2878386.90544676</v>
      </c>
      <c r="J396" s="178" t="str">
        <f>IF(I396&gt;0,H396/I396,0)</f>
      </c>
      <c r="K396" s="179" t="str">
        <f>1-EXP(-J396)</f>
      </c>
      <c r="L396" s="180" t="str">
        <f>IF(G396=30,1,M395)</f>
      </c>
      <c r="M396" s="181" t="str">
        <f>L396*(1-K396)</f>
      </c>
    </row>
    <row r="397">
      <c r="A397" t="s">
        <v>164</v>
      </c>
      <c r="B397" t="s">
        <v>115</v>
      </c>
      <c r="C397" s="32" t="s">
        <v>294</v>
      </c>
      <c r="D397" t="s">
        <v>378</v>
      </c>
      <c r="E397" t="s">
        <v>395</v>
      </c>
      <c r="F397" s="174" t="n">
        <v>2034</v>
      </c>
      <c r="G397" s="175" t="n">
        <v>65</v>
      </c>
      <c r="H397" s="176" t="n">
        <v>25013.6183343342</v>
      </c>
      <c r="I397" s="177" t="n">
        <v>2771208.589729</v>
      </c>
      <c r="J397" s="178" t="str">
        <f>IF(I397&gt;0,H397/I397,0)</f>
      </c>
      <c r="K397" s="179" t="str">
        <f>1-EXP(-J397)</f>
      </c>
      <c r="L397" s="180" t="str">
        <f>IF(G397=30,1,M396)</f>
      </c>
      <c r="M397" s="181" t="str">
        <f>L397*(1-K397)</f>
      </c>
    </row>
    <row r="398">
      <c r="A398" t="s">
        <v>164</v>
      </c>
      <c r="B398" t="s">
        <v>115</v>
      </c>
      <c r="C398" s="32" t="s">
        <v>294</v>
      </c>
      <c r="D398" t="s">
        <v>378</v>
      </c>
      <c r="E398" t="s">
        <v>395</v>
      </c>
      <c r="F398" s="174" t="n">
        <v>2034</v>
      </c>
      <c r="G398" s="175" t="n">
        <v>66</v>
      </c>
      <c r="H398" s="176" t="n">
        <v>25995.0561355582</v>
      </c>
      <c r="I398" s="177" t="n">
        <v>2645864.90749661</v>
      </c>
      <c r="J398" s="178" t="str">
        <f>IF(I398&gt;0,H398/I398,0)</f>
      </c>
      <c r="K398" s="179" t="str">
        <f>1-EXP(-J398)</f>
      </c>
      <c r="L398" s="180" t="str">
        <f>IF(G398=30,1,M397)</f>
      </c>
      <c r="M398" s="181" t="str">
        <f>L398*(1-K398)</f>
      </c>
    </row>
    <row r="399">
      <c r="A399" t="s">
        <v>164</v>
      </c>
      <c r="B399" t="s">
        <v>115</v>
      </c>
      <c r="C399" s="32" t="s">
        <v>294</v>
      </c>
      <c r="D399" t="s">
        <v>378</v>
      </c>
      <c r="E399" t="s">
        <v>395</v>
      </c>
      <c r="F399" s="174" t="n">
        <v>2034</v>
      </c>
      <c r="G399" s="175" t="n">
        <v>67</v>
      </c>
      <c r="H399" s="176" t="n">
        <v>26938.2701615065</v>
      </c>
      <c r="I399" s="177" t="n">
        <v>2491883.87560034</v>
      </c>
      <c r="J399" s="178" t="str">
        <f>IF(I399&gt;0,H399/I399,0)</f>
      </c>
      <c r="K399" s="179" t="str">
        <f>1-EXP(-J399)</f>
      </c>
      <c r="L399" s="180" t="str">
        <f>IF(G399=30,1,M398)</f>
      </c>
      <c r="M399" s="181" t="str">
        <f>L399*(1-K399)</f>
      </c>
    </row>
    <row r="400">
      <c r="A400" t="s">
        <v>164</v>
      </c>
      <c r="B400" t="s">
        <v>115</v>
      </c>
      <c r="C400" s="32" t="s">
        <v>294</v>
      </c>
      <c r="D400" t="s">
        <v>378</v>
      </c>
      <c r="E400" t="s">
        <v>395</v>
      </c>
      <c r="F400" s="174" t="n">
        <v>2034</v>
      </c>
      <c r="G400" s="175" t="n">
        <v>68</v>
      </c>
      <c r="H400" s="176" t="n">
        <v>28187.3842661405</v>
      </c>
      <c r="I400" s="177" t="n">
        <v>2370727.94432052</v>
      </c>
      <c r="J400" s="178" t="str">
        <f>IF(I400&gt;0,H400/I400,0)</f>
      </c>
      <c r="K400" s="179" t="str">
        <f>1-EXP(-J400)</f>
      </c>
      <c r="L400" s="180" t="str">
        <f>IF(G400=30,1,M399)</f>
      </c>
      <c r="M400" s="181" t="str">
        <f>L400*(1-K400)</f>
      </c>
    </row>
    <row r="401">
      <c r="A401" t="s">
        <v>164</v>
      </c>
      <c r="B401" t="s">
        <v>115</v>
      </c>
      <c r="C401" s="32" t="s">
        <v>294</v>
      </c>
      <c r="D401" t="s">
        <v>378</v>
      </c>
      <c r="E401" t="s">
        <v>395</v>
      </c>
      <c r="F401" s="174" t="n">
        <v>2034</v>
      </c>
      <c r="G401" s="175" t="n">
        <v>69</v>
      </c>
      <c r="H401" s="176" t="n">
        <v>29179.3585276069</v>
      </c>
      <c r="I401" s="177" t="n">
        <v>2230465.36805434</v>
      </c>
      <c r="J401" s="178" t="str">
        <f>IF(I401&gt;0,H401/I401,0)</f>
      </c>
      <c r="K401" s="179" t="str">
        <f>1-EXP(-J401)</f>
      </c>
      <c r="L401" s="180" t="str">
        <f>IF(G401=30,1,M400)</f>
      </c>
      <c r="M401" s="181" t="str">
        <f>L401*(1-K401)</f>
      </c>
    </row>
    <row r="402">
      <c r="A402" t="s">
        <v>164</v>
      </c>
      <c r="B402" t="s">
        <v>115</v>
      </c>
      <c r="C402" s="32" t="s">
        <v>294</v>
      </c>
      <c r="D402" t="s">
        <v>378</v>
      </c>
      <c r="E402" t="s">
        <v>395</v>
      </c>
      <c r="F402" s="174" t="n">
        <v>2035</v>
      </c>
      <c r="G402" s="175" t="n">
        <v>30</v>
      </c>
      <c r="H402" s="176" t="n">
        <v>807.451255792403</v>
      </c>
      <c r="I402" s="177" t="n">
        <v>4552857.84630428</v>
      </c>
      <c r="J402" s="178" t="str">
        <f>IF(I402&gt;0,H402/I402,0)</f>
      </c>
      <c r="K402" s="179" t="str">
        <f>1-EXP(-J402)</f>
      </c>
      <c r="L402" s="180" t="str">
        <f>IF(G402=30,1,M401)</f>
      </c>
      <c r="M402" s="181" t="str">
        <f>L402*(1-K402)</f>
      </c>
    </row>
    <row r="403">
      <c r="A403" t="s">
        <v>164</v>
      </c>
      <c r="B403" t="s">
        <v>115</v>
      </c>
      <c r="C403" s="32" t="s">
        <v>294</v>
      </c>
      <c r="D403" t="s">
        <v>378</v>
      </c>
      <c r="E403" t="s">
        <v>395</v>
      </c>
      <c r="F403" s="174" t="n">
        <v>2035</v>
      </c>
      <c r="G403" s="175" t="n">
        <v>31</v>
      </c>
      <c r="H403" s="176" t="n">
        <v>982.977966187163</v>
      </c>
      <c r="I403" s="177" t="n">
        <v>4424114.14900272</v>
      </c>
      <c r="J403" s="178" t="str">
        <f>IF(I403&gt;0,H403/I403,0)</f>
      </c>
      <c r="K403" s="179" t="str">
        <f>1-EXP(-J403)</f>
      </c>
      <c r="L403" s="180" t="str">
        <f>IF(G403=30,1,M402)</f>
      </c>
      <c r="M403" s="181" t="str">
        <f>L403*(1-K403)</f>
      </c>
    </row>
    <row r="404">
      <c r="A404" t="s">
        <v>164</v>
      </c>
      <c r="B404" t="s">
        <v>115</v>
      </c>
      <c r="C404" s="32" t="s">
        <v>294</v>
      </c>
      <c r="D404" t="s">
        <v>378</v>
      </c>
      <c r="E404" t="s">
        <v>395</v>
      </c>
      <c r="F404" s="174" t="n">
        <v>2035</v>
      </c>
      <c r="G404" s="175" t="n">
        <v>32</v>
      </c>
      <c r="H404" s="176" t="n">
        <v>1017.89041318982</v>
      </c>
      <c r="I404" s="177" t="n">
        <v>4358885.4658219</v>
      </c>
      <c r="J404" s="178" t="str">
        <f>IF(I404&gt;0,H404/I404,0)</f>
      </c>
      <c r="K404" s="179" t="str">
        <f>1-EXP(-J404)</f>
      </c>
      <c r="L404" s="180" t="str">
        <f>IF(G404=30,1,M403)</f>
      </c>
      <c r="M404" s="181" t="str">
        <f>L404*(1-K404)</f>
      </c>
    </row>
    <row r="405">
      <c r="A405" t="s">
        <v>164</v>
      </c>
      <c r="B405" t="s">
        <v>115</v>
      </c>
      <c r="C405" s="32" t="s">
        <v>294</v>
      </c>
      <c r="D405" t="s">
        <v>378</v>
      </c>
      <c r="E405" t="s">
        <v>395</v>
      </c>
      <c r="F405" s="174" t="n">
        <v>2035</v>
      </c>
      <c r="G405" s="175" t="n">
        <v>33</v>
      </c>
      <c r="H405" s="176" t="n">
        <v>1219.03135211638</v>
      </c>
      <c r="I405" s="177" t="n">
        <v>4337734.76790669</v>
      </c>
      <c r="J405" s="178" t="str">
        <f>IF(I405&gt;0,H405/I405,0)</f>
      </c>
      <c r="K405" s="179" t="str">
        <f>1-EXP(-J405)</f>
      </c>
      <c r="L405" s="180" t="str">
        <f>IF(G405=30,1,M404)</f>
      </c>
      <c r="M405" s="181" t="str">
        <f>L405*(1-K405)</f>
      </c>
    </row>
    <row r="406">
      <c r="A406" t="s">
        <v>164</v>
      </c>
      <c r="B406" t="s">
        <v>115</v>
      </c>
      <c r="C406" s="32" t="s">
        <v>294</v>
      </c>
      <c r="D406" t="s">
        <v>378</v>
      </c>
      <c r="E406" t="s">
        <v>395</v>
      </c>
      <c r="F406" s="174" t="n">
        <v>2035</v>
      </c>
      <c r="G406" s="175" t="n">
        <v>34</v>
      </c>
      <c r="H406" s="176" t="n">
        <v>1288.67705026435</v>
      </c>
      <c r="I406" s="177" t="n">
        <v>4317735.02441961</v>
      </c>
      <c r="J406" s="178" t="str">
        <f>IF(I406&gt;0,H406/I406,0)</f>
      </c>
      <c r="K406" s="179" t="str">
        <f>1-EXP(-J406)</f>
      </c>
      <c r="L406" s="180" t="str">
        <f>IF(G406=30,1,M405)</f>
      </c>
      <c r="M406" s="181" t="str">
        <f>L406*(1-K406)</f>
      </c>
    </row>
    <row r="407">
      <c r="A407" t="s">
        <v>164</v>
      </c>
      <c r="B407" t="s">
        <v>115</v>
      </c>
      <c r="C407" s="32" t="s">
        <v>294</v>
      </c>
      <c r="D407" t="s">
        <v>378</v>
      </c>
      <c r="E407" t="s">
        <v>395</v>
      </c>
      <c r="F407" s="174" t="n">
        <v>2035</v>
      </c>
      <c r="G407" s="175" t="n">
        <v>35</v>
      </c>
      <c r="H407" s="176" t="n">
        <v>1725.02888420355</v>
      </c>
      <c r="I407" s="177" t="n">
        <v>4297411.35217063</v>
      </c>
      <c r="J407" s="178" t="str">
        <f>IF(I407&gt;0,H407/I407,0)</f>
      </c>
      <c r="K407" s="179" t="str">
        <f>1-EXP(-J407)</f>
      </c>
      <c r="L407" s="180" t="str">
        <f>IF(G407=30,1,M406)</f>
      </c>
      <c r="M407" s="181" t="str">
        <f>L407*(1-K407)</f>
      </c>
    </row>
    <row r="408">
      <c r="A408" t="s">
        <v>164</v>
      </c>
      <c r="B408" t="s">
        <v>115</v>
      </c>
      <c r="C408" s="32" t="s">
        <v>294</v>
      </c>
      <c r="D408" t="s">
        <v>378</v>
      </c>
      <c r="E408" t="s">
        <v>395</v>
      </c>
      <c r="F408" s="174" t="n">
        <v>2035</v>
      </c>
      <c r="G408" s="175" t="n">
        <v>36</v>
      </c>
      <c r="H408" s="176" t="n">
        <v>1898.94747901312</v>
      </c>
      <c r="I408" s="177" t="n">
        <v>4316205.19386798</v>
      </c>
      <c r="J408" s="178" t="str">
        <f>IF(I408&gt;0,H408/I408,0)</f>
      </c>
      <c r="K408" s="179" t="str">
        <f>1-EXP(-J408)</f>
      </c>
      <c r="L408" s="180" t="str">
        <f>IF(G408=30,1,M407)</f>
      </c>
      <c r="M408" s="181" t="str">
        <f>L408*(1-K408)</f>
      </c>
    </row>
    <row r="409">
      <c r="A409" t="s">
        <v>164</v>
      </c>
      <c r="B409" t="s">
        <v>115</v>
      </c>
      <c r="C409" s="32" t="s">
        <v>294</v>
      </c>
      <c r="D409" t="s">
        <v>378</v>
      </c>
      <c r="E409" t="s">
        <v>395</v>
      </c>
      <c r="F409" s="174" t="n">
        <v>2035</v>
      </c>
      <c r="G409" s="175" t="n">
        <v>37</v>
      </c>
      <c r="H409" s="176" t="n">
        <v>2077.46722658544</v>
      </c>
      <c r="I409" s="177" t="n">
        <v>4374280.86384713</v>
      </c>
      <c r="J409" s="178" t="str">
        <f>IF(I409&gt;0,H409/I409,0)</f>
      </c>
      <c r="K409" s="179" t="str">
        <f>1-EXP(-J409)</f>
      </c>
      <c r="L409" s="180" t="str">
        <f>IF(G409=30,1,M408)</f>
      </c>
      <c r="M409" s="181" t="str">
        <f>L409*(1-K409)</f>
      </c>
    </row>
    <row r="410">
      <c r="A410" t="s">
        <v>164</v>
      </c>
      <c r="B410" t="s">
        <v>115</v>
      </c>
      <c r="C410" s="32" t="s">
        <v>294</v>
      </c>
      <c r="D410" t="s">
        <v>378</v>
      </c>
      <c r="E410" t="s">
        <v>395</v>
      </c>
      <c r="F410" s="174" t="n">
        <v>2035</v>
      </c>
      <c r="G410" s="175" t="n">
        <v>38</v>
      </c>
      <c r="H410" s="176" t="n">
        <v>2523.06454232825</v>
      </c>
      <c r="I410" s="177" t="n">
        <v>4510860.42387742</v>
      </c>
      <c r="J410" s="178" t="str">
        <f>IF(I410&gt;0,H410/I410,0)</f>
      </c>
      <c r="K410" s="179" t="str">
        <f>1-EXP(-J410)</f>
      </c>
      <c r="L410" s="180" t="str">
        <f>IF(G410=30,1,M409)</f>
      </c>
      <c r="M410" s="181" t="str">
        <f>L410*(1-K410)</f>
      </c>
    </row>
    <row r="411">
      <c r="A411" t="s">
        <v>164</v>
      </c>
      <c r="B411" t="s">
        <v>115</v>
      </c>
      <c r="C411" s="32" t="s">
        <v>294</v>
      </c>
      <c r="D411" t="s">
        <v>378</v>
      </c>
      <c r="E411" t="s">
        <v>395</v>
      </c>
      <c r="F411" s="174" t="n">
        <v>2035</v>
      </c>
      <c r="G411" s="175" t="n">
        <v>39</v>
      </c>
      <c r="H411" s="176" t="n">
        <v>2697.09682078995</v>
      </c>
      <c r="I411" s="177" t="n">
        <v>4465963.60422191</v>
      </c>
      <c r="J411" s="178" t="str">
        <f>IF(I411&gt;0,H411/I411,0)</f>
      </c>
      <c r="K411" s="179" t="str">
        <f>1-EXP(-J411)</f>
      </c>
      <c r="L411" s="180" t="str">
        <f>IF(G411=30,1,M410)</f>
      </c>
      <c r="M411" s="181" t="str">
        <f>L411*(1-K411)</f>
      </c>
    </row>
    <row r="412">
      <c r="A412" t="s">
        <v>164</v>
      </c>
      <c r="B412" t="s">
        <v>115</v>
      </c>
      <c r="C412" s="32" t="s">
        <v>294</v>
      </c>
      <c r="D412" t="s">
        <v>378</v>
      </c>
      <c r="E412" t="s">
        <v>395</v>
      </c>
      <c r="F412" s="174" t="n">
        <v>2035</v>
      </c>
      <c r="G412" s="175" t="n">
        <v>40</v>
      </c>
      <c r="H412" s="176" t="n">
        <v>3563.32592255777</v>
      </c>
      <c r="I412" s="177" t="n">
        <v>4390864.35382355</v>
      </c>
      <c r="J412" s="178" t="str">
        <f>IF(I412&gt;0,H412/I412,0)</f>
      </c>
      <c r="K412" s="179" t="str">
        <f>1-EXP(-J412)</f>
      </c>
      <c r="L412" s="180" t="str">
        <f>IF(G412=30,1,M411)</f>
      </c>
      <c r="M412" s="181" t="str">
        <f>L412*(1-K412)</f>
      </c>
    </row>
    <row r="413">
      <c r="A413" t="s">
        <v>164</v>
      </c>
      <c r="B413" t="s">
        <v>115</v>
      </c>
      <c r="C413" s="32" t="s">
        <v>294</v>
      </c>
      <c r="D413" t="s">
        <v>378</v>
      </c>
      <c r="E413" t="s">
        <v>395</v>
      </c>
      <c r="F413" s="174" t="n">
        <v>2035</v>
      </c>
      <c r="G413" s="175" t="n">
        <v>41</v>
      </c>
      <c r="H413" s="176" t="n">
        <v>3739.31338922881</v>
      </c>
      <c r="I413" s="177" t="n">
        <v>4330370.11118935</v>
      </c>
      <c r="J413" s="178" t="str">
        <f>IF(I413&gt;0,H413/I413,0)</f>
      </c>
      <c r="K413" s="179" t="str">
        <f>1-EXP(-J413)</f>
      </c>
      <c r="L413" s="180" t="str">
        <f>IF(G413=30,1,M412)</f>
      </c>
      <c r="M413" s="181" t="str">
        <f>L413*(1-K413)</f>
      </c>
    </row>
    <row r="414">
      <c r="A414" t="s">
        <v>164</v>
      </c>
      <c r="B414" t="s">
        <v>115</v>
      </c>
      <c r="C414" s="32" t="s">
        <v>294</v>
      </c>
      <c r="D414" t="s">
        <v>378</v>
      </c>
      <c r="E414" t="s">
        <v>395</v>
      </c>
      <c r="F414" s="174" t="n">
        <v>2035</v>
      </c>
      <c r="G414" s="175" t="n">
        <v>42</v>
      </c>
      <c r="H414" s="176" t="n">
        <v>4015.39650529732</v>
      </c>
      <c r="I414" s="177" t="n">
        <v>4273960.23592865</v>
      </c>
      <c r="J414" s="178" t="str">
        <f>IF(I414&gt;0,H414/I414,0)</f>
      </c>
      <c r="K414" s="179" t="str">
        <f>1-EXP(-J414)</f>
      </c>
      <c r="L414" s="180" t="str">
        <f>IF(G414=30,1,M413)</f>
      </c>
      <c r="M414" s="181" t="str">
        <f>L414*(1-K414)</f>
      </c>
    </row>
    <row r="415">
      <c r="A415" t="s">
        <v>164</v>
      </c>
      <c r="B415" t="s">
        <v>115</v>
      </c>
      <c r="C415" s="32" t="s">
        <v>294</v>
      </c>
      <c r="D415" t="s">
        <v>378</v>
      </c>
      <c r="E415" t="s">
        <v>395</v>
      </c>
      <c r="F415" s="174" t="n">
        <v>2035</v>
      </c>
      <c r="G415" s="175" t="n">
        <v>43</v>
      </c>
      <c r="H415" s="176" t="n">
        <v>4410.89912145618</v>
      </c>
      <c r="I415" s="177" t="n">
        <v>4307573.29282529</v>
      </c>
      <c r="J415" s="178" t="str">
        <f>IF(I415&gt;0,H415/I415,0)</f>
      </c>
      <c r="K415" s="179" t="str">
        <f>1-EXP(-J415)</f>
      </c>
      <c r="L415" s="180" t="str">
        <f>IF(G415=30,1,M414)</f>
      </c>
      <c r="M415" s="181" t="str">
        <f>L415*(1-K415)</f>
      </c>
    </row>
    <row r="416">
      <c r="A416" t="s">
        <v>164</v>
      </c>
      <c r="B416" t="s">
        <v>115</v>
      </c>
      <c r="C416" s="32" t="s">
        <v>294</v>
      </c>
      <c r="D416" t="s">
        <v>378</v>
      </c>
      <c r="E416" t="s">
        <v>395</v>
      </c>
      <c r="F416" s="174" t="n">
        <v>2035</v>
      </c>
      <c r="G416" s="175" t="n">
        <v>44</v>
      </c>
      <c r="H416" s="176" t="n">
        <v>4839.13194712111</v>
      </c>
      <c r="I416" s="177" t="n">
        <v>4321176.03141505</v>
      </c>
      <c r="J416" s="178" t="str">
        <f>IF(I416&gt;0,H416/I416,0)</f>
      </c>
      <c r="K416" s="179" t="str">
        <f>1-EXP(-J416)</f>
      </c>
      <c r="L416" s="180" t="str">
        <f>IF(G416=30,1,M415)</f>
      </c>
      <c r="M416" s="181" t="str">
        <f>L416*(1-K416)</f>
      </c>
    </row>
    <row r="417">
      <c r="A417" t="s">
        <v>164</v>
      </c>
      <c r="B417" t="s">
        <v>115</v>
      </c>
      <c r="C417" s="32" t="s">
        <v>294</v>
      </c>
      <c r="D417" t="s">
        <v>378</v>
      </c>
      <c r="E417" t="s">
        <v>395</v>
      </c>
      <c r="F417" s="174" t="n">
        <v>2035</v>
      </c>
      <c r="G417" s="175" t="n">
        <v>45</v>
      </c>
      <c r="H417" s="176" t="n">
        <v>8573.69813335762</v>
      </c>
      <c r="I417" s="177" t="n">
        <v>6359923.92351388</v>
      </c>
      <c r="J417" s="178" t="str">
        <f>IF(I417&gt;0,H417/I417,0)</f>
      </c>
      <c r="K417" s="179" t="str">
        <f>1-EXP(-J417)</f>
      </c>
      <c r="L417" s="180" t="str">
        <f>IF(G417=30,1,M416)</f>
      </c>
      <c r="M417" s="181" t="str">
        <f>L417*(1-K417)</f>
      </c>
    </row>
    <row r="418">
      <c r="A418" t="s">
        <v>164</v>
      </c>
      <c r="B418" t="s">
        <v>115</v>
      </c>
      <c r="C418" s="32" t="s">
        <v>294</v>
      </c>
      <c r="D418" t="s">
        <v>378</v>
      </c>
      <c r="E418" t="s">
        <v>395</v>
      </c>
      <c r="F418" s="174" t="n">
        <v>2035</v>
      </c>
      <c r="G418" s="175" t="n">
        <v>46</v>
      </c>
      <c r="H418" s="176" t="n">
        <v>6650.09303032323</v>
      </c>
      <c r="I418" s="177" t="n">
        <v>4269410.88290245</v>
      </c>
      <c r="J418" s="178" t="str">
        <f>IF(I418&gt;0,H418/I418,0)</f>
      </c>
      <c r="K418" s="179" t="str">
        <f>1-EXP(-J418)</f>
      </c>
      <c r="L418" s="180" t="str">
        <f>IF(G418=30,1,M417)</f>
      </c>
      <c r="M418" s="181" t="str">
        <f>L418*(1-K418)</f>
      </c>
    </row>
    <row r="419">
      <c r="A419" t="s">
        <v>164</v>
      </c>
      <c r="B419" t="s">
        <v>115</v>
      </c>
      <c r="C419" s="32" t="s">
        <v>294</v>
      </c>
      <c r="D419" t="s">
        <v>378</v>
      </c>
      <c r="E419" t="s">
        <v>395</v>
      </c>
      <c r="F419" s="174" t="n">
        <v>2035</v>
      </c>
      <c r="G419" s="175" t="n">
        <v>47</v>
      </c>
      <c r="H419" s="176" t="n">
        <v>7274.79181974005</v>
      </c>
      <c r="I419" s="177" t="n">
        <v>4247135.21704298</v>
      </c>
      <c r="J419" s="178" t="str">
        <f>IF(I419&gt;0,H419/I419,0)</f>
      </c>
      <c r="K419" s="179" t="str">
        <f>1-EXP(-J419)</f>
      </c>
      <c r="L419" s="180" t="str">
        <f>IF(G419=30,1,M418)</f>
      </c>
      <c r="M419" s="181" t="str">
        <f>L419*(1-K419)</f>
      </c>
    </row>
    <row r="420">
      <c r="A420" t="s">
        <v>164</v>
      </c>
      <c r="B420" t="s">
        <v>115</v>
      </c>
      <c r="C420" s="32" t="s">
        <v>294</v>
      </c>
      <c r="D420" t="s">
        <v>378</v>
      </c>
      <c r="E420" t="s">
        <v>395</v>
      </c>
      <c r="F420" s="174" t="n">
        <v>2035</v>
      </c>
      <c r="G420" s="175" t="n">
        <v>48</v>
      </c>
      <c r="H420" s="176" t="n">
        <v>7744.70770238849</v>
      </c>
      <c r="I420" s="177" t="n">
        <v>4110668.09097971</v>
      </c>
      <c r="J420" s="178" t="str">
        <f>IF(I420&gt;0,H420/I420,0)</f>
      </c>
      <c r="K420" s="179" t="str">
        <f>1-EXP(-J420)</f>
      </c>
      <c r="L420" s="180" t="str">
        <f>IF(G420=30,1,M419)</f>
      </c>
      <c r="M420" s="181" t="str">
        <f>L420*(1-K420)</f>
      </c>
    </row>
    <row r="421">
      <c r="A421" t="s">
        <v>164</v>
      </c>
      <c r="B421" t="s">
        <v>115</v>
      </c>
      <c r="C421" s="32" t="s">
        <v>294</v>
      </c>
      <c r="D421" t="s">
        <v>378</v>
      </c>
      <c r="E421" t="s">
        <v>395</v>
      </c>
      <c r="F421" s="174" t="n">
        <v>2035</v>
      </c>
      <c r="G421" s="175" t="n">
        <v>49</v>
      </c>
      <c r="H421" s="176" t="n">
        <v>8424.66280384932</v>
      </c>
      <c r="I421" s="177" t="n">
        <v>4069591.05427717</v>
      </c>
      <c r="J421" s="178" t="str">
        <f>IF(I421&gt;0,H421/I421,0)</f>
      </c>
      <c r="K421" s="179" t="str">
        <f>1-EXP(-J421)</f>
      </c>
      <c r="L421" s="180" t="str">
        <f>IF(G421=30,1,M420)</f>
      </c>
      <c r="M421" s="181" t="str">
        <f>L421*(1-K421)</f>
      </c>
    </row>
    <row r="422">
      <c r="A422" t="s">
        <v>164</v>
      </c>
      <c r="B422" t="s">
        <v>115</v>
      </c>
      <c r="C422" s="32" t="s">
        <v>294</v>
      </c>
      <c r="D422" t="s">
        <v>378</v>
      </c>
      <c r="E422" t="s">
        <v>395</v>
      </c>
      <c r="F422" s="174" t="n">
        <v>2035</v>
      </c>
      <c r="G422" s="175" t="n">
        <v>50</v>
      </c>
      <c r="H422" s="176" t="n">
        <v>9889.26879140853</v>
      </c>
      <c r="I422" s="177" t="n">
        <v>4119338.28117454</v>
      </c>
      <c r="J422" s="178" t="str">
        <f>IF(I422&gt;0,H422/I422,0)</f>
      </c>
      <c r="K422" s="179" t="str">
        <f>1-EXP(-J422)</f>
      </c>
      <c r="L422" s="180" t="str">
        <f>IF(G422=30,1,M421)</f>
      </c>
      <c r="M422" s="181" t="str">
        <f>L422*(1-K422)</f>
      </c>
    </row>
    <row r="423">
      <c r="A423" t="s">
        <v>164</v>
      </c>
      <c r="B423" t="s">
        <v>115</v>
      </c>
      <c r="C423" s="32" t="s">
        <v>294</v>
      </c>
      <c r="D423" t="s">
        <v>378</v>
      </c>
      <c r="E423" t="s">
        <v>395</v>
      </c>
      <c r="F423" s="174" t="n">
        <v>2035</v>
      </c>
      <c r="G423" s="175" t="n">
        <v>51</v>
      </c>
      <c r="H423" s="176" t="n">
        <v>10855.6158462474</v>
      </c>
      <c r="I423" s="177" t="n">
        <v>4191771.07610224</v>
      </c>
      <c r="J423" s="178" t="str">
        <f>IF(I423&gt;0,H423/I423,0)</f>
      </c>
      <c r="K423" s="179" t="str">
        <f>1-EXP(-J423)</f>
      </c>
      <c r="L423" s="180" t="str">
        <f>IF(G423=30,1,M422)</f>
      </c>
      <c r="M423" s="181" t="str">
        <f>L423*(1-K423)</f>
      </c>
    </row>
    <row r="424">
      <c r="A424" t="s">
        <v>164</v>
      </c>
      <c r="B424" t="s">
        <v>115</v>
      </c>
      <c r="C424" s="32" t="s">
        <v>294</v>
      </c>
      <c r="D424" t="s">
        <v>378</v>
      </c>
      <c r="E424" t="s">
        <v>395</v>
      </c>
      <c r="F424" s="174" t="n">
        <v>2035</v>
      </c>
      <c r="G424" s="175" t="n">
        <v>52</v>
      </c>
      <c r="H424" s="176" t="n">
        <v>11804.0694659213</v>
      </c>
      <c r="I424" s="177" t="n">
        <v>4157812.45782713</v>
      </c>
      <c r="J424" s="178" t="str">
        <f>IF(I424&gt;0,H424/I424,0)</f>
      </c>
      <c r="K424" s="179" t="str">
        <f>1-EXP(-J424)</f>
      </c>
      <c r="L424" s="180" t="str">
        <f>IF(G424=30,1,M423)</f>
      </c>
      <c r="M424" s="181" t="str">
        <f>L424*(1-K424)</f>
      </c>
    </row>
    <row r="425">
      <c r="A425" t="s">
        <v>164</v>
      </c>
      <c r="B425" t="s">
        <v>115</v>
      </c>
      <c r="C425" s="32" t="s">
        <v>294</v>
      </c>
      <c r="D425" t="s">
        <v>378</v>
      </c>
      <c r="E425" t="s">
        <v>395</v>
      </c>
      <c r="F425" s="174" t="n">
        <v>2035</v>
      </c>
      <c r="G425" s="175" t="n">
        <v>53</v>
      </c>
      <c r="H425" s="176" t="n">
        <v>12489.3288760275</v>
      </c>
      <c r="I425" s="177" t="n">
        <v>4013864.76964232</v>
      </c>
      <c r="J425" s="178" t="str">
        <f>IF(I425&gt;0,H425/I425,0)</f>
      </c>
      <c r="K425" s="179" t="str">
        <f>1-EXP(-J425)</f>
      </c>
      <c r="L425" s="180" t="str">
        <f>IF(G425=30,1,M424)</f>
      </c>
      <c r="M425" s="181" t="str">
        <f>L425*(1-K425)</f>
      </c>
    </row>
    <row r="426">
      <c r="A426" t="s">
        <v>164</v>
      </c>
      <c r="B426" t="s">
        <v>115</v>
      </c>
      <c r="C426" s="32" t="s">
        <v>294</v>
      </c>
      <c r="D426" t="s">
        <v>378</v>
      </c>
      <c r="E426" t="s">
        <v>395</v>
      </c>
      <c r="F426" s="174" t="n">
        <v>2035</v>
      </c>
      <c r="G426" s="175" t="n">
        <v>54</v>
      </c>
      <c r="H426" s="176" t="n">
        <v>13379.0250627894</v>
      </c>
      <c r="I426" s="177" t="n">
        <v>3930007.22227262</v>
      </c>
      <c r="J426" s="178" t="str">
        <f>IF(I426&gt;0,H426/I426,0)</f>
      </c>
      <c r="K426" s="179" t="str">
        <f>1-EXP(-J426)</f>
      </c>
      <c r="L426" s="180" t="str">
        <f>IF(G426=30,1,M425)</f>
      </c>
      <c r="M426" s="181" t="str">
        <f>L426*(1-K426)</f>
      </c>
    </row>
    <row r="427">
      <c r="A427" t="s">
        <v>164</v>
      </c>
      <c r="B427" t="s">
        <v>115</v>
      </c>
      <c r="C427" s="32" t="s">
        <v>294</v>
      </c>
      <c r="D427" t="s">
        <v>378</v>
      </c>
      <c r="E427" t="s">
        <v>395</v>
      </c>
      <c r="F427" s="174" t="n">
        <v>2035</v>
      </c>
      <c r="G427" s="175" t="n">
        <v>55</v>
      </c>
      <c r="H427" s="176" t="n">
        <v>14386.6610373378</v>
      </c>
      <c r="I427" s="177" t="n">
        <v>3860767.79336003</v>
      </c>
      <c r="J427" s="178" t="str">
        <f>IF(I427&gt;0,H427/I427,0)</f>
      </c>
      <c r="K427" s="179" t="str">
        <f>1-EXP(-J427)</f>
      </c>
      <c r="L427" s="180" t="str">
        <f>IF(G427=30,1,M426)</f>
      </c>
      <c r="M427" s="181" t="str">
        <f>L427*(1-K427)</f>
      </c>
    </row>
    <row r="428">
      <c r="A428" t="s">
        <v>164</v>
      </c>
      <c r="B428" t="s">
        <v>115</v>
      </c>
      <c r="C428" s="32" t="s">
        <v>294</v>
      </c>
      <c r="D428" t="s">
        <v>378</v>
      </c>
      <c r="E428" t="s">
        <v>395</v>
      </c>
      <c r="F428" s="174" t="n">
        <v>2035</v>
      </c>
      <c r="G428" s="175" t="n">
        <v>56</v>
      </c>
      <c r="H428" s="176" t="n">
        <v>15222.3291661622</v>
      </c>
      <c r="I428" s="177" t="n">
        <v>3785361.33942043</v>
      </c>
      <c r="J428" s="178" t="str">
        <f>IF(I428&gt;0,H428/I428,0)</f>
      </c>
      <c r="K428" s="179" t="str">
        <f>1-EXP(-J428)</f>
      </c>
      <c r="L428" s="180" t="str">
        <f>IF(G428=30,1,M427)</f>
      </c>
      <c r="M428" s="181" t="str">
        <f>L428*(1-K428)</f>
      </c>
    </row>
    <row r="429">
      <c r="A429" t="s">
        <v>164</v>
      </c>
      <c r="B429" t="s">
        <v>115</v>
      </c>
      <c r="C429" s="32" t="s">
        <v>294</v>
      </c>
      <c r="D429" t="s">
        <v>378</v>
      </c>
      <c r="E429" t="s">
        <v>395</v>
      </c>
      <c r="F429" s="174" t="n">
        <v>2035</v>
      </c>
      <c r="G429" s="175" t="n">
        <v>57</v>
      </c>
      <c r="H429" s="176" t="n">
        <v>16250.8314358384</v>
      </c>
      <c r="I429" s="177" t="n">
        <v>3691050.80482249</v>
      </c>
      <c r="J429" s="178" t="str">
        <f>IF(I429&gt;0,H429/I429,0)</f>
      </c>
      <c r="K429" s="179" t="str">
        <f>1-EXP(-J429)</f>
      </c>
      <c r="L429" s="180" t="str">
        <f>IF(G429=30,1,M428)</f>
      </c>
      <c r="M429" s="181" t="str">
        <f>L429*(1-K429)</f>
      </c>
    </row>
    <row r="430">
      <c r="A430" t="s">
        <v>164</v>
      </c>
      <c r="B430" t="s">
        <v>115</v>
      </c>
      <c r="C430" s="32" t="s">
        <v>294</v>
      </c>
      <c r="D430" t="s">
        <v>378</v>
      </c>
      <c r="E430" t="s">
        <v>395</v>
      </c>
      <c r="F430" s="174" t="n">
        <v>2035</v>
      </c>
      <c r="G430" s="175" t="n">
        <v>58</v>
      </c>
      <c r="H430" s="176" t="n">
        <v>17437.910895371</v>
      </c>
      <c r="I430" s="177" t="n">
        <v>3612098.79966533</v>
      </c>
      <c r="J430" s="178" t="str">
        <f>IF(I430&gt;0,H430/I430,0)</f>
      </c>
      <c r="K430" s="179" t="str">
        <f>1-EXP(-J430)</f>
      </c>
      <c r="L430" s="180" t="str">
        <f>IF(G430=30,1,M429)</f>
      </c>
      <c r="M430" s="181" t="str">
        <f>L430*(1-K430)</f>
      </c>
    </row>
    <row r="431">
      <c r="A431" t="s">
        <v>164</v>
      </c>
      <c r="B431" t="s">
        <v>115</v>
      </c>
      <c r="C431" s="32" t="s">
        <v>294</v>
      </c>
      <c r="D431" t="s">
        <v>378</v>
      </c>
      <c r="E431" t="s">
        <v>395</v>
      </c>
      <c r="F431" s="174" t="n">
        <v>2035</v>
      </c>
      <c r="G431" s="175" t="n">
        <v>59</v>
      </c>
      <c r="H431" s="176" t="n">
        <v>18621.526267727</v>
      </c>
      <c r="I431" s="177" t="n">
        <v>3521155.69761346</v>
      </c>
      <c r="J431" s="178" t="str">
        <f>IF(I431&gt;0,H431/I431,0)</f>
      </c>
      <c r="K431" s="179" t="str">
        <f>1-EXP(-J431)</f>
      </c>
      <c r="L431" s="180" t="str">
        <f>IF(G431=30,1,M430)</f>
      </c>
      <c r="M431" s="181" t="str">
        <f>L431*(1-K431)</f>
      </c>
    </row>
    <row r="432">
      <c r="A432" t="s">
        <v>164</v>
      </c>
      <c r="B432" t="s">
        <v>115</v>
      </c>
      <c r="C432" s="32" t="s">
        <v>294</v>
      </c>
      <c r="D432" t="s">
        <v>378</v>
      </c>
      <c r="E432" t="s">
        <v>395</v>
      </c>
      <c r="F432" s="174" t="n">
        <v>2035</v>
      </c>
      <c r="G432" s="175" t="n">
        <v>60</v>
      </c>
      <c r="H432" s="176" t="n">
        <v>20025.5708758282</v>
      </c>
      <c r="I432" s="177" t="n">
        <v>3428624.94213242</v>
      </c>
      <c r="J432" s="178" t="str">
        <f>IF(I432&gt;0,H432/I432,0)</f>
      </c>
      <c r="K432" s="179" t="str">
        <f>1-EXP(-J432)</f>
      </c>
      <c r="L432" s="180" t="str">
        <f>IF(G432=30,1,M431)</f>
      </c>
      <c r="M432" s="181" t="str">
        <f>L432*(1-K432)</f>
      </c>
    </row>
    <row r="433">
      <c r="A433" t="s">
        <v>164</v>
      </c>
      <c r="B433" t="s">
        <v>115</v>
      </c>
      <c r="C433" s="32" t="s">
        <v>294</v>
      </c>
      <c r="D433" t="s">
        <v>378</v>
      </c>
      <c r="E433" t="s">
        <v>395</v>
      </c>
      <c r="F433" s="174" t="n">
        <v>2035</v>
      </c>
      <c r="G433" s="175" t="n">
        <v>61</v>
      </c>
      <c r="H433" s="176" t="n">
        <v>20936.3440349167</v>
      </c>
      <c r="I433" s="177" t="n">
        <v>3309190.77503045</v>
      </c>
      <c r="J433" s="178" t="str">
        <f>IF(I433&gt;0,H433/I433,0)</f>
      </c>
      <c r="K433" s="179" t="str">
        <f>1-EXP(-J433)</f>
      </c>
      <c r="L433" s="180" t="str">
        <f>IF(G433=30,1,M432)</f>
      </c>
      <c r="M433" s="181" t="str">
        <f>L433*(1-K433)</f>
      </c>
    </row>
    <row r="434">
      <c r="A434" t="s">
        <v>164</v>
      </c>
      <c r="B434" t="s">
        <v>115</v>
      </c>
      <c r="C434" s="32" t="s">
        <v>294</v>
      </c>
      <c r="D434" t="s">
        <v>378</v>
      </c>
      <c r="E434" t="s">
        <v>395</v>
      </c>
      <c r="F434" s="174" t="n">
        <v>2035</v>
      </c>
      <c r="G434" s="175" t="n">
        <v>62</v>
      </c>
      <c r="H434" s="176" t="n">
        <v>22541.3982328154</v>
      </c>
      <c r="I434" s="177" t="n">
        <v>3245461.372791</v>
      </c>
      <c r="J434" s="178" t="str">
        <f>IF(I434&gt;0,H434/I434,0)</f>
      </c>
      <c r="K434" s="179" t="str">
        <f>1-EXP(-J434)</f>
      </c>
      <c r="L434" s="180" t="str">
        <f>IF(G434=30,1,M433)</f>
      </c>
      <c r="M434" s="181" t="str">
        <f>L434*(1-K434)</f>
      </c>
    </row>
    <row r="435">
      <c r="A435" t="s">
        <v>164</v>
      </c>
      <c r="B435" t="s">
        <v>115</v>
      </c>
      <c r="C435" s="32" t="s">
        <v>294</v>
      </c>
      <c r="D435" t="s">
        <v>378</v>
      </c>
      <c r="E435" t="s">
        <v>395</v>
      </c>
      <c r="F435" s="174" t="n">
        <v>2035</v>
      </c>
      <c r="G435" s="175" t="n">
        <v>63</v>
      </c>
      <c r="H435" s="176" t="n">
        <v>23123.5561935334</v>
      </c>
      <c r="I435" s="177" t="n">
        <v>3029264.02936824</v>
      </c>
      <c r="J435" s="178" t="str">
        <f>IF(I435&gt;0,H435/I435,0)</f>
      </c>
      <c r="K435" s="179" t="str">
        <f>1-EXP(-J435)</f>
      </c>
      <c r="L435" s="180" t="str">
        <f>IF(G435=30,1,M434)</f>
      </c>
      <c r="M435" s="181" t="str">
        <f>L435*(1-K435)</f>
      </c>
    </row>
    <row r="436">
      <c r="A436" t="s">
        <v>164</v>
      </c>
      <c r="B436" t="s">
        <v>115</v>
      </c>
      <c r="C436" s="32" t="s">
        <v>294</v>
      </c>
      <c r="D436" t="s">
        <v>378</v>
      </c>
      <c r="E436" t="s">
        <v>395</v>
      </c>
      <c r="F436" s="174" t="n">
        <v>2035</v>
      </c>
      <c r="G436" s="175" t="n">
        <v>64</v>
      </c>
      <c r="H436" s="176" t="n">
        <v>24504.0805420887</v>
      </c>
      <c r="I436" s="177" t="n">
        <v>2924990.7579328</v>
      </c>
      <c r="J436" s="178" t="str">
        <f>IF(I436&gt;0,H436/I436,0)</f>
      </c>
      <c r="K436" s="179" t="str">
        <f>1-EXP(-J436)</f>
      </c>
      <c r="L436" s="180" t="str">
        <f>IF(G436=30,1,M435)</f>
      </c>
      <c r="M436" s="181" t="str">
        <f>L436*(1-K436)</f>
      </c>
    </row>
    <row r="437">
      <c r="A437" t="s">
        <v>164</v>
      </c>
      <c r="B437" t="s">
        <v>115</v>
      </c>
      <c r="C437" s="32" t="s">
        <v>294</v>
      </c>
      <c r="D437" t="s">
        <v>378</v>
      </c>
      <c r="E437" t="s">
        <v>395</v>
      </c>
      <c r="F437" s="174" t="n">
        <v>2035</v>
      </c>
      <c r="G437" s="175" t="n">
        <v>65</v>
      </c>
      <c r="H437" s="176" t="n">
        <v>25047.2992648282</v>
      </c>
      <c r="I437" s="177" t="n">
        <v>2823785.81191206</v>
      </c>
      <c r="J437" s="178" t="str">
        <f>IF(I437&gt;0,H437/I437,0)</f>
      </c>
      <c r="K437" s="179" t="str">
        <f>1-EXP(-J437)</f>
      </c>
      <c r="L437" s="180" t="str">
        <f>IF(G437=30,1,M436)</f>
      </c>
      <c r="M437" s="181" t="str">
        <f>L437*(1-K437)</f>
      </c>
    </row>
    <row r="438">
      <c r="A438" t="s">
        <v>164</v>
      </c>
      <c r="B438" t="s">
        <v>115</v>
      </c>
      <c r="C438" s="32" t="s">
        <v>294</v>
      </c>
      <c r="D438" t="s">
        <v>378</v>
      </c>
      <c r="E438" t="s">
        <v>395</v>
      </c>
      <c r="F438" s="174" t="n">
        <v>2035</v>
      </c>
      <c r="G438" s="175" t="n">
        <v>66</v>
      </c>
      <c r="H438" s="176" t="n">
        <v>26154.6069350563</v>
      </c>
      <c r="I438" s="177" t="n">
        <v>2714000.39076475</v>
      </c>
      <c r="J438" s="178" t="str">
        <f>IF(I438&gt;0,H438/I438,0)</f>
      </c>
      <c r="K438" s="179" t="str">
        <f>1-EXP(-J438)</f>
      </c>
      <c r="L438" s="180" t="str">
        <f>IF(G438=30,1,M437)</f>
      </c>
      <c r="M438" s="181" t="str">
        <f>L438*(1-K438)</f>
      </c>
    </row>
    <row r="439">
      <c r="A439" t="s">
        <v>164</v>
      </c>
      <c r="B439" t="s">
        <v>115</v>
      </c>
      <c r="C439" s="32" t="s">
        <v>294</v>
      </c>
      <c r="D439" t="s">
        <v>378</v>
      </c>
      <c r="E439" t="s">
        <v>395</v>
      </c>
      <c r="F439" s="174" t="n">
        <v>2035</v>
      </c>
      <c r="G439" s="175" t="n">
        <v>67</v>
      </c>
      <c r="H439" s="176" t="n">
        <v>27393.3265171958</v>
      </c>
      <c r="I439" s="177" t="n">
        <v>2585825.10746545</v>
      </c>
      <c r="J439" s="178" t="str">
        <f>IF(I439&gt;0,H439/I439,0)</f>
      </c>
      <c r="K439" s="179" t="str">
        <f>1-EXP(-J439)</f>
      </c>
      <c r="L439" s="180" t="str">
        <f>IF(G439=30,1,M438)</f>
      </c>
      <c r="M439" s="181" t="str">
        <f>L439*(1-K439)</f>
      </c>
    </row>
    <row r="440">
      <c r="A440" t="s">
        <v>164</v>
      </c>
      <c r="B440" t="s">
        <v>115</v>
      </c>
      <c r="C440" s="32" t="s">
        <v>294</v>
      </c>
      <c r="D440" t="s">
        <v>378</v>
      </c>
      <c r="E440" t="s">
        <v>395</v>
      </c>
      <c r="F440" s="174" t="n">
        <v>2035</v>
      </c>
      <c r="G440" s="175" t="n">
        <v>68</v>
      </c>
      <c r="H440" s="176" t="n">
        <v>28330.8981225513</v>
      </c>
      <c r="I440" s="177" t="n">
        <v>2429771.97553003</v>
      </c>
      <c r="J440" s="178" t="str">
        <f>IF(I440&gt;0,H440/I440,0)</f>
      </c>
      <c r="K440" s="179" t="str">
        <f>1-EXP(-J440)</f>
      </c>
      <c r="L440" s="180" t="str">
        <f>IF(G440=30,1,M439)</f>
      </c>
      <c r="M440" s="181" t="str">
        <f>L440*(1-K440)</f>
      </c>
    </row>
    <row r="441">
      <c r="A441" t="s">
        <v>164</v>
      </c>
      <c r="B441" t="s">
        <v>115</v>
      </c>
      <c r="C441" s="32" t="s">
        <v>294</v>
      </c>
      <c r="D441" t="s">
        <v>378</v>
      </c>
      <c r="E441" t="s">
        <v>395</v>
      </c>
      <c r="F441" s="174" t="n">
        <v>2035</v>
      </c>
      <c r="G441" s="175" t="n">
        <v>69</v>
      </c>
      <c r="H441" s="176" t="n">
        <v>29584.1710177511</v>
      </c>
      <c r="I441" s="177" t="n">
        <v>2305859.0869999</v>
      </c>
      <c r="J441" s="178" t="str">
        <f>IF(I441&gt;0,H441/I441,0)</f>
      </c>
      <c r="K441" s="179" t="str">
        <f>1-EXP(-J441)</f>
      </c>
      <c r="L441" s="180" t="str">
        <f>IF(G441=30,1,M440)</f>
      </c>
      <c r="M441" s="181" t="str">
        <f>L441*(1-K441)</f>
      </c>
    </row>
    <row r="442">
      <c r="A442" t="s">
        <v>164</v>
      </c>
      <c r="B442" t="s">
        <v>115</v>
      </c>
      <c r="C442" s="32" t="s">
        <v>294</v>
      </c>
      <c r="D442" t="s">
        <v>378</v>
      </c>
      <c r="E442" t="s">
        <v>395</v>
      </c>
      <c r="F442" s="174" t="n">
        <v>2036</v>
      </c>
      <c r="G442" s="175" t="n">
        <v>30</v>
      </c>
      <c r="H442" s="176" t="n">
        <v>821.326135329659</v>
      </c>
      <c r="I442" s="177" t="n">
        <v>4608173.2625416</v>
      </c>
      <c r="J442" s="178" t="str">
        <f>IF(I442&gt;0,H442/I442,0)</f>
      </c>
      <c r="K442" s="179" t="str">
        <f>1-EXP(-J442)</f>
      </c>
      <c r="L442" s="180" t="str">
        <f>IF(G442=30,1,M441)</f>
      </c>
      <c r="M442" s="181" t="str">
        <f>L442*(1-K442)</f>
      </c>
    </row>
    <row r="443">
      <c r="A443" t="s">
        <v>164</v>
      </c>
      <c r="B443" t="s">
        <v>115</v>
      </c>
      <c r="C443" s="32" t="s">
        <v>294</v>
      </c>
      <c r="D443" t="s">
        <v>378</v>
      </c>
      <c r="E443" t="s">
        <v>395</v>
      </c>
      <c r="F443" s="174" t="n">
        <v>2036</v>
      </c>
      <c r="G443" s="175" t="n">
        <v>31</v>
      </c>
      <c r="H443" s="176" t="n">
        <v>1015.23924482363</v>
      </c>
      <c r="I443" s="177" t="n">
        <v>4547194.88382707</v>
      </c>
      <c r="J443" s="178" t="str">
        <f>IF(I443&gt;0,H443/I443,0)</f>
      </c>
      <c r="K443" s="179" t="str">
        <f>1-EXP(-J443)</f>
      </c>
      <c r="L443" s="180" t="str">
        <f>IF(G443=30,1,M442)</f>
      </c>
      <c r="M443" s="181" t="str">
        <f>L443*(1-K443)</f>
      </c>
    </row>
    <row r="444">
      <c r="A444" t="s">
        <v>164</v>
      </c>
      <c r="B444" t="s">
        <v>115</v>
      </c>
      <c r="C444" s="32" t="s">
        <v>294</v>
      </c>
      <c r="D444" t="s">
        <v>378</v>
      </c>
      <c r="E444" t="s">
        <v>395</v>
      </c>
      <c r="F444" s="174" t="n">
        <v>2036</v>
      </c>
      <c r="G444" s="175" t="n">
        <v>32</v>
      </c>
      <c r="H444" s="176" t="n">
        <v>1036.19756236491</v>
      </c>
      <c r="I444" s="177" t="n">
        <v>4418692.74534562</v>
      </c>
      <c r="J444" s="178" t="str">
        <f>IF(I444&gt;0,H444/I444,0)</f>
      </c>
      <c r="K444" s="179" t="str">
        <f>1-EXP(-J444)</f>
      </c>
      <c r="L444" s="180" t="str">
        <f>IF(G444=30,1,M443)</f>
      </c>
      <c r="M444" s="181" t="str">
        <f>L444*(1-K444)</f>
      </c>
    </row>
    <row r="445">
      <c r="A445" t="s">
        <v>164</v>
      </c>
      <c r="B445" t="s">
        <v>115</v>
      </c>
      <c r="C445" s="32" t="s">
        <v>294</v>
      </c>
      <c r="D445" t="s">
        <v>378</v>
      </c>
      <c r="E445" t="s">
        <v>395</v>
      </c>
      <c r="F445" s="174" t="n">
        <v>2036</v>
      </c>
      <c r="G445" s="175" t="n">
        <v>33</v>
      </c>
      <c r="H445" s="176" t="n">
        <v>1079.40874427875</v>
      </c>
      <c r="I445" s="177" t="n">
        <v>4353320.23387864</v>
      </c>
      <c r="J445" s="178" t="str">
        <f>IF(I445&gt;0,H445/I445,0)</f>
      </c>
      <c r="K445" s="179" t="str">
        <f>1-EXP(-J445)</f>
      </c>
      <c r="L445" s="180" t="str">
        <f>IF(G445=30,1,M444)</f>
      </c>
      <c r="M445" s="181" t="str">
        <f>L445*(1-K445)</f>
      </c>
    </row>
    <row r="446">
      <c r="A446" t="s">
        <v>164</v>
      </c>
      <c r="B446" t="s">
        <v>115</v>
      </c>
      <c r="C446" s="32" t="s">
        <v>294</v>
      </c>
      <c r="D446" t="s">
        <v>378</v>
      </c>
      <c r="E446" t="s">
        <v>395</v>
      </c>
      <c r="F446" s="174" t="n">
        <v>2036</v>
      </c>
      <c r="G446" s="175" t="n">
        <v>34</v>
      </c>
      <c r="H446" s="176" t="n">
        <v>1295.26739191574</v>
      </c>
      <c r="I446" s="177" t="n">
        <v>4331766.40341779</v>
      </c>
      <c r="J446" s="178" t="str">
        <f>IF(I446&gt;0,H446/I446,0)</f>
      </c>
      <c r="K446" s="179" t="str">
        <f>1-EXP(-J446)</f>
      </c>
      <c r="L446" s="180" t="str">
        <f>IF(G446=30,1,M445)</f>
      </c>
      <c r="M446" s="181" t="str">
        <f>L446*(1-K446)</f>
      </c>
    </row>
    <row r="447">
      <c r="A447" t="s">
        <v>164</v>
      </c>
      <c r="B447" t="s">
        <v>115</v>
      </c>
      <c r="C447" s="32" t="s">
        <v>294</v>
      </c>
      <c r="D447" t="s">
        <v>378</v>
      </c>
      <c r="E447" t="s">
        <v>395</v>
      </c>
      <c r="F447" s="174" t="n">
        <v>2036</v>
      </c>
      <c r="G447" s="175" t="n">
        <v>35</v>
      </c>
      <c r="H447" s="176" t="n">
        <v>1725.74155482817</v>
      </c>
      <c r="I447" s="177" t="n">
        <v>4311474.51159651</v>
      </c>
      <c r="J447" s="178" t="str">
        <f>IF(I447&gt;0,H447/I447,0)</f>
      </c>
      <c r="K447" s="179" t="str">
        <f>1-EXP(-J447)</f>
      </c>
      <c r="L447" s="180" t="str">
        <f>IF(G447=30,1,M446)</f>
      </c>
      <c r="M447" s="181" t="str">
        <f>L447*(1-K447)</f>
      </c>
    </row>
    <row r="448">
      <c r="A448" t="s">
        <v>164</v>
      </c>
      <c r="B448" t="s">
        <v>115</v>
      </c>
      <c r="C448" s="32" t="s">
        <v>294</v>
      </c>
      <c r="D448" t="s">
        <v>378</v>
      </c>
      <c r="E448" t="s">
        <v>395</v>
      </c>
      <c r="F448" s="174" t="n">
        <v>2036</v>
      </c>
      <c r="G448" s="175" t="n">
        <v>36</v>
      </c>
      <c r="H448" s="176" t="n">
        <v>1875.09106118721</v>
      </c>
      <c r="I448" s="177" t="n">
        <v>4290412.64802981</v>
      </c>
      <c r="J448" s="178" t="str">
        <f>IF(I448&gt;0,H448/I448,0)</f>
      </c>
      <c r="K448" s="179" t="str">
        <f>1-EXP(-J448)</f>
      </c>
      <c r="L448" s="180" t="str">
        <f>IF(G448=30,1,M447)</f>
      </c>
      <c r="M448" s="181" t="str">
        <f>L448*(1-K448)</f>
      </c>
    </row>
    <row r="449">
      <c r="A449" t="s">
        <v>164</v>
      </c>
      <c r="B449" t="s">
        <v>115</v>
      </c>
      <c r="C449" s="32" t="s">
        <v>294</v>
      </c>
      <c r="D449" t="s">
        <v>378</v>
      </c>
      <c r="E449" t="s">
        <v>395</v>
      </c>
      <c r="F449" s="174" t="n">
        <v>2036</v>
      </c>
      <c r="G449" s="175" t="n">
        <v>37</v>
      </c>
      <c r="H449" s="176" t="n">
        <v>2031.96598461645</v>
      </c>
      <c r="I449" s="177" t="n">
        <v>4309113.97909058</v>
      </c>
      <c r="J449" s="178" t="str">
        <f>IF(I449&gt;0,H449/I449,0)</f>
      </c>
      <c r="K449" s="179" t="str">
        <f>1-EXP(-J449)</f>
      </c>
      <c r="L449" s="180" t="str">
        <f>IF(G449=30,1,M448)</f>
      </c>
      <c r="M449" s="181" t="str">
        <f>L449*(1-K449)</f>
      </c>
    </row>
    <row r="450">
      <c r="A450" t="s">
        <v>164</v>
      </c>
      <c r="B450" t="s">
        <v>115</v>
      </c>
      <c r="C450" s="32" t="s">
        <v>294</v>
      </c>
      <c r="D450" t="s">
        <v>378</v>
      </c>
      <c r="E450" t="s">
        <v>395</v>
      </c>
      <c r="F450" s="174" t="n">
        <v>2036</v>
      </c>
      <c r="G450" s="175" t="n">
        <v>38</v>
      </c>
      <c r="H450" s="176" t="n">
        <v>2227.36347636808</v>
      </c>
      <c r="I450" s="177" t="n">
        <v>4366580.72660016</v>
      </c>
      <c r="J450" s="178" t="str">
        <f>IF(I450&gt;0,H450/I450,0)</f>
      </c>
      <c r="K450" s="179" t="str">
        <f>1-EXP(-J450)</f>
      </c>
      <c r="L450" s="180" t="str">
        <f>IF(G450=30,1,M449)</f>
      </c>
      <c r="M450" s="181" t="str">
        <f>L450*(1-K450)</f>
      </c>
    </row>
    <row r="451">
      <c r="A451" t="s">
        <v>164</v>
      </c>
      <c r="B451" t="s">
        <v>115</v>
      </c>
      <c r="C451" s="32" t="s">
        <v>294</v>
      </c>
      <c r="D451" t="s">
        <v>378</v>
      </c>
      <c r="E451" t="s">
        <v>395</v>
      </c>
      <c r="F451" s="174" t="n">
        <v>2036</v>
      </c>
      <c r="G451" s="175" t="n">
        <v>39</v>
      </c>
      <c r="H451" s="176" t="n">
        <v>2701.67114261161</v>
      </c>
      <c r="I451" s="177" t="n">
        <v>4502094.78771203</v>
      </c>
      <c r="J451" s="178" t="str">
        <f>IF(I451&gt;0,H451/I451,0)</f>
      </c>
      <c r="K451" s="179" t="str">
        <f>1-EXP(-J451)</f>
      </c>
      <c r="L451" s="180" t="str">
        <f>IF(G451=30,1,M450)</f>
      </c>
      <c r="M451" s="181" t="str">
        <f>L451*(1-K451)</f>
      </c>
    </row>
    <row r="452">
      <c r="A452" t="s">
        <v>164</v>
      </c>
      <c r="B452" t="s">
        <v>115</v>
      </c>
      <c r="C452" s="32" t="s">
        <v>294</v>
      </c>
      <c r="D452" t="s">
        <v>378</v>
      </c>
      <c r="E452" t="s">
        <v>395</v>
      </c>
      <c r="F452" s="174" t="n">
        <v>2036</v>
      </c>
      <c r="G452" s="175" t="n">
        <v>40</v>
      </c>
      <c r="H452" s="176" t="n">
        <v>3589.6163710482</v>
      </c>
      <c r="I452" s="177" t="n">
        <v>4456626.99487133</v>
      </c>
      <c r="J452" s="178" t="str">
        <f>IF(I452&gt;0,H452/I452,0)</f>
      </c>
      <c r="K452" s="179" t="str">
        <f>1-EXP(-J452)</f>
      </c>
      <c r="L452" s="180" t="str">
        <f>IF(G452=30,1,M451)</f>
      </c>
      <c r="M452" s="181" t="str">
        <f>L452*(1-K452)</f>
      </c>
    </row>
    <row r="453">
      <c r="A453" t="s">
        <v>164</v>
      </c>
      <c r="B453" t="s">
        <v>115</v>
      </c>
      <c r="C453" s="32" t="s">
        <v>294</v>
      </c>
      <c r="D453" t="s">
        <v>378</v>
      </c>
      <c r="E453" t="s">
        <v>395</v>
      </c>
      <c r="F453" s="174" t="n">
        <v>2036</v>
      </c>
      <c r="G453" s="175" t="n">
        <v>41</v>
      </c>
      <c r="H453" s="176" t="n">
        <v>3751.75127534328</v>
      </c>
      <c r="I453" s="177" t="n">
        <v>4380181.60702778</v>
      </c>
      <c r="J453" s="178" t="str">
        <f>IF(I453&gt;0,H453/I453,0)</f>
      </c>
      <c r="K453" s="179" t="str">
        <f>1-EXP(-J453)</f>
      </c>
      <c r="L453" s="180" t="str">
        <f>IF(G453=30,1,M452)</f>
      </c>
      <c r="M453" s="181" t="str">
        <f>L453*(1-K453)</f>
      </c>
    </row>
    <row r="454">
      <c r="A454" t="s">
        <v>164</v>
      </c>
      <c r="B454" t="s">
        <v>115</v>
      </c>
      <c r="C454" s="32" t="s">
        <v>294</v>
      </c>
      <c r="D454" t="s">
        <v>378</v>
      </c>
      <c r="E454" t="s">
        <v>395</v>
      </c>
      <c r="F454" s="174" t="n">
        <v>2036</v>
      </c>
      <c r="G454" s="175" t="n">
        <v>42</v>
      </c>
      <c r="H454" s="176" t="n">
        <v>4024.5059368855</v>
      </c>
      <c r="I454" s="177" t="n">
        <v>4319847.28417814</v>
      </c>
      <c r="J454" s="178" t="str">
        <f>IF(I454&gt;0,H454/I454,0)</f>
      </c>
      <c r="K454" s="179" t="str">
        <f>1-EXP(-J454)</f>
      </c>
      <c r="L454" s="180" t="str">
        <f>IF(G454=30,1,M453)</f>
      </c>
      <c r="M454" s="181" t="str">
        <f>L454*(1-K454)</f>
      </c>
    </row>
    <row r="455">
      <c r="A455" t="s">
        <v>164</v>
      </c>
      <c r="B455" t="s">
        <v>115</v>
      </c>
      <c r="C455" s="32" t="s">
        <v>294</v>
      </c>
      <c r="D455" t="s">
        <v>378</v>
      </c>
      <c r="E455" t="s">
        <v>395</v>
      </c>
      <c r="F455" s="174" t="n">
        <v>2036</v>
      </c>
      <c r="G455" s="175" t="n">
        <v>43</v>
      </c>
      <c r="H455" s="176" t="n">
        <v>4330.79424299786</v>
      </c>
      <c r="I455" s="177" t="n">
        <v>4262708.39390132</v>
      </c>
      <c r="J455" s="178" t="str">
        <f>IF(I455&gt;0,H455/I455,0)</f>
      </c>
      <c r="K455" s="179" t="str">
        <f>1-EXP(-J455)</f>
      </c>
      <c r="L455" s="180" t="str">
        <f>IF(G455=30,1,M454)</f>
      </c>
      <c r="M455" s="181" t="str">
        <f>L455*(1-K455)</f>
      </c>
    </row>
    <row r="456">
      <c r="A456" t="s">
        <v>164</v>
      </c>
      <c r="B456" t="s">
        <v>115</v>
      </c>
      <c r="C456" s="32" t="s">
        <v>294</v>
      </c>
      <c r="D456" t="s">
        <v>378</v>
      </c>
      <c r="E456" t="s">
        <v>395</v>
      </c>
      <c r="F456" s="174" t="n">
        <v>2036</v>
      </c>
      <c r="G456" s="175" t="n">
        <v>44</v>
      </c>
      <c r="H456" s="176" t="n">
        <v>4766.17308402917</v>
      </c>
      <c r="I456" s="177" t="n">
        <v>4295263.59527133</v>
      </c>
      <c r="J456" s="178" t="str">
        <f>IF(I456&gt;0,H456/I456,0)</f>
      </c>
      <c r="K456" s="179" t="str">
        <f>1-EXP(-J456)</f>
      </c>
      <c r="L456" s="180" t="str">
        <f>IF(G456=30,1,M455)</f>
      </c>
      <c r="M456" s="181" t="str">
        <f>L456*(1-K456)</f>
      </c>
    </row>
    <row r="457">
      <c r="A457" t="s">
        <v>164</v>
      </c>
      <c r="B457" t="s">
        <v>115</v>
      </c>
      <c r="C457" s="32" t="s">
        <v>294</v>
      </c>
      <c r="D457" t="s">
        <v>378</v>
      </c>
      <c r="E457" t="s">
        <v>395</v>
      </c>
      <c r="F457" s="174" t="n">
        <v>2036</v>
      </c>
      <c r="G457" s="175" t="n">
        <v>45</v>
      </c>
      <c r="H457" s="176" t="n">
        <v>6165.80122056471</v>
      </c>
      <c r="I457" s="177" t="n">
        <v>4307724.61114994</v>
      </c>
      <c r="J457" s="178" t="str">
        <f>IF(I457&gt;0,H457/I457,0)</f>
      </c>
      <c r="K457" s="179" t="str">
        <f>1-EXP(-J457)</f>
      </c>
      <c r="L457" s="180" t="str">
        <f>IF(G457=30,1,M456)</f>
      </c>
      <c r="M457" s="181" t="str">
        <f>L457*(1-K457)</f>
      </c>
    </row>
    <row r="458">
      <c r="A458" t="s">
        <v>164</v>
      </c>
      <c r="B458" t="s">
        <v>115</v>
      </c>
      <c r="C458" s="32" t="s">
        <v>294</v>
      </c>
      <c r="D458" t="s">
        <v>378</v>
      </c>
      <c r="E458" t="s">
        <v>395</v>
      </c>
      <c r="F458" s="174" t="n">
        <v>2036</v>
      </c>
      <c r="G458" s="175" t="n">
        <v>46</v>
      </c>
      <c r="H458" s="176" t="n">
        <v>9081.77209848943</v>
      </c>
      <c r="I458" s="177" t="n">
        <v>6338029.37625265</v>
      </c>
      <c r="J458" s="178" t="str">
        <f>IF(I458&gt;0,H458/I458,0)</f>
      </c>
      <c r="K458" s="179" t="str">
        <f>1-EXP(-J458)</f>
      </c>
      <c r="L458" s="180" t="str">
        <f>IF(G458=30,1,M457)</f>
      </c>
      <c r="M458" s="181" t="str">
        <f>L458*(1-K458)</f>
      </c>
    </row>
    <row r="459">
      <c r="A459" t="s">
        <v>164</v>
      </c>
      <c r="B459" t="s">
        <v>115</v>
      </c>
      <c r="C459" s="32" t="s">
        <v>294</v>
      </c>
      <c r="D459" t="s">
        <v>378</v>
      </c>
      <c r="E459" t="s">
        <v>395</v>
      </c>
      <c r="F459" s="174" t="n">
        <v>2036</v>
      </c>
      <c r="G459" s="175" t="n">
        <v>47</v>
      </c>
      <c r="H459" s="176" t="n">
        <v>7205.1353750286</v>
      </c>
      <c r="I459" s="177" t="n">
        <v>4253573.00137853</v>
      </c>
      <c r="J459" s="178" t="str">
        <f>IF(I459&gt;0,H459/I459,0)</f>
      </c>
      <c r="K459" s="179" t="str">
        <f>1-EXP(-J459)</f>
      </c>
      <c r="L459" s="180" t="str">
        <f>IF(G459=30,1,M458)</f>
      </c>
      <c r="M459" s="181" t="str">
        <f>L459*(1-K459)</f>
      </c>
    </row>
    <row r="460">
      <c r="A460" t="s">
        <v>164</v>
      </c>
      <c r="B460" t="s">
        <v>115</v>
      </c>
      <c r="C460" s="32" t="s">
        <v>294</v>
      </c>
      <c r="D460" t="s">
        <v>378</v>
      </c>
      <c r="E460" t="s">
        <v>395</v>
      </c>
      <c r="F460" s="174" t="n">
        <v>2036</v>
      </c>
      <c r="G460" s="175" t="n">
        <v>48</v>
      </c>
      <c r="H460" s="176" t="n">
        <v>7877.46864633935</v>
      </c>
      <c r="I460" s="177" t="n">
        <v>4229862.74351195</v>
      </c>
      <c r="J460" s="178" t="str">
        <f>IF(I460&gt;0,H460/I460,0)</f>
      </c>
      <c r="K460" s="179" t="str">
        <f>1-EXP(-J460)</f>
      </c>
      <c r="L460" s="180" t="str">
        <f>IF(G460=30,1,M459)</f>
      </c>
      <c r="M460" s="181" t="str">
        <f>L460*(1-K460)</f>
      </c>
    </row>
    <row r="461">
      <c r="A461" t="s">
        <v>164</v>
      </c>
      <c r="B461" t="s">
        <v>115</v>
      </c>
      <c r="C461" s="32" t="s">
        <v>294</v>
      </c>
      <c r="D461" t="s">
        <v>378</v>
      </c>
      <c r="E461" t="s">
        <v>395</v>
      </c>
      <c r="F461" s="174" t="n">
        <v>2036</v>
      </c>
      <c r="G461" s="175" t="n">
        <v>49</v>
      </c>
      <c r="H461" s="176" t="n">
        <v>8377.27599417619</v>
      </c>
      <c r="I461" s="177" t="n">
        <v>4092328.03165074</v>
      </c>
      <c r="J461" s="178" t="str">
        <f>IF(I461&gt;0,H461/I461,0)</f>
      </c>
      <c r="K461" s="179" t="str">
        <f>1-EXP(-J461)</f>
      </c>
      <c r="L461" s="180" t="str">
        <f>IF(G461=30,1,M460)</f>
      </c>
      <c r="M461" s="181" t="str">
        <f>L461*(1-K461)</f>
      </c>
    </row>
    <row r="462">
      <c r="A462" t="s">
        <v>164</v>
      </c>
      <c r="B462" t="s">
        <v>115</v>
      </c>
      <c r="C462" s="32" t="s">
        <v>294</v>
      </c>
      <c r="D462" t="s">
        <v>378</v>
      </c>
      <c r="E462" t="s">
        <v>395</v>
      </c>
      <c r="F462" s="174" t="n">
        <v>2036</v>
      </c>
      <c r="G462" s="175" t="n">
        <v>50</v>
      </c>
      <c r="H462" s="176" t="n">
        <v>9597.52654118384</v>
      </c>
      <c r="I462" s="177" t="n">
        <v>4049681.22411223</v>
      </c>
      <c r="J462" s="178" t="str">
        <f>IF(I462&gt;0,H462/I462,0)</f>
      </c>
      <c r="K462" s="179" t="str">
        <f>1-EXP(-J462)</f>
      </c>
      <c r="L462" s="180" t="str">
        <f>IF(G462=30,1,M461)</f>
      </c>
      <c r="M462" s="181" t="str">
        <f>L462*(1-K462)</f>
      </c>
    </row>
    <row r="463">
      <c r="A463" t="s">
        <v>164</v>
      </c>
      <c r="B463" t="s">
        <v>115</v>
      </c>
      <c r="C463" s="32" t="s">
        <v>294</v>
      </c>
      <c r="D463" t="s">
        <v>378</v>
      </c>
      <c r="E463" t="s">
        <v>395</v>
      </c>
      <c r="F463" s="174" t="n">
        <v>2036</v>
      </c>
      <c r="G463" s="175" t="n">
        <v>51</v>
      </c>
      <c r="H463" s="176" t="n">
        <v>10475.3222489847</v>
      </c>
      <c r="I463" s="177" t="n">
        <v>4096470.71237807</v>
      </c>
      <c r="J463" s="178" t="str">
        <f>IF(I463&gt;0,H463/I463,0)</f>
      </c>
      <c r="K463" s="179" t="str">
        <f>1-EXP(-J463)</f>
      </c>
      <c r="L463" s="180" t="str">
        <f>IF(G463=30,1,M462)</f>
      </c>
      <c r="M463" s="181" t="str">
        <f>L463*(1-K463)</f>
      </c>
    </row>
    <row r="464">
      <c r="A464" t="s">
        <v>164</v>
      </c>
      <c r="B464" t="s">
        <v>115</v>
      </c>
      <c r="C464" s="32" t="s">
        <v>294</v>
      </c>
      <c r="D464" t="s">
        <v>378</v>
      </c>
      <c r="E464" t="s">
        <v>395</v>
      </c>
      <c r="F464" s="174" t="n">
        <v>2036</v>
      </c>
      <c r="G464" s="175" t="n">
        <v>52</v>
      </c>
      <c r="H464" s="176" t="n">
        <v>11681.3913550037</v>
      </c>
      <c r="I464" s="177" t="n">
        <v>4167279.1967927</v>
      </c>
      <c r="J464" s="178" t="str">
        <f>IF(I464&gt;0,H464/I464,0)</f>
      </c>
      <c r="K464" s="179" t="str">
        <f>1-EXP(-J464)</f>
      </c>
      <c r="L464" s="180" t="str">
        <f>IF(G464=30,1,M463)</f>
      </c>
      <c r="M464" s="181" t="str">
        <f>L464*(1-K464)</f>
      </c>
    </row>
    <row r="465">
      <c r="A465" t="s">
        <v>164</v>
      </c>
      <c r="B465" t="s">
        <v>115</v>
      </c>
      <c r="C465" s="32" t="s">
        <v>294</v>
      </c>
      <c r="D465" t="s">
        <v>378</v>
      </c>
      <c r="E465" t="s">
        <v>395</v>
      </c>
      <c r="F465" s="174" t="n">
        <v>2036</v>
      </c>
      <c r="G465" s="175" t="n">
        <v>53</v>
      </c>
      <c r="H465" s="176" t="n">
        <v>12678.0278205849</v>
      </c>
      <c r="I465" s="177" t="n">
        <v>4131229.60183327</v>
      </c>
      <c r="J465" s="178" t="str">
        <f>IF(I465&gt;0,H465/I465,0)</f>
      </c>
      <c r="K465" s="179" t="str">
        <f>1-EXP(-J465)</f>
      </c>
      <c r="L465" s="180" t="str">
        <f>IF(G465=30,1,M464)</f>
      </c>
      <c r="M465" s="181" t="str">
        <f>L465*(1-K465)</f>
      </c>
    </row>
    <row r="466">
      <c r="A466" t="s">
        <v>164</v>
      </c>
      <c r="B466" t="s">
        <v>115</v>
      </c>
      <c r="C466" s="32" t="s">
        <v>294</v>
      </c>
      <c r="D466" t="s">
        <v>378</v>
      </c>
      <c r="E466" t="s">
        <v>395</v>
      </c>
      <c r="F466" s="174" t="n">
        <v>2036</v>
      </c>
      <c r="G466" s="175" t="n">
        <v>54</v>
      </c>
      <c r="H466" s="176" t="n">
        <v>13390.2155435313</v>
      </c>
      <c r="I466" s="177" t="n">
        <v>3985788.43922957</v>
      </c>
      <c r="J466" s="178" t="str">
        <f>IF(I466&gt;0,H466/I466,0)</f>
      </c>
      <c r="K466" s="179" t="str">
        <f>1-EXP(-J466)</f>
      </c>
      <c r="L466" s="180" t="str">
        <f>IF(G466=30,1,M465)</f>
      </c>
      <c r="M466" s="181" t="str">
        <f>L466*(1-K466)</f>
      </c>
    </row>
    <row r="467">
      <c r="A467" t="s">
        <v>164</v>
      </c>
      <c r="B467" t="s">
        <v>115</v>
      </c>
      <c r="C467" s="32" t="s">
        <v>294</v>
      </c>
      <c r="D467" t="s">
        <v>378</v>
      </c>
      <c r="E467" t="s">
        <v>395</v>
      </c>
      <c r="F467" s="174" t="n">
        <v>2036</v>
      </c>
      <c r="G467" s="175" t="n">
        <v>55</v>
      </c>
      <c r="H467" s="176" t="n">
        <v>14310.4800574771</v>
      </c>
      <c r="I467" s="177" t="n">
        <v>3899974.34904197</v>
      </c>
      <c r="J467" s="178" t="str">
        <f>IF(I467&gt;0,H467/I467,0)</f>
      </c>
      <c r="K467" s="179" t="str">
        <f>1-EXP(-J467)</f>
      </c>
      <c r="L467" s="180" t="str">
        <f>IF(G467=30,1,M466)</f>
      </c>
      <c r="M467" s="181" t="str">
        <f>L467*(1-K467)</f>
      </c>
    </row>
    <row r="468">
      <c r="A468" t="s">
        <v>164</v>
      </c>
      <c r="B468" t="s">
        <v>115</v>
      </c>
      <c r="C468" s="32" t="s">
        <v>294</v>
      </c>
      <c r="D468" t="s">
        <v>378</v>
      </c>
      <c r="E468" t="s">
        <v>395</v>
      </c>
      <c r="F468" s="174" t="n">
        <v>2036</v>
      </c>
      <c r="G468" s="175" t="n">
        <v>56</v>
      </c>
      <c r="H468" s="176" t="n">
        <v>15157.9466074471</v>
      </c>
      <c r="I468" s="177" t="n">
        <v>3828240.36246322</v>
      </c>
      <c r="J468" s="178" t="str">
        <f>IF(I468&gt;0,H468/I468,0)</f>
      </c>
      <c r="K468" s="179" t="str">
        <f>1-EXP(-J468)</f>
      </c>
      <c r="L468" s="180" t="str">
        <f>IF(G468=30,1,M467)</f>
      </c>
      <c r="M468" s="181" t="str">
        <f>L468*(1-K468)</f>
      </c>
    </row>
    <row r="469">
      <c r="A469" t="s">
        <v>164</v>
      </c>
      <c r="B469" t="s">
        <v>115</v>
      </c>
      <c r="C469" s="32" t="s">
        <v>294</v>
      </c>
      <c r="D469" t="s">
        <v>378</v>
      </c>
      <c r="E469" t="s">
        <v>395</v>
      </c>
      <c r="F469" s="174" t="n">
        <v>2036</v>
      </c>
      <c r="G469" s="175" t="n">
        <v>57</v>
      </c>
      <c r="H469" s="176" t="n">
        <v>16255.7136704901</v>
      </c>
      <c r="I469" s="177" t="n">
        <v>3751043.01795581</v>
      </c>
      <c r="J469" s="178" t="str">
        <f>IF(I469&gt;0,H469/I469,0)</f>
      </c>
      <c r="K469" s="179" t="str">
        <f>1-EXP(-J469)</f>
      </c>
      <c r="L469" s="180" t="str">
        <f>IF(G469=30,1,M468)</f>
      </c>
      <c r="M469" s="181" t="str">
        <f>L469*(1-K469)</f>
      </c>
    </row>
    <row r="470">
      <c r="A470" t="s">
        <v>164</v>
      </c>
      <c r="B470" t="s">
        <v>115</v>
      </c>
      <c r="C470" s="32" t="s">
        <v>294</v>
      </c>
      <c r="D470" t="s">
        <v>378</v>
      </c>
      <c r="E470" t="s">
        <v>395</v>
      </c>
      <c r="F470" s="174" t="n">
        <v>2036</v>
      </c>
      <c r="G470" s="175" t="n">
        <v>58</v>
      </c>
      <c r="H470" s="176" t="n">
        <v>17342.2634341459</v>
      </c>
      <c r="I470" s="177" t="n">
        <v>3654483.14935103</v>
      </c>
      <c r="J470" s="178" t="str">
        <f>IF(I470&gt;0,H470/I470,0)</f>
      </c>
      <c r="K470" s="179" t="str">
        <f>1-EXP(-J470)</f>
      </c>
      <c r="L470" s="180" t="str">
        <f>IF(G470=30,1,M469)</f>
      </c>
      <c r="M470" s="181" t="str">
        <f>L470*(1-K470)</f>
      </c>
    </row>
    <row r="471">
      <c r="A471" t="s">
        <v>164</v>
      </c>
      <c r="B471" t="s">
        <v>115</v>
      </c>
      <c r="C471" s="32" t="s">
        <v>294</v>
      </c>
      <c r="D471" t="s">
        <v>378</v>
      </c>
      <c r="E471" t="s">
        <v>395</v>
      </c>
      <c r="F471" s="174" t="n">
        <v>2036</v>
      </c>
      <c r="G471" s="175" t="n">
        <v>59</v>
      </c>
      <c r="H471" s="176" t="n">
        <v>18596.2629176268</v>
      </c>
      <c r="I471" s="177" t="n">
        <v>3572930.79840072</v>
      </c>
      <c r="J471" s="178" t="str">
        <f>IF(I471&gt;0,H471/I471,0)</f>
      </c>
      <c r="K471" s="179" t="str">
        <f>1-EXP(-J471)</f>
      </c>
      <c r="L471" s="180" t="str">
        <f>IF(G471=30,1,M470)</f>
      </c>
      <c r="M471" s="181" t="str">
        <f>L471*(1-K471)</f>
      </c>
    </row>
    <row r="472">
      <c r="A472" t="s">
        <v>164</v>
      </c>
      <c r="B472" t="s">
        <v>115</v>
      </c>
      <c r="C472" s="32" t="s">
        <v>294</v>
      </c>
      <c r="D472" t="s">
        <v>378</v>
      </c>
      <c r="E472" t="s">
        <v>395</v>
      </c>
      <c r="F472" s="174" t="n">
        <v>2036</v>
      </c>
      <c r="G472" s="175" t="n">
        <v>60</v>
      </c>
      <c r="H472" s="176" t="n">
        <v>19959.9229015521</v>
      </c>
      <c r="I472" s="177" t="n">
        <v>3479389.72484887</v>
      </c>
      <c r="J472" s="178" t="str">
        <f>IF(I472&gt;0,H472/I472,0)</f>
      </c>
      <c r="K472" s="179" t="str">
        <f>1-EXP(-J472)</f>
      </c>
      <c r="L472" s="180" t="str">
        <f>IF(G472=30,1,M471)</f>
      </c>
      <c r="M472" s="181" t="str">
        <f>L472*(1-K472)</f>
      </c>
    </row>
    <row r="473">
      <c r="A473" t="s">
        <v>164</v>
      </c>
      <c r="B473" t="s">
        <v>115</v>
      </c>
      <c r="C473" s="32" t="s">
        <v>294</v>
      </c>
      <c r="D473" t="s">
        <v>378</v>
      </c>
      <c r="E473" t="s">
        <v>395</v>
      </c>
      <c r="F473" s="174" t="n">
        <v>2036</v>
      </c>
      <c r="G473" s="175" t="n">
        <v>61</v>
      </c>
      <c r="H473" s="176" t="n">
        <v>21028.3480037545</v>
      </c>
      <c r="I473" s="177" t="n">
        <v>3383701.92387651</v>
      </c>
      <c r="J473" s="178" t="str">
        <f>IF(I473&gt;0,H473/I473,0)</f>
      </c>
      <c r="K473" s="179" t="str">
        <f>1-EXP(-J473)</f>
      </c>
      <c r="L473" s="180" t="str">
        <f>IF(G473=30,1,M472)</f>
      </c>
      <c r="M473" s="181" t="str">
        <f>L473*(1-K473)</f>
      </c>
    </row>
    <row r="474">
      <c r="A474" t="s">
        <v>164</v>
      </c>
      <c r="B474" t="s">
        <v>115</v>
      </c>
      <c r="C474" s="32" t="s">
        <v>294</v>
      </c>
      <c r="D474" t="s">
        <v>378</v>
      </c>
      <c r="E474" t="s">
        <v>395</v>
      </c>
      <c r="F474" s="174" t="n">
        <v>2036</v>
      </c>
      <c r="G474" s="175" t="n">
        <v>62</v>
      </c>
      <c r="H474" s="176" t="n">
        <v>22258.2954620364</v>
      </c>
      <c r="I474" s="177" t="n">
        <v>3262358.756792</v>
      </c>
      <c r="J474" s="178" t="str">
        <f>IF(I474&gt;0,H474/I474,0)</f>
      </c>
      <c r="K474" s="179" t="str">
        <f>1-EXP(-J474)</f>
      </c>
      <c r="L474" s="180" t="str">
        <f>IF(G474=30,1,M473)</f>
      </c>
      <c r="M474" s="181" t="str">
        <f>L474*(1-K474)</f>
      </c>
    </row>
    <row r="475">
      <c r="A475" t="s">
        <v>164</v>
      </c>
      <c r="B475" t="s">
        <v>115</v>
      </c>
      <c r="C475" s="32" t="s">
        <v>294</v>
      </c>
      <c r="D475" t="s">
        <v>378</v>
      </c>
      <c r="E475" t="s">
        <v>395</v>
      </c>
      <c r="F475" s="174" t="n">
        <v>2036</v>
      </c>
      <c r="G475" s="175" t="n">
        <v>63</v>
      </c>
      <c r="H475" s="176" t="n">
        <v>23927.8485361335</v>
      </c>
      <c r="I475" s="177" t="n">
        <v>3195123.57499698</v>
      </c>
      <c r="J475" s="178" t="str">
        <f>IF(I475&gt;0,H475/I475,0)</f>
      </c>
      <c r="K475" s="179" t="str">
        <f>1-EXP(-J475)</f>
      </c>
      <c r="L475" s="180" t="str">
        <f>IF(G475=30,1,M474)</f>
      </c>
      <c r="M475" s="181" t="str">
        <f>L475*(1-K475)</f>
      </c>
    </row>
    <row r="476">
      <c r="A476" t="s">
        <v>164</v>
      </c>
      <c r="B476" t="s">
        <v>115</v>
      </c>
      <c r="C476" s="32" t="s">
        <v>294</v>
      </c>
      <c r="D476" t="s">
        <v>378</v>
      </c>
      <c r="E476" t="s">
        <v>395</v>
      </c>
      <c r="F476" s="174" t="n">
        <v>2036</v>
      </c>
      <c r="G476" s="175" t="n">
        <v>64</v>
      </c>
      <c r="H476" s="176" t="n">
        <v>24500.8829054588</v>
      </c>
      <c r="I476" s="177" t="n">
        <v>2977695.00217842</v>
      </c>
      <c r="J476" s="178" t="str">
        <f>IF(I476&gt;0,H476/I476,0)</f>
      </c>
      <c r="K476" s="179" t="str">
        <f>1-EXP(-J476)</f>
      </c>
      <c r="L476" s="180" t="str">
        <f>IF(G476=30,1,M475)</f>
      </c>
      <c r="M476" s="181" t="str">
        <f>L476*(1-K476)</f>
      </c>
    </row>
    <row r="477">
      <c r="A477" t="s">
        <v>164</v>
      </c>
      <c r="B477" t="s">
        <v>115</v>
      </c>
      <c r="C477" s="32" t="s">
        <v>294</v>
      </c>
      <c r="D477" t="s">
        <v>378</v>
      </c>
      <c r="E477" t="s">
        <v>395</v>
      </c>
      <c r="F477" s="174" t="n">
        <v>2036</v>
      </c>
      <c r="G477" s="175" t="n">
        <v>65</v>
      </c>
      <c r="H477" s="176" t="n">
        <v>24971.119007477</v>
      </c>
      <c r="I477" s="177" t="n">
        <v>2870402.18666698</v>
      </c>
      <c r="J477" s="178" t="str">
        <f>IF(I477&gt;0,H477/I477,0)</f>
      </c>
      <c r="K477" s="179" t="str">
        <f>1-EXP(-J477)</f>
      </c>
      <c r="L477" s="180" t="str">
        <f>IF(G477=30,1,M476)</f>
      </c>
      <c r="M477" s="181" t="str">
        <f>L477*(1-K477)</f>
      </c>
    </row>
    <row r="478">
      <c r="A478" t="s">
        <v>164</v>
      </c>
      <c r="B478" t="s">
        <v>115</v>
      </c>
      <c r="C478" s="32" t="s">
        <v>294</v>
      </c>
      <c r="D478" t="s">
        <v>378</v>
      </c>
      <c r="E478" t="s">
        <v>395</v>
      </c>
      <c r="F478" s="174" t="n">
        <v>2036</v>
      </c>
      <c r="G478" s="175" t="n">
        <v>66</v>
      </c>
      <c r="H478" s="176" t="n">
        <v>26149.6595334751</v>
      </c>
      <c r="I478" s="177" t="n">
        <v>2766411.92944353</v>
      </c>
      <c r="J478" s="178" t="str">
        <f>IF(I478&gt;0,H478/I478,0)</f>
      </c>
      <c r="K478" s="179" t="str">
        <f>1-EXP(-J478)</f>
      </c>
      <c r="L478" s="180" t="str">
        <f>IF(G478=30,1,M477)</f>
      </c>
      <c r="M478" s="181" t="str">
        <f>L478*(1-K478)</f>
      </c>
    </row>
    <row r="479">
      <c r="A479" t="s">
        <v>164</v>
      </c>
      <c r="B479" t="s">
        <v>115</v>
      </c>
      <c r="C479" s="32" t="s">
        <v>294</v>
      </c>
      <c r="D479" t="s">
        <v>378</v>
      </c>
      <c r="E479" t="s">
        <v>395</v>
      </c>
      <c r="F479" s="174" t="n">
        <v>2036</v>
      </c>
      <c r="G479" s="175" t="n">
        <v>67</v>
      </c>
      <c r="H479" s="176" t="n">
        <v>27567.9537878425</v>
      </c>
      <c r="I479" s="177" t="n">
        <v>2653407.29379178</v>
      </c>
      <c r="J479" s="178" t="str">
        <f>IF(I479&gt;0,H479/I479,0)</f>
      </c>
      <c r="K479" s="179" t="str">
        <f>1-EXP(-J479)</f>
      </c>
      <c r="L479" s="180" t="str">
        <f>IF(G479=30,1,M478)</f>
      </c>
      <c r="M479" s="181" t="str">
        <f>L479*(1-K479)</f>
      </c>
    </row>
    <row r="480">
      <c r="A480" t="s">
        <v>164</v>
      </c>
      <c r="B480" t="s">
        <v>115</v>
      </c>
      <c r="C480" s="32" t="s">
        <v>294</v>
      </c>
      <c r="D480" t="s">
        <v>378</v>
      </c>
      <c r="E480" t="s">
        <v>395</v>
      </c>
      <c r="F480" s="174" t="n">
        <v>2036</v>
      </c>
      <c r="G480" s="175" t="n">
        <v>68</v>
      </c>
      <c r="H480" s="176" t="n">
        <v>28819.045417154</v>
      </c>
      <c r="I480" s="177" t="n">
        <v>2522478.39903136</v>
      </c>
      <c r="J480" s="178" t="str">
        <f>IF(I480&gt;0,H480/I480,0)</f>
      </c>
      <c r="K480" s="179" t="str">
        <f>1-EXP(-J480)</f>
      </c>
      <c r="L480" s="180" t="str">
        <f>IF(G480=30,1,M479)</f>
      </c>
      <c r="M480" s="181" t="str">
        <f>L480*(1-K480)</f>
      </c>
    </row>
    <row r="481">
      <c r="A481" t="s">
        <v>164</v>
      </c>
      <c r="B481" t="s">
        <v>115</v>
      </c>
      <c r="C481" s="32" t="s">
        <v>294</v>
      </c>
      <c r="D481" t="s">
        <v>378</v>
      </c>
      <c r="E481" t="s">
        <v>395</v>
      </c>
      <c r="F481" s="174" t="n">
        <v>2036</v>
      </c>
      <c r="G481" s="175" t="n">
        <v>69</v>
      </c>
      <c r="H481" s="176" t="n">
        <v>29744.9079624238</v>
      </c>
      <c r="I481" s="177" t="n">
        <v>2364364.88182666</v>
      </c>
      <c r="J481" s="178" t="str">
        <f>IF(I481&gt;0,H481/I481,0)</f>
      </c>
      <c r="K481" s="179" t="str">
        <f>1-EXP(-J481)</f>
      </c>
      <c r="L481" s="180" t="str">
        <f>IF(G481=30,1,M480)</f>
      </c>
      <c r="M481" s="181" t="str">
        <f>L481*(1-K481)</f>
      </c>
    </row>
    <row r="482">
      <c r="A482" t="s">
        <v>164</v>
      </c>
      <c r="B482" t="s">
        <v>115</v>
      </c>
      <c r="C482" s="32" t="s">
        <v>294</v>
      </c>
      <c r="D482" t="s">
        <v>378</v>
      </c>
      <c r="E482" t="s">
        <v>395</v>
      </c>
      <c r="F482" s="174" t="n">
        <v>2037</v>
      </c>
      <c r="G482" s="175" t="n">
        <v>30</v>
      </c>
      <c r="H482" s="176" t="n">
        <v>838.939646564563</v>
      </c>
      <c r="I482" s="177" t="n">
        <v>4685537.42469787</v>
      </c>
      <c r="J482" s="178" t="str">
        <f>IF(I482&gt;0,H482/I482,0)</f>
      </c>
      <c r="K482" s="179" t="str">
        <f>1-EXP(-J482)</f>
      </c>
      <c r="L482" s="180" t="str">
        <f>IF(G482=30,1,M481)</f>
      </c>
      <c r="M482" s="181" t="str">
        <f>L482*(1-K482)</f>
      </c>
    </row>
    <row r="483">
      <c r="A483" t="s">
        <v>164</v>
      </c>
      <c r="B483" t="s">
        <v>115</v>
      </c>
      <c r="C483" s="32" t="s">
        <v>294</v>
      </c>
      <c r="D483" t="s">
        <v>378</v>
      </c>
      <c r="E483" t="s">
        <v>395</v>
      </c>
      <c r="F483" s="174" t="n">
        <v>2037</v>
      </c>
      <c r="G483" s="175" t="n">
        <v>31</v>
      </c>
      <c r="H483" s="176" t="n">
        <v>1032.18772195575</v>
      </c>
      <c r="I483" s="177" t="n">
        <v>4602483.288215</v>
      </c>
      <c r="J483" s="178" t="str">
        <f>IF(I483&gt;0,H483/I483,0)</f>
      </c>
      <c r="K483" s="179" t="str">
        <f>1-EXP(-J483)</f>
      </c>
      <c r="L483" s="180" t="str">
        <f>IF(G483=30,1,M482)</f>
      </c>
      <c r="M483" s="181" t="str">
        <f>L483*(1-K483)</f>
      </c>
    </row>
    <row r="484">
      <c r="A484" t="s">
        <v>164</v>
      </c>
      <c r="B484" t="s">
        <v>115</v>
      </c>
      <c r="C484" s="32" t="s">
        <v>294</v>
      </c>
      <c r="D484" t="s">
        <v>378</v>
      </c>
      <c r="E484" t="s">
        <v>395</v>
      </c>
      <c r="F484" s="174" t="n">
        <v>2037</v>
      </c>
      <c r="G484" s="175" t="n">
        <v>32</v>
      </c>
      <c r="H484" s="176" t="n">
        <v>1069.04058272094</v>
      </c>
      <c r="I484" s="177" t="n">
        <v>4541666.06563368</v>
      </c>
      <c r="J484" s="178" t="str">
        <f>IF(I484&gt;0,H484/I484,0)</f>
      </c>
      <c r="K484" s="179" t="str">
        <f>1-EXP(-J484)</f>
      </c>
      <c r="L484" s="180" t="str">
        <f>IF(G484=30,1,M483)</f>
      </c>
      <c r="M484" s="181" t="str">
        <f>L484*(1-K484)</f>
      </c>
    </row>
    <row r="485">
      <c r="A485" t="s">
        <v>164</v>
      </c>
      <c r="B485" t="s">
        <v>115</v>
      </c>
      <c r="C485" s="32" t="s">
        <v>294</v>
      </c>
      <c r="D485" t="s">
        <v>378</v>
      </c>
      <c r="E485" t="s">
        <v>395</v>
      </c>
      <c r="F485" s="174" t="n">
        <v>2037</v>
      </c>
      <c r="G485" s="175" t="n">
        <v>33</v>
      </c>
      <c r="H485" s="176" t="n">
        <v>1097.5597020927</v>
      </c>
      <c r="I485" s="177" t="n">
        <v>4413096.36398345</v>
      </c>
      <c r="J485" s="178" t="str">
        <f>IF(I485&gt;0,H485/I485,0)</f>
      </c>
      <c r="K485" s="179" t="str">
        <f>1-EXP(-J485)</f>
      </c>
      <c r="L485" s="180" t="str">
        <f>IF(G485=30,1,M484)</f>
      </c>
      <c r="M485" s="181" t="str">
        <f>L485*(1-K485)</f>
      </c>
    </row>
    <row r="486">
      <c r="A486" t="s">
        <v>164</v>
      </c>
      <c r="B486" t="s">
        <v>115</v>
      </c>
      <c r="C486" s="32" t="s">
        <v>294</v>
      </c>
      <c r="D486" t="s">
        <v>378</v>
      </c>
      <c r="E486" t="s">
        <v>395</v>
      </c>
      <c r="F486" s="174" t="n">
        <v>2037</v>
      </c>
      <c r="G486" s="175" t="n">
        <v>34</v>
      </c>
      <c r="H486" s="176" t="n">
        <v>1150.16743536742</v>
      </c>
      <c r="I486" s="177" t="n">
        <v>4347545.36279954</v>
      </c>
      <c r="J486" s="178" t="str">
        <f>IF(I486&gt;0,H486/I486,0)</f>
      </c>
      <c r="K486" s="179" t="str">
        <f>1-EXP(-J486)</f>
      </c>
      <c r="L486" s="180" t="str">
        <f>IF(G486=30,1,M485)</f>
      </c>
      <c r="M486" s="181" t="str">
        <f>L486*(1-K486)</f>
      </c>
    </row>
    <row r="487">
      <c r="A487" t="s">
        <v>164</v>
      </c>
      <c r="B487" t="s">
        <v>115</v>
      </c>
      <c r="C487" s="32" t="s">
        <v>294</v>
      </c>
      <c r="D487" t="s">
        <v>378</v>
      </c>
      <c r="E487" t="s">
        <v>395</v>
      </c>
      <c r="F487" s="174" t="n">
        <v>2037</v>
      </c>
      <c r="G487" s="175" t="n">
        <v>35</v>
      </c>
      <c r="H487" s="176" t="n">
        <v>1727.02888026714</v>
      </c>
      <c r="I487" s="177" t="n">
        <v>4325539.37832319</v>
      </c>
      <c r="J487" s="178" t="str">
        <f>IF(I487&gt;0,H487/I487,0)</f>
      </c>
      <c r="K487" s="179" t="str">
        <f>1-EXP(-J487)</f>
      </c>
      <c r="L487" s="180" t="str">
        <f>IF(G487=30,1,M486)</f>
      </c>
      <c r="M487" s="181" t="str">
        <f>L487*(1-K487)</f>
      </c>
    </row>
    <row r="488">
      <c r="A488" t="s">
        <v>164</v>
      </c>
      <c r="B488" t="s">
        <v>115</v>
      </c>
      <c r="C488" s="32" t="s">
        <v>294</v>
      </c>
      <c r="D488" t="s">
        <v>378</v>
      </c>
      <c r="E488" t="s">
        <v>395</v>
      </c>
      <c r="F488" s="174" t="n">
        <v>2037</v>
      </c>
      <c r="G488" s="175" t="n">
        <v>36</v>
      </c>
      <c r="H488" s="176" t="n">
        <v>1867.4734008134</v>
      </c>
      <c r="I488" s="177" t="n">
        <v>4304519.2920139</v>
      </c>
      <c r="J488" s="178" t="str">
        <f>IF(I488&gt;0,H488/I488,0)</f>
      </c>
      <c r="K488" s="179" t="str">
        <f>1-EXP(-J488)</f>
      </c>
      <c r="L488" s="180" t="str">
        <f>IF(G488=30,1,M487)</f>
      </c>
      <c r="M488" s="181" t="str">
        <f>L488*(1-K488)</f>
      </c>
    </row>
    <row r="489">
      <c r="A489" t="s">
        <v>164</v>
      </c>
      <c r="B489" t="s">
        <v>115</v>
      </c>
      <c r="C489" s="32" t="s">
        <v>294</v>
      </c>
      <c r="D489" t="s">
        <v>378</v>
      </c>
      <c r="E489" t="s">
        <v>395</v>
      </c>
      <c r="F489" s="174" t="n">
        <v>2037</v>
      </c>
      <c r="G489" s="175" t="n">
        <v>37</v>
      </c>
      <c r="H489" s="176" t="n">
        <v>2004.77638415641</v>
      </c>
      <c r="I489" s="177" t="n">
        <v>4283438.26075286</v>
      </c>
      <c r="J489" s="178" t="str">
        <f>IF(I489&gt;0,H489/I489,0)</f>
      </c>
      <c r="K489" s="179" t="str">
        <f>1-EXP(-J489)</f>
      </c>
      <c r="L489" s="180" t="str">
        <f>IF(G489=30,1,M488)</f>
      </c>
      <c r="M489" s="181" t="str">
        <f>L489*(1-K489)</f>
      </c>
    </row>
    <row r="490">
      <c r="A490" t="s">
        <v>164</v>
      </c>
      <c r="B490" t="s">
        <v>115</v>
      </c>
      <c r="C490" s="32" t="s">
        <v>294</v>
      </c>
      <c r="D490" t="s">
        <v>378</v>
      </c>
      <c r="E490" t="s">
        <v>395</v>
      </c>
      <c r="F490" s="174" t="n">
        <v>2037</v>
      </c>
      <c r="G490" s="175" t="n">
        <v>38</v>
      </c>
      <c r="H490" s="176" t="n">
        <v>2176.91750311817</v>
      </c>
      <c r="I490" s="177" t="n">
        <v>4301611.60132434</v>
      </c>
      <c r="J490" s="178" t="str">
        <f>IF(I490&gt;0,H490/I490,0)</f>
      </c>
      <c r="K490" s="179" t="str">
        <f>1-EXP(-J490)</f>
      </c>
      <c r="L490" s="180" t="str">
        <f>IF(G490=30,1,M489)</f>
      </c>
      <c r="M490" s="181" t="str">
        <f>L490*(1-K490)</f>
      </c>
    </row>
    <row r="491">
      <c r="A491" t="s">
        <v>164</v>
      </c>
      <c r="B491" t="s">
        <v>115</v>
      </c>
      <c r="C491" s="32" t="s">
        <v>294</v>
      </c>
      <c r="D491" t="s">
        <v>378</v>
      </c>
      <c r="E491" t="s">
        <v>395</v>
      </c>
      <c r="F491" s="174" t="n">
        <v>2037</v>
      </c>
      <c r="G491" s="175" t="n">
        <v>39</v>
      </c>
      <c r="H491" s="176" t="n">
        <v>2390.02838242795</v>
      </c>
      <c r="I491" s="177" t="n">
        <v>4358413.32732131</v>
      </c>
      <c r="J491" s="178" t="str">
        <f>IF(I491&gt;0,H491/I491,0)</f>
      </c>
      <c r="K491" s="179" t="str">
        <f>1-EXP(-J491)</f>
      </c>
      <c r="L491" s="180" t="str">
        <f>IF(G491=30,1,M490)</f>
      </c>
      <c r="M491" s="181" t="str">
        <f>L491*(1-K491)</f>
      </c>
    </row>
    <row r="492">
      <c r="A492" t="s">
        <v>164</v>
      </c>
      <c r="B492" t="s">
        <v>115</v>
      </c>
      <c r="C492" s="32" t="s">
        <v>294</v>
      </c>
      <c r="D492" t="s">
        <v>378</v>
      </c>
      <c r="E492" t="s">
        <v>395</v>
      </c>
      <c r="F492" s="174" t="n">
        <v>2037</v>
      </c>
      <c r="G492" s="175" t="n">
        <v>40</v>
      </c>
      <c r="H492" s="176" t="n">
        <v>3589.89050987459</v>
      </c>
      <c r="I492" s="177" t="n">
        <v>4492785.16864858</v>
      </c>
      <c r="J492" s="178" t="str">
        <f>IF(I492&gt;0,H492/I492,0)</f>
      </c>
      <c r="K492" s="179" t="str">
        <f>1-EXP(-J492)</f>
      </c>
      <c r="L492" s="180" t="str">
        <f>IF(G492=30,1,M491)</f>
      </c>
      <c r="M492" s="181" t="str">
        <f>L492*(1-K492)</f>
      </c>
    </row>
    <row r="493">
      <c r="A493" t="s">
        <v>164</v>
      </c>
      <c r="B493" t="s">
        <v>115</v>
      </c>
      <c r="C493" s="32" t="s">
        <v>294</v>
      </c>
      <c r="D493" t="s">
        <v>378</v>
      </c>
      <c r="E493" t="s">
        <v>395</v>
      </c>
      <c r="F493" s="174" t="n">
        <v>2037</v>
      </c>
      <c r="G493" s="175" t="n">
        <v>41</v>
      </c>
      <c r="H493" s="176" t="n">
        <v>3768.2508889833</v>
      </c>
      <c r="I493" s="177" t="n">
        <v>4445904.80702891</v>
      </c>
      <c r="J493" s="178" t="str">
        <f>IF(I493&gt;0,H493/I493,0)</f>
      </c>
      <c r="K493" s="179" t="str">
        <f>1-EXP(-J493)</f>
      </c>
      <c r="L493" s="180" t="str">
        <f>IF(G493=30,1,M492)</f>
      </c>
      <c r="M493" s="181" t="str">
        <f>L493*(1-K493)</f>
      </c>
    </row>
    <row r="494">
      <c r="A494" t="s">
        <v>164</v>
      </c>
      <c r="B494" t="s">
        <v>115</v>
      </c>
      <c r="C494" s="32" t="s">
        <v>294</v>
      </c>
      <c r="D494" t="s">
        <v>378</v>
      </c>
      <c r="E494" t="s">
        <v>395</v>
      </c>
      <c r="F494" s="174" t="n">
        <v>2037</v>
      </c>
      <c r="G494" s="175" t="n">
        <v>42</v>
      </c>
      <c r="H494" s="176" t="n">
        <v>4034.53856120622</v>
      </c>
      <c r="I494" s="177" t="n">
        <v>4369663.95557961</v>
      </c>
      <c r="J494" s="178" t="str">
        <f>IF(I494&gt;0,H494/I494,0)</f>
      </c>
      <c r="K494" s="179" t="str">
        <f>1-EXP(-J494)</f>
      </c>
      <c r="L494" s="180" t="str">
        <f>IF(G494=30,1,M493)</f>
      </c>
      <c r="M494" s="181" t="str">
        <f>L494*(1-K494)</f>
      </c>
    </row>
    <row r="495">
      <c r="A495" t="s">
        <v>164</v>
      </c>
      <c r="B495" t="s">
        <v>115</v>
      </c>
      <c r="C495" s="32" t="s">
        <v>294</v>
      </c>
      <c r="D495" t="s">
        <v>378</v>
      </c>
      <c r="E495" t="s">
        <v>395</v>
      </c>
      <c r="F495" s="174" t="n">
        <v>2037</v>
      </c>
      <c r="G495" s="175" t="n">
        <v>43</v>
      </c>
      <c r="H495" s="176" t="n">
        <v>4336.54278316786</v>
      </c>
      <c r="I495" s="177" t="n">
        <v>4308611.91007587</v>
      </c>
      <c r="J495" s="178" t="str">
        <f>IF(I495&gt;0,H495/I495,0)</f>
      </c>
      <c r="K495" s="179" t="str">
        <f>1-EXP(-J495)</f>
      </c>
      <c r="L495" s="180" t="str">
        <f>IF(G495=30,1,M494)</f>
      </c>
      <c r="M495" s="181" t="str">
        <f>L495*(1-K495)</f>
      </c>
    </row>
    <row r="496">
      <c r="A496" t="s">
        <v>164</v>
      </c>
      <c r="B496" t="s">
        <v>115</v>
      </c>
      <c r="C496" s="32" t="s">
        <v>294</v>
      </c>
      <c r="D496" t="s">
        <v>378</v>
      </c>
      <c r="E496" t="s">
        <v>395</v>
      </c>
      <c r="F496" s="174" t="n">
        <v>2037</v>
      </c>
      <c r="G496" s="175" t="n">
        <v>44</v>
      </c>
      <c r="H496" s="176" t="n">
        <v>4675.05306918738</v>
      </c>
      <c r="I496" s="177" t="n">
        <v>4250667.98552046</v>
      </c>
      <c r="J496" s="178" t="str">
        <f>IF(I496&gt;0,H496/I496,0)</f>
      </c>
      <c r="K496" s="179" t="str">
        <f>1-EXP(-J496)</f>
      </c>
      <c r="L496" s="180" t="str">
        <f>IF(G496=30,1,M495)</f>
      </c>
      <c r="M496" s="181" t="str">
        <f>L496*(1-K496)</f>
      </c>
    </row>
    <row r="497">
      <c r="A497" t="s">
        <v>164</v>
      </c>
      <c r="B497" t="s">
        <v>115</v>
      </c>
      <c r="C497" s="32" t="s">
        <v>294</v>
      </c>
      <c r="D497" t="s">
        <v>378</v>
      </c>
      <c r="E497" t="s">
        <v>395</v>
      </c>
      <c r="F497" s="174" t="n">
        <v>2037</v>
      </c>
      <c r="G497" s="175" t="n">
        <v>45</v>
      </c>
      <c r="H497" s="176" t="n">
        <v>6062.59308860698</v>
      </c>
      <c r="I497" s="177" t="n">
        <v>4282062.09604695</v>
      </c>
      <c r="J497" s="178" t="str">
        <f>IF(I497&gt;0,H497/I497,0)</f>
      </c>
      <c r="K497" s="179" t="str">
        <f>1-EXP(-J497)</f>
      </c>
      <c r="L497" s="180" t="str">
        <f>IF(G497=30,1,M496)</f>
      </c>
      <c r="M497" s="181" t="str">
        <f>L497*(1-K497)</f>
      </c>
    </row>
    <row r="498">
      <c r="A498" t="s">
        <v>164</v>
      </c>
      <c r="B498" t="s">
        <v>115</v>
      </c>
      <c r="C498" s="32" t="s">
        <v>294</v>
      </c>
      <c r="D498" t="s">
        <v>378</v>
      </c>
      <c r="E498" t="s">
        <v>395</v>
      </c>
      <c r="F498" s="174" t="n">
        <v>2037</v>
      </c>
      <c r="G498" s="175" t="n">
        <v>46</v>
      </c>
      <c r="H498" s="176" t="n">
        <v>6526.50864566568</v>
      </c>
      <c r="I498" s="177" t="n">
        <v>4292289.95627221</v>
      </c>
      <c r="J498" s="178" t="str">
        <f>IF(I498&gt;0,H498/I498,0)</f>
      </c>
      <c r="K498" s="179" t="str">
        <f>1-EXP(-J498)</f>
      </c>
      <c r="L498" s="180" t="str">
        <f>IF(G498=30,1,M497)</f>
      </c>
      <c r="M498" s="181" t="str">
        <f>L498*(1-K498)</f>
      </c>
    </row>
    <row r="499">
      <c r="A499" t="s">
        <v>164</v>
      </c>
      <c r="B499" t="s">
        <v>115</v>
      </c>
      <c r="C499" s="32" t="s">
        <v>294</v>
      </c>
      <c r="D499" t="s">
        <v>378</v>
      </c>
      <c r="E499" t="s">
        <v>395</v>
      </c>
      <c r="F499" s="174" t="n">
        <v>2037</v>
      </c>
      <c r="G499" s="175" t="n">
        <v>47</v>
      </c>
      <c r="H499" s="176" t="n">
        <v>9796.84735545351</v>
      </c>
      <c r="I499" s="177" t="n">
        <v>6316019.30091631</v>
      </c>
      <c r="J499" s="178" t="str">
        <f>IF(I499&gt;0,H499/I499,0)</f>
      </c>
      <c r="K499" s="179" t="str">
        <f>1-EXP(-J499)</f>
      </c>
      <c r="L499" s="180" t="str">
        <f>IF(G499=30,1,M498)</f>
      </c>
      <c r="M499" s="181" t="str">
        <f>L499*(1-K499)</f>
      </c>
    </row>
    <row r="500">
      <c r="A500" t="s">
        <v>164</v>
      </c>
      <c r="B500" t="s">
        <v>115</v>
      </c>
      <c r="C500" s="32" t="s">
        <v>294</v>
      </c>
      <c r="D500" t="s">
        <v>378</v>
      </c>
      <c r="E500" t="s">
        <v>395</v>
      </c>
      <c r="F500" s="174" t="n">
        <v>2037</v>
      </c>
      <c r="G500" s="175" t="n">
        <v>48</v>
      </c>
      <c r="H500" s="176" t="n">
        <v>7796.14533244792</v>
      </c>
      <c r="I500" s="177" t="n">
        <v>4236521.5462189</v>
      </c>
      <c r="J500" s="178" t="str">
        <f>IF(I500&gt;0,H500/I500,0)</f>
      </c>
      <c r="K500" s="179" t="str">
        <f>1-EXP(-J500)</f>
      </c>
      <c r="L500" s="180" t="str">
        <f>IF(G500=30,1,M499)</f>
      </c>
      <c r="M500" s="181" t="str">
        <f>L500*(1-K500)</f>
      </c>
    </row>
    <row r="501">
      <c r="A501" t="s">
        <v>164</v>
      </c>
      <c r="B501" t="s">
        <v>115</v>
      </c>
      <c r="C501" s="32" t="s">
        <v>294</v>
      </c>
      <c r="D501" t="s">
        <v>378</v>
      </c>
      <c r="E501" t="s">
        <v>395</v>
      </c>
      <c r="F501" s="174" t="n">
        <v>2037</v>
      </c>
      <c r="G501" s="175" t="n">
        <v>49</v>
      </c>
      <c r="H501" s="176" t="n">
        <v>8514.92129557758</v>
      </c>
      <c r="I501" s="177" t="n">
        <v>4211267.99083849</v>
      </c>
      <c r="J501" s="178" t="str">
        <f>IF(I501&gt;0,H501/I501,0)</f>
      </c>
      <c r="K501" s="179" t="str">
        <f>1-EXP(-J501)</f>
      </c>
      <c r="L501" s="180" t="str">
        <f>IF(G501=30,1,M500)</f>
      </c>
      <c r="M501" s="181" t="str">
        <f>L501*(1-K501)</f>
      </c>
    </row>
    <row r="502">
      <c r="A502" t="s">
        <v>164</v>
      </c>
      <c r="B502" t="s">
        <v>115</v>
      </c>
      <c r="C502" s="32" t="s">
        <v>294</v>
      </c>
      <c r="D502" t="s">
        <v>378</v>
      </c>
      <c r="E502" t="s">
        <v>395</v>
      </c>
      <c r="F502" s="174" t="n">
        <v>2037</v>
      </c>
      <c r="G502" s="175" t="n">
        <v>50</v>
      </c>
      <c r="H502" s="176" t="n">
        <v>9523.55316324974</v>
      </c>
      <c r="I502" s="177" t="n">
        <v>4072596.03747661</v>
      </c>
      <c r="J502" s="178" t="str">
        <f>IF(I502&gt;0,H502/I502,0)</f>
      </c>
      <c r="K502" s="179" t="str">
        <f>1-EXP(-J502)</f>
      </c>
      <c r="L502" s="180" t="str">
        <f>IF(G502=30,1,M501)</f>
      </c>
      <c r="M502" s="181" t="str">
        <f>L502*(1-K502)</f>
      </c>
    </row>
    <row r="503">
      <c r="A503" t="s">
        <v>164</v>
      </c>
      <c r="B503" t="s">
        <v>115</v>
      </c>
      <c r="C503" s="32" t="s">
        <v>294</v>
      </c>
      <c r="D503" t="s">
        <v>378</v>
      </c>
      <c r="E503" t="s">
        <v>395</v>
      </c>
      <c r="F503" s="174" t="n">
        <v>2037</v>
      </c>
      <c r="G503" s="175" t="n">
        <v>51</v>
      </c>
      <c r="H503" s="176" t="n">
        <v>10142.9173429247</v>
      </c>
      <c r="I503" s="177" t="n">
        <v>4027540.6287563</v>
      </c>
      <c r="J503" s="178" t="str">
        <f>IF(I503&gt;0,H503/I503,0)</f>
      </c>
      <c r="K503" s="179" t="str">
        <f>1-EXP(-J503)</f>
      </c>
      <c r="L503" s="180" t="str">
        <f>IF(G503=30,1,M502)</f>
      </c>
      <c r="M503" s="181" t="str">
        <f>L503*(1-K503)</f>
      </c>
    </row>
    <row r="504">
      <c r="A504" t="s">
        <v>164</v>
      </c>
      <c r="B504" t="s">
        <v>115</v>
      </c>
      <c r="C504" s="32" t="s">
        <v>294</v>
      </c>
      <c r="D504" t="s">
        <v>378</v>
      </c>
      <c r="E504" t="s">
        <v>395</v>
      </c>
      <c r="F504" s="174" t="n">
        <v>2037</v>
      </c>
      <c r="G504" s="175" t="n">
        <v>52</v>
      </c>
      <c r="H504" s="176" t="n">
        <v>11264.2437104498</v>
      </c>
      <c r="I504" s="177" t="n">
        <v>4072888.33298337</v>
      </c>
      <c r="J504" s="178" t="str">
        <f>IF(I504&gt;0,H504/I504,0)</f>
      </c>
      <c r="K504" s="179" t="str">
        <f>1-EXP(-J504)</f>
      </c>
      <c r="L504" s="180" t="str">
        <f>IF(G504=30,1,M503)</f>
      </c>
      <c r="M504" s="181" t="str">
        <f>L504*(1-K504)</f>
      </c>
    </row>
    <row r="505">
      <c r="A505" t="s">
        <v>164</v>
      </c>
      <c r="B505" t="s">
        <v>115</v>
      </c>
      <c r="C505" s="32" t="s">
        <v>294</v>
      </c>
      <c r="D505" t="s">
        <v>378</v>
      </c>
      <c r="E505" t="s">
        <v>395</v>
      </c>
      <c r="F505" s="174" t="n">
        <v>2037</v>
      </c>
      <c r="G505" s="175" t="n">
        <v>53</v>
      </c>
      <c r="H505" s="176" t="n">
        <v>12535.7159122424</v>
      </c>
      <c r="I505" s="177" t="n">
        <v>4141027.94874078</v>
      </c>
      <c r="J505" s="178" t="str">
        <f>IF(I505&gt;0,H505/I505,0)</f>
      </c>
      <c r="K505" s="179" t="str">
        <f>1-EXP(-J505)</f>
      </c>
      <c r="L505" s="180" t="str">
        <f>IF(G505=30,1,M504)</f>
      </c>
      <c r="M505" s="181" t="str">
        <f>L505*(1-K505)</f>
      </c>
    </row>
    <row r="506">
      <c r="A506" t="s">
        <v>164</v>
      </c>
      <c r="B506" t="s">
        <v>115</v>
      </c>
      <c r="C506" s="32" t="s">
        <v>294</v>
      </c>
      <c r="D506" t="s">
        <v>378</v>
      </c>
      <c r="E506" t="s">
        <v>395</v>
      </c>
      <c r="F506" s="174" t="n">
        <v>2037</v>
      </c>
      <c r="G506" s="175" t="n">
        <v>54</v>
      </c>
      <c r="H506" s="176" t="n">
        <v>13578.9744642479</v>
      </c>
      <c r="I506" s="177" t="n">
        <v>4102781.63824687</v>
      </c>
      <c r="J506" s="178" t="str">
        <f>IF(I506&gt;0,H506/I506,0)</f>
      </c>
      <c r="K506" s="179" t="str">
        <f>1-EXP(-J506)</f>
      </c>
      <c r="L506" s="180" t="str">
        <f>IF(G506=30,1,M505)</f>
      </c>
      <c r="M506" s="181" t="str">
        <f>L506*(1-K506)</f>
      </c>
    </row>
    <row r="507">
      <c r="A507" t="s">
        <v>164</v>
      </c>
      <c r="B507" t="s">
        <v>115</v>
      </c>
      <c r="C507" s="32" t="s">
        <v>294</v>
      </c>
      <c r="D507" t="s">
        <v>378</v>
      </c>
      <c r="E507" t="s">
        <v>395</v>
      </c>
      <c r="F507" s="174" t="n">
        <v>2037</v>
      </c>
      <c r="G507" s="175" t="n">
        <v>55</v>
      </c>
      <c r="H507" s="176" t="n">
        <v>14283.0841306113</v>
      </c>
      <c r="I507" s="177" t="n">
        <v>3955787.50834088</v>
      </c>
      <c r="J507" s="178" t="str">
        <f>IF(I507&gt;0,H507/I507,0)</f>
      </c>
      <c r="K507" s="179" t="str">
        <f>1-EXP(-J507)</f>
      </c>
      <c r="L507" s="180" t="str">
        <f>IF(G507=30,1,M506)</f>
      </c>
      <c r="M507" s="181" t="str">
        <f>L507*(1-K507)</f>
      </c>
    </row>
    <row r="508">
      <c r="A508" t="s">
        <v>164</v>
      </c>
      <c r="B508" t="s">
        <v>115</v>
      </c>
      <c r="C508" s="32" t="s">
        <v>294</v>
      </c>
      <c r="D508" t="s">
        <v>378</v>
      </c>
      <c r="E508" t="s">
        <v>395</v>
      </c>
      <c r="F508" s="174" t="n">
        <v>2037</v>
      </c>
      <c r="G508" s="175" t="n">
        <v>56</v>
      </c>
      <c r="H508" s="176" t="n">
        <v>15042.7613786</v>
      </c>
      <c r="I508" s="177" t="n">
        <v>3867646.0381213</v>
      </c>
      <c r="J508" s="178" t="str">
        <f>IF(I508&gt;0,H508/I508,0)</f>
      </c>
      <c r="K508" s="179" t="str">
        <f>1-EXP(-J508)</f>
      </c>
      <c r="L508" s="180" t="str">
        <f>IF(G508=30,1,M507)</f>
      </c>
      <c r="M508" s="181" t="str">
        <f>L508*(1-K508)</f>
      </c>
    </row>
    <row r="509">
      <c r="A509" t="s">
        <v>164</v>
      </c>
      <c r="B509" t="s">
        <v>115</v>
      </c>
      <c r="C509" s="32" t="s">
        <v>294</v>
      </c>
      <c r="D509" t="s">
        <v>378</v>
      </c>
      <c r="E509" t="s">
        <v>395</v>
      </c>
      <c r="F509" s="174" t="n">
        <v>2037</v>
      </c>
      <c r="G509" s="175" t="n">
        <v>57</v>
      </c>
      <c r="H509" s="176" t="n">
        <v>16172.5745146831</v>
      </c>
      <c r="I509" s="177" t="n">
        <v>3794077.70462672</v>
      </c>
      <c r="J509" s="178" t="str">
        <f>IF(I509&gt;0,H509/I509,0)</f>
      </c>
      <c r="K509" s="179" t="str">
        <f>1-EXP(-J509)</f>
      </c>
      <c r="L509" s="180" t="str">
        <f>IF(G509=30,1,M508)</f>
      </c>
      <c r="M509" s="181" t="str">
        <f>L509*(1-K509)</f>
      </c>
    </row>
    <row r="510">
      <c r="A510" t="s">
        <v>164</v>
      </c>
      <c r="B510" t="s">
        <v>115</v>
      </c>
      <c r="C510" s="32" t="s">
        <v>294</v>
      </c>
      <c r="D510" t="s">
        <v>378</v>
      </c>
      <c r="E510" t="s">
        <v>395</v>
      </c>
      <c r="F510" s="174" t="n">
        <v>2037</v>
      </c>
      <c r="G510" s="175" t="n">
        <v>58</v>
      </c>
      <c r="H510" s="176" t="n">
        <v>17333.4332067342</v>
      </c>
      <c r="I510" s="177" t="n">
        <v>3714474.28288314</v>
      </c>
      <c r="J510" s="178" t="str">
        <f>IF(I510&gt;0,H510/I510,0)</f>
      </c>
      <c r="K510" s="179" t="str">
        <f>1-EXP(-J510)</f>
      </c>
      <c r="L510" s="180" t="str">
        <f>IF(G510=30,1,M509)</f>
      </c>
      <c r="M510" s="181" t="str">
        <f>L510*(1-K510)</f>
      </c>
    </row>
    <row r="511">
      <c r="A511" t="s">
        <v>164</v>
      </c>
      <c r="B511" t="s">
        <v>115</v>
      </c>
      <c r="C511" s="32" t="s">
        <v>294</v>
      </c>
      <c r="D511" t="s">
        <v>378</v>
      </c>
      <c r="E511" t="s">
        <v>395</v>
      </c>
      <c r="F511" s="174" t="n">
        <v>2037</v>
      </c>
      <c r="G511" s="175" t="n">
        <v>59</v>
      </c>
      <c r="H511" s="176" t="n">
        <v>18480.4916026619</v>
      </c>
      <c r="I511" s="177" t="n">
        <v>3615536.07229171</v>
      </c>
      <c r="J511" s="178" t="str">
        <f>IF(I511&gt;0,H511/I511,0)</f>
      </c>
      <c r="K511" s="179" t="str">
        <f>1-EXP(-J511)</f>
      </c>
      <c r="L511" s="180" t="str">
        <f>IF(G511=30,1,M510)</f>
      </c>
      <c r="M511" s="181" t="str">
        <f>L511*(1-K511)</f>
      </c>
    </row>
    <row r="512">
      <c r="A512" t="s">
        <v>164</v>
      </c>
      <c r="B512" t="s">
        <v>115</v>
      </c>
      <c r="C512" s="32" t="s">
        <v>294</v>
      </c>
      <c r="D512" t="s">
        <v>378</v>
      </c>
      <c r="E512" t="s">
        <v>395</v>
      </c>
      <c r="F512" s="174" t="n">
        <v>2037</v>
      </c>
      <c r="G512" s="175" t="n">
        <v>60</v>
      </c>
      <c r="H512" s="176" t="n">
        <v>19880.9779265248</v>
      </c>
      <c r="I512" s="177" t="n">
        <v>3531231.19025576</v>
      </c>
      <c r="J512" s="178" t="str">
        <f>IF(I512&gt;0,H512/I512,0)</f>
      </c>
      <c r="K512" s="179" t="str">
        <f>1-EXP(-J512)</f>
      </c>
      <c r="L512" s="180" t="str">
        <f>IF(G512=30,1,M511)</f>
      </c>
      <c r="M512" s="181" t="str">
        <f>L512*(1-K512)</f>
      </c>
    </row>
    <row r="513">
      <c r="A513" t="s">
        <v>164</v>
      </c>
      <c r="B513" t="s">
        <v>115</v>
      </c>
      <c r="C513" s="32" t="s">
        <v>294</v>
      </c>
      <c r="D513" t="s">
        <v>378</v>
      </c>
      <c r="E513" t="s">
        <v>395</v>
      </c>
      <c r="F513" s="174" t="n">
        <v>2037</v>
      </c>
      <c r="G513" s="175" t="n">
        <v>61</v>
      </c>
      <c r="H513" s="176" t="n">
        <v>20922.8689840886</v>
      </c>
      <c r="I513" s="177" t="n">
        <v>3434567.1013836</v>
      </c>
      <c r="J513" s="178" t="str">
        <f>IF(I513&gt;0,H513/I513,0)</f>
      </c>
      <c r="K513" s="179" t="str">
        <f>1-EXP(-J513)</f>
      </c>
      <c r="L513" s="180" t="str">
        <f>IF(G513=30,1,M512)</f>
      </c>
      <c r="M513" s="181" t="str">
        <f>L513*(1-K513)</f>
      </c>
    </row>
    <row r="514">
      <c r="A514" t="s">
        <v>164</v>
      </c>
      <c r="B514" t="s">
        <v>115</v>
      </c>
      <c r="C514" s="32" t="s">
        <v>294</v>
      </c>
      <c r="D514" t="s">
        <v>378</v>
      </c>
      <c r="E514" t="s">
        <v>395</v>
      </c>
      <c r="F514" s="174" t="n">
        <v>2037</v>
      </c>
      <c r="G514" s="175" t="n">
        <v>62</v>
      </c>
      <c r="H514" s="176" t="n">
        <v>22346.7743136004</v>
      </c>
      <c r="I514" s="177" t="n">
        <v>3336583.84731727</v>
      </c>
      <c r="J514" s="178" t="str">
        <f>IF(I514&gt;0,H514/I514,0)</f>
      </c>
      <c r="K514" s="179" t="str">
        <f>1-EXP(-J514)</f>
      </c>
      <c r="L514" s="180" t="str">
        <f>IF(G514=30,1,M513)</f>
      </c>
      <c r="M514" s="181" t="str">
        <f>L514*(1-K514)</f>
      </c>
    </row>
    <row r="515">
      <c r="A515" t="s">
        <v>164</v>
      </c>
      <c r="B515" t="s">
        <v>115</v>
      </c>
      <c r="C515" s="32" t="s">
        <v>294</v>
      </c>
      <c r="D515" t="s">
        <v>378</v>
      </c>
      <c r="E515" t="s">
        <v>395</v>
      </c>
      <c r="F515" s="174" t="n">
        <v>2037</v>
      </c>
      <c r="G515" s="175" t="n">
        <v>63</v>
      </c>
      <c r="H515" s="176" t="n">
        <v>23617.156713408</v>
      </c>
      <c r="I515" s="177" t="n">
        <v>3212564.94800269</v>
      </c>
      <c r="J515" s="178" t="str">
        <f>IF(I515&gt;0,H515/I515,0)</f>
      </c>
      <c r="K515" s="179" t="str">
        <f>1-EXP(-J515)</f>
      </c>
      <c r="L515" s="180" t="str">
        <f>IF(G515=30,1,M514)</f>
      </c>
      <c r="M515" s="181" t="str">
        <f>L515*(1-K515)</f>
      </c>
    </row>
    <row r="516">
      <c r="A516" t="s">
        <v>164</v>
      </c>
      <c r="B516" t="s">
        <v>115</v>
      </c>
      <c r="C516" s="32" t="s">
        <v>294</v>
      </c>
      <c r="D516" t="s">
        <v>378</v>
      </c>
      <c r="E516" t="s">
        <v>395</v>
      </c>
      <c r="F516" s="174" t="n">
        <v>2037</v>
      </c>
      <c r="G516" s="175" t="n">
        <v>64</v>
      </c>
      <c r="H516" s="176" t="n">
        <v>25342.0691162403</v>
      </c>
      <c r="I516" s="177" t="n">
        <v>3141663.84922596</v>
      </c>
      <c r="J516" s="178" t="str">
        <f>IF(I516&gt;0,H516/I516,0)</f>
      </c>
      <c r="K516" s="179" t="str">
        <f>1-EXP(-J516)</f>
      </c>
      <c r="L516" s="180" t="str">
        <f>IF(G516=30,1,M515)</f>
      </c>
      <c r="M516" s="181" t="str">
        <f>L516*(1-K516)</f>
      </c>
    </row>
    <row r="517">
      <c r="A517" t="s">
        <v>164</v>
      </c>
      <c r="B517" t="s">
        <v>115</v>
      </c>
      <c r="C517" s="32" t="s">
        <v>294</v>
      </c>
      <c r="D517" t="s">
        <v>378</v>
      </c>
      <c r="E517" t="s">
        <v>395</v>
      </c>
      <c r="F517" s="174" t="n">
        <v>2037</v>
      </c>
      <c r="G517" s="175" t="n">
        <v>65</v>
      </c>
      <c r="H517" s="176" t="n">
        <v>24924.5842096067</v>
      </c>
      <c r="I517" s="177" t="n">
        <v>2923007.17918452</v>
      </c>
      <c r="J517" s="178" t="str">
        <f>IF(I517&gt;0,H517/I517,0)</f>
      </c>
      <c r="K517" s="179" t="str">
        <f>1-EXP(-J517)</f>
      </c>
      <c r="L517" s="180" t="str">
        <f>IF(G517=30,1,M516)</f>
      </c>
      <c r="M517" s="181" t="str">
        <f>L517*(1-K517)</f>
      </c>
    </row>
    <row r="518">
      <c r="A518" t="s">
        <v>164</v>
      </c>
      <c r="B518" t="s">
        <v>115</v>
      </c>
      <c r="C518" s="32" t="s">
        <v>294</v>
      </c>
      <c r="D518" t="s">
        <v>378</v>
      </c>
      <c r="E518" t="s">
        <v>395</v>
      </c>
      <c r="F518" s="174" t="n">
        <v>2037</v>
      </c>
      <c r="G518" s="175" t="n">
        <v>66</v>
      </c>
      <c r="H518" s="176" t="n">
        <v>26032.1764734948</v>
      </c>
      <c r="I518" s="177" t="n">
        <v>2813038.8037562</v>
      </c>
      <c r="J518" s="178" t="str">
        <f>IF(I518&gt;0,H518/I518,0)</f>
      </c>
      <c r="K518" s="179" t="str">
        <f>1-EXP(-J518)</f>
      </c>
      <c r="L518" s="180" t="str">
        <f>IF(G518=30,1,M517)</f>
      </c>
      <c r="M518" s="181" t="str">
        <f>L518*(1-K518)</f>
      </c>
    </row>
    <row r="519">
      <c r="A519" t="s">
        <v>164</v>
      </c>
      <c r="B519" t="s">
        <v>115</v>
      </c>
      <c r="C519" s="32" t="s">
        <v>294</v>
      </c>
      <c r="D519" t="s">
        <v>378</v>
      </c>
      <c r="E519" t="s">
        <v>395</v>
      </c>
      <c r="F519" s="174" t="n">
        <v>2037</v>
      </c>
      <c r="G519" s="175" t="n">
        <v>67</v>
      </c>
      <c r="H519" s="176" t="n">
        <v>27553.7486221699</v>
      </c>
      <c r="I519" s="177" t="n">
        <v>2705629.30365911</v>
      </c>
      <c r="J519" s="178" t="str">
        <f>IF(I519&gt;0,H519/I519,0)</f>
      </c>
      <c r="K519" s="179" t="str">
        <f>1-EXP(-J519)</f>
      </c>
      <c r="L519" s="180" t="str">
        <f>IF(G519=30,1,M518)</f>
      </c>
      <c r="M519" s="181" t="str">
        <f>L519*(1-K519)</f>
      </c>
    </row>
    <row r="520">
      <c r="A520" t="s">
        <v>164</v>
      </c>
      <c r="B520" t="s">
        <v>115</v>
      </c>
      <c r="C520" s="32" t="s">
        <v>294</v>
      </c>
      <c r="D520" t="s">
        <v>378</v>
      </c>
      <c r="E520" t="s">
        <v>395</v>
      </c>
      <c r="F520" s="174" t="n">
        <v>2037</v>
      </c>
      <c r="G520" s="175" t="n">
        <v>68</v>
      </c>
      <c r="H520" s="176" t="n">
        <v>28995.1341667708</v>
      </c>
      <c r="I520" s="177" t="n">
        <v>2589440.63043424</v>
      </c>
      <c r="J520" s="178" t="str">
        <f>IF(I520&gt;0,H520/I520,0)</f>
      </c>
      <c r="K520" s="179" t="str">
        <f>1-EXP(-J520)</f>
      </c>
      <c r="L520" s="180" t="str">
        <f>IF(G520=30,1,M519)</f>
      </c>
      <c r="M520" s="181" t="str">
        <f>L520*(1-K520)</f>
      </c>
    </row>
    <row r="521">
      <c r="A521" t="s">
        <v>164</v>
      </c>
      <c r="B521" t="s">
        <v>115</v>
      </c>
      <c r="C521" s="32" t="s">
        <v>294</v>
      </c>
      <c r="D521" t="s">
        <v>378</v>
      </c>
      <c r="E521" t="s">
        <v>395</v>
      </c>
      <c r="F521" s="174" t="n">
        <v>2037</v>
      </c>
      <c r="G521" s="175" t="n">
        <v>69</v>
      </c>
      <c r="H521" s="176" t="n">
        <v>30253.2210155855</v>
      </c>
      <c r="I521" s="177" t="n">
        <v>2455728.29334601</v>
      </c>
      <c r="J521" s="178" t="str">
        <f>IF(I521&gt;0,H521/I521,0)</f>
      </c>
      <c r="K521" s="179" t="str">
        <f>1-EXP(-J521)</f>
      </c>
      <c r="L521" s="180" t="str">
        <f>IF(G521=30,1,M520)</f>
      </c>
      <c r="M521" s="181" t="str">
        <f>L521*(1-K521)</f>
      </c>
    </row>
    <row r="522">
      <c r="A522" t="s">
        <v>164</v>
      </c>
      <c r="B522" t="s">
        <v>115</v>
      </c>
      <c r="C522" s="32" t="s">
        <v>294</v>
      </c>
      <c r="D522" t="s">
        <v>378</v>
      </c>
      <c r="E522" t="s">
        <v>395</v>
      </c>
      <c r="F522" s="174" t="n">
        <v>2038</v>
      </c>
      <c r="G522" s="175" t="n">
        <v>30</v>
      </c>
      <c r="H522" s="176" t="n">
        <v>775.17948469551</v>
      </c>
      <c r="I522" s="177" t="n">
        <v>4653447.25915837</v>
      </c>
      <c r="J522" s="178" t="str">
        <f>IF(I522&gt;0,H522/I522,0)</f>
      </c>
      <c r="K522" s="179" t="str">
        <f>1-EXP(-J522)</f>
      </c>
      <c r="L522" s="180" t="str">
        <f>IF(G522=30,1,M521)</f>
      </c>
      <c r="M522" s="181" t="str">
        <f>L522*(1-K522)</f>
      </c>
    </row>
    <row r="523">
      <c r="A523" t="s">
        <v>164</v>
      </c>
      <c r="B523" t="s">
        <v>115</v>
      </c>
      <c r="C523" s="32" t="s">
        <v>294</v>
      </c>
      <c r="D523" t="s">
        <v>378</v>
      </c>
      <c r="E523" t="s">
        <v>395</v>
      </c>
      <c r="F523" s="174" t="n">
        <v>2038</v>
      </c>
      <c r="G523" s="175" t="n">
        <v>31</v>
      </c>
      <c r="H523" s="176" t="n">
        <v>1053.71484302559</v>
      </c>
      <c r="I523" s="177" t="n">
        <v>4679795.48556152</v>
      </c>
      <c r="J523" s="178" t="str">
        <f>IF(I523&gt;0,H523/I523,0)</f>
      </c>
      <c r="K523" s="179" t="str">
        <f>1-EXP(-J523)</f>
      </c>
      <c r="L523" s="180" t="str">
        <f>IF(G523=30,1,M522)</f>
      </c>
      <c r="M523" s="181" t="str">
        <f>L523*(1-K523)</f>
      </c>
    </row>
    <row r="524">
      <c r="A524" t="s">
        <v>164</v>
      </c>
      <c r="B524" t="s">
        <v>115</v>
      </c>
      <c r="C524" s="32" t="s">
        <v>294</v>
      </c>
      <c r="D524" t="s">
        <v>378</v>
      </c>
      <c r="E524" t="s">
        <v>395</v>
      </c>
      <c r="F524" s="174" t="n">
        <v>2038</v>
      </c>
      <c r="G524" s="175" t="n">
        <v>32</v>
      </c>
      <c r="H524" s="176" t="n">
        <v>1085.63998884088</v>
      </c>
      <c r="I524" s="177" t="n">
        <v>4596931.88176121</v>
      </c>
      <c r="J524" s="178" t="str">
        <f>IF(I524&gt;0,H524/I524,0)</f>
      </c>
      <c r="K524" s="179" t="str">
        <f>1-EXP(-J524)</f>
      </c>
      <c r="L524" s="180" t="str">
        <f>IF(G524=30,1,M523)</f>
      </c>
      <c r="M524" s="181" t="str">
        <f>L524*(1-K524)</f>
      </c>
    </row>
    <row r="525">
      <c r="A525" t="s">
        <v>164</v>
      </c>
      <c r="B525" t="s">
        <v>115</v>
      </c>
      <c r="C525" s="32" t="s">
        <v>294</v>
      </c>
      <c r="D525" t="s">
        <v>378</v>
      </c>
      <c r="E525" t="s">
        <v>395</v>
      </c>
      <c r="F525" s="174" t="n">
        <v>2038</v>
      </c>
      <c r="G525" s="175" t="n">
        <v>33</v>
      </c>
      <c r="H525" s="176" t="n">
        <v>1130.96539630367</v>
      </c>
      <c r="I525" s="177" t="n">
        <v>4535961.33895837</v>
      </c>
      <c r="J525" s="178" t="str">
        <f>IF(I525&gt;0,H525/I525,0)</f>
      </c>
      <c r="K525" s="179" t="str">
        <f>1-EXP(-J525)</f>
      </c>
      <c r="L525" s="180" t="str">
        <f>IF(G525=30,1,M524)</f>
      </c>
      <c r="M525" s="181" t="str">
        <f>L525*(1-K525)</f>
      </c>
    </row>
    <row r="526">
      <c r="A526" t="s">
        <v>164</v>
      </c>
      <c r="B526" t="s">
        <v>115</v>
      </c>
      <c r="C526" s="32" t="s">
        <v>294</v>
      </c>
      <c r="D526" t="s">
        <v>378</v>
      </c>
      <c r="E526" t="s">
        <v>395</v>
      </c>
      <c r="F526" s="174" t="n">
        <v>2038</v>
      </c>
      <c r="G526" s="175" t="n">
        <v>34</v>
      </c>
      <c r="H526" s="176" t="n">
        <v>1168.02188029074</v>
      </c>
      <c r="I526" s="177" t="n">
        <v>4407292.09702569</v>
      </c>
      <c r="J526" s="178" t="str">
        <f>IF(I526&gt;0,H526/I526,0)</f>
      </c>
      <c r="K526" s="179" t="str">
        <f>1-EXP(-J526)</f>
      </c>
      <c r="L526" s="180" t="str">
        <f>IF(G526=30,1,M525)</f>
      </c>
      <c r="M526" s="181" t="str">
        <f>L526*(1-K526)</f>
      </c>
    </row>
    <row r="527">
      <c r="A527" t="s">
        <v>164</v>
      </c>
      <c r="B527" t="s">
        <v>115</v>
      </c>
      <c r="C527" s="32" t="s">
        <v>294</v>
      </c>
      <c r="D527" t="s">
        <v>378</v>
      </c>
      <c r="E527" t="s">
        <v>395</v>
      </c>
      <c r="F527" s="174" t="n">
        <v>2038</v>
      </c>
      <c r="G527" s="175" t="n">
        <v>35</v>
      </c>
      <c r="H527" s="176" t="n">
        <v>1539.22349248218</v>
      </c>
      <c r="I527" s="177" t="n">
        <v>4341521.56293345</v>
      </c>
      <c r="J527" s="178" t="str">
        <f>IF(I527&gt;0,H527/I527,0)</f>
      </c>
      <c r="K527" s="179" t="str">
        <f>1-EXP(-J527)</f>
      </c>
      <c r="L527" s="180" t="str">
        <f>IF(G527=30,1,M526)</f>
      </c>
      <c r="M527" s="181" t="str">
        <f>L527*(1-K527)</f>
      </c>
    </row>
    <row r="528">
      <c r="A528" t="s">
        <v>164</v>
      </c>
      <c r="B528" t="s">
        <v>115</v>
      </c>
      <c r="C528" s="32" t="s">
        <v>294</v>
      </c>
      <c r="D528" t="s">
        <v>378</v>
      </c>
      <c r="E528" t="s">
        <v>395</v>
      </c>
      <c r="F528" s="174" t="n">
        <v>2038</v>
      </c>
      <c r="G528" s="175" t="n">
        <v>36</v>
      </c>
      <c r="H528" s="176" t="n">
        <v>1859.76222711822</v>
      </c>
      <c r="I528" s="177" t="n">
        <v>4318627.55751091</v>
      </c>
      <c r="J528" s="178" t="str">
        <f>IF(I528&gt;0,H528/I528,0)</f>
      </c>
      <c r="K528" s="179" t="str">
        <f>1-EXP(-J528)</f>
      </c>
      <c r="L528" s="180" t="str">
        <f>IF(G528=30,1,M527)</f>
      </c>
      <c r="M528" s="181" t="str">
        <f>L528*(1-K528)</f>
      </c>
    </row>
    <row r="529">
      <c r="A529" t="s">
        <v>164</v>
      </c>
      <c r="B529" t="s">
        <v>115</v>
      </c>
      <c r="C529" s="32" t="s">
        <v>294</v>
      </c>
      <c r="D529" t="s">
        <v>378</v>
      </c>
      <c r="E529" t="s">
        <v>395</v>
      </c>
      <c r="F529" s="174" t="n">
        <v>2038</v>
      </c>
      <c r="G529" s="175" t="n">
        <v>37</v>
      </c>
      <c r="H529" s="176" t="n">
        <v>1994.78237917382</v>
      </c>
      <c r="I529" s="177" t="n">
        <v>4297597.65971408</v>
      </c>
      <c r="J529" s="178" t="str">
        <f>IF(I529&gt;0,H529/I529,0)</f>
      </c>
      <c r="K529" s="179" t="str">
        <f>1-EXP(-J529)</f>
      </c>
      <c r="L529" s="180" t="str">
        <f>IF(G529=30,1,M528)</f>
      </c>
      <c r="M529" s="181" t="str">
        <f>L529*(1-K529)</f>
      </c>
    </row>
    <row r="530">
      <c r="A530" t="s">
        <v>164</v>
      </c>
      <c r="B530" t="s">
        <v>115</v>
      </c>
      <c r="C530" s="32" t="s">
        <v>294</v>
      </c>
      <c r="D530" t="s">
        <v>378</v>
      </c>
      <c r="E530" t="s">
        <v>395</v>
      </c>
      <c r="F530" s="174" t="n">
        <v>2038</v>
      </c>
      <c r="G530" s="175" t="n">
        <v>38</v>
      </c>
      <c r="H530" s="176" t="n">
        <v>2145.93201420425</v>
      </c>
      <c r="I530" s="177" t="n">
        <v>4276063.73228041</v>
      </c>
      <c r="J530" s="178" t="str">
        <f>IF(I530&gt;0,H530/I530,0)</f>
      </c>
      <c r="K530" s="179" t="str">
        <f>1-EXP(-J530)</f>
      </c>
      <c r="L530" s="180" t="str">
        <f>IF(G530=30,1,M529)</f>
      </c>
      <c r="M530" s="181" t="str">
        <f>L530*(1-K530)</f>
      </c>
    </row>
    <row r="531">
      <c r="A531" t="s">
        <v>164</v>
      </c>
      <c r="B531" t="s">
        <v>115</v>
      </c>
      <c r="C531" s="32" t="s">
        <v>294</v>
      </c>
      <c r="D531" t="s">
        <v>378</v>
      </c>
      <c r="E531" t="s">
        <v>395</v>
      </c>
      <c r="F531" s="174" t="n">
        <v>2038</v>
      </c>
      <c r="G531" s="175" t="n">
        <v>39</v>
      </c>
      <c r="H531" s="176" t="n">
        <v>2333.99600844008</v>
      </c>
      <c r="I531" s="177" t="n">
        <v>4293657.93478271</v>
      </c>
      <c r="J531" s="178" t="str">
        <f>IF(I531&gt;0,H531/I531,0)</f>
      </c>
      <c r="K531" s="179" t="str">
        <f>1-EXP(-J531)</f>
      </c>
      <c r="L531" s="180" t="str">
        <f>IF(G531=30,1,M530)</f>
      </c>
      <c r="M531" s="181" t="str">
        <f>L531*(1-K531)</f>
      </c>
    </row>
    <row r="532">
      <c r="A532" t="s">
        <v>164</v>
      </c>
      <c r="B532" t="s">
        <v>115</v>
      </c>
      <c r="C532" s="32" t="s">
        <v>294</v>
      </c>
      <c r="D532" t="s">
        <v>378</v>
      </c>
      <c r="E532" t="s">
        <v>395</v>
      </c>
      <c r="F532" s="174" t="n">
        <v>2038</v>
      </c>
      <c r="G532" s="175" t="n">
        <v>40</v>
      </c>
      <c r="H532" s="176" t="n">
        <v>3186.44833371096</v>
      </c>
      <c r="I532" s="177" t="n">
        <v>4349737.25506821</v>
      </c>
      <c r="J532" s="178" t="str">
        <f>IF(I532&gt;0,H532/I532,0)</f>
      </c>
      <c r="K532" s="179" t="str">
        <f>1-EXP(-J532)</f>
      </c>
      <c r="L532" s="180" t="str">
        <f>IF(G532=30,1,M531)</f>
      </c>
      <c r="M532" s="181" t="str">
        <f>L532*(1-K532)</f>
      </c>
    </row>
    <row r="533">
      <c r="A533" t="s">
        <v>164</v>
      </c>
      <c r="B533" t="s">
        <v>115</v>
      </c>
      <c r="C533" s="32" t="s">
        <v>294</v>
      </c>
      <c r="D533" t="s">
        <v>378</v>
      </c>
      <c r="E533" t="s">
        <v>395</v>
      </c>
      <c r="F533" s="174" t="n">
        <v>2038</v>
      </c>
      <c r="G533" s="175" t="n">
        <v>41</v>
      </c>
      <c r="H533" s="176" t="n">
        <v>3757.13615496179</v>
      </c>
      <c r="I533" s="177" t="n">
        <v>4482098.91363745</v>
      </c>
      <c r="J533" s="178" t="str">
        <f>IF(I533&gt;0,H533/I533,0)</f>
      </c>
      <c r="K533" s="179" t="str">
        <f>1-EXP(-J533)</f>
      </c>
      <c r="L533" s="180" t="str">
        <f>IF(G533=30,1,M532)</f>
      </c>
      <c r="M533" s="181" t="str">
        <f>L533*(1-K533)</f>
      </c>
    </row>
    <row r="534">
      <c r="A534" t="s">
        <v>164</v>
      </c>
      <c r="B534" t="s">
        <v>115</v>
      </c>
      <c r="C534" s="32" t="s">
        <v>294</v>
      </c>
      <c r="D534" t="s">
        <v>378</v>
      </c>
      <c r="E534" t="s">
        <v>395</v>
      </c>
      <c r="F534" s="174" t="n">
        <v>2038</v>
      </c>
      <c r="G534" s="175" t="n">
        <v>42</v>
      </c>
      <c r="H534" s="176" t="n">
        <v>4048.90567469194</v>
      </c>
      <c r="I534" s="177" t="n">
        <v>4435366.10387287</v>
      </c>
      <c r="J534" s="178" t="str">
        <f>IF(I534&gt;0,H534/I534,0)</f>
      </c>
      <c r="K534" s="179" t="str">
        <f>1-EXP(-J534)</f>
      </c>
      <c r="L534" s="180" t="str">
        <f>IF(G534=30,1,M533)</f>
      </c>
      <c r="M534" s="181" t="str">
        <f>L534*(1-K534)</f>
      </c>
    </row>
    <row r="535">
      <c r="A535" t="s">
        <v>164</v>
      </c>
      <c r="B535" t="s">
        <v>115</v>
      </c>
      <c r="C535" s="32" t="s">
        <v>294</v>
      </c>
      <c r="D535" t="s">
        <v>378</v>
      </c>
      <c r="E535" t="s">
        <v>395</v>
      </c>
      <c r="F535" s="174" t="n">
        <v>2038</v>
      </c>
      <c r="G535" s="175" t="n">
        <v>43</v>
      </c>
      <c r="H535" s="176" t="n">
        <v>4343.06188242956</v>
      </c>
      <c r="I535" s="177" t="n">
        <v>4358439.72374429</v>
      </c>
      <c r="J535" s="178" t="str">
        <f>IF(I535&gt;0,H535/I535,0)</f>
      </c>
      <c r="K535" s="179" t="str">
        <f>1-EXP(-J535)</f>
      </c>
      <c r="L535" s="180" t="str">
        <f>IF(G535=30,1,M534)</f>
      </c>
      <c r="M535" s="181" t="str">
        <f>L535*(1-K535)</f>
      </c>
    </row>
    <row r="536">
      <c r="A536" t="s">
        <v>164</v>
      </c>
      <c r="B536" t="s">
        <v>115</v>
      </c>
      <c r="C536" s="32" t="s">
        <v>294</v>
      </c>
      <c r="D536" t="s">
        <v>378</v>
      </c>
      <c r="E536" t="s">
        <v>395</v>
      </c>
      <c r="F536" s="174" t="n">
        <v>2038</v>
      </c>
      <c r="G536" s="175" t="n">
        <v>44</v>
      </c>
      <c r="H536" s="176" t="n">
        <v>4676.33300218157</v>
      </c>
      <c r="I536" s="177" t="n">
        <v>4296596.23129828</v>
      </c>
      <c r="J536" s="178" t="str">
        <f>IF(I536&gt;0,H536/I536,0)</f>
      </c>
      <c r="K536" s="179" t="str">
        <f>1-EXP(-J536)</f>
      </c>
      <c r="L536" s="180" t="str">
        <f>IF(G536=30,1,M535)</f>
      </c>
      <c r="M536" s="181" t="str">
        <f>L536*(1-K536)</f>
      </c>
    </row>
    <row r="537">
      <c r="A537" t="s">
        <v>164</v>
      </c>
      <c r="B537" t="s">
        <v>115</v>
      </c>
      <c r="C537" s="32" t="s">
        <v>294</v>
      </c>
      <c r="D537" t="s">
        <v>378</v>
      </c>
      <c r="E537" t="s">
        <v>395</v>
      </c>
      <c r="F537" s="174" t="n">
        <v>2038</v>
      </c>
      <c r="G537" s="175" t="n">
        <v>45</v>
      </c>
      <c r="H537" s="176" t="n">
        <v>5937.76721022154</v>
      </c>
      <c r="I537" s="177" t="n">
        <v>4237763.6198035</v>
      </c>
      <c r="J537" s="178" t="str">
        <f>IF(I537&gt;0,H537/I537,0)</f>
      </c>
      <c r="K537" s="179" t="str">
        <f>1-EXP(-J537)</f>
      </c>
      <c r="L537" s="180" t="str">
        <f>IF(G537=30,1,M536)</f>
      </c>
      <c r="M537" s="181" t="str">
        <f>L537*(1-K537)</f>
      </c>
    </row>
    <row r="538">
      <c r="A538" t="s">
        <v>164</v>
      </c>
      <c r="B538" t="s">
        <v>115</v>
      </c>
      <c r="C538" s="32" t="s">
        <v>294</v>
      </c>
      <c r="D538" t="s">
        <v>378</v>
      </c>
      <c r="E538" t="s">
        <v>395</v>
      </c>
      <c r="F538" s="174" t="n">
        <v>2038</v>
      </c>
      <c r="G538" s="175" t="n">
        <v>46</v>
      </c>
      <c r="H538" s="176" t="n">
        <v>6398.10132431721</v>
      </c>
      <c r="I538" s="177" t="n">
        <v>4266927.40086641</v>
      </c>
      <c r="J538" s="178" t="str">
        <f>IF(I538&gt;0,H538/I538,0)</f>
      </c>
      <c r="K538" s="179" t="str">
        <f>1-EXP(-J538)</f>
      </c>
      <c r="L538" s="180" t="str">
        <f>IF(G538=30,1,M537)</f>
      </c>
      <c r="M538" s="181" t="str">
        <f>L538*(1-K538)</f>
      </c>
    </row>
    <row r="539">
      <c r="A539" t="s">
        <v>164</v>
      </c>
      <c r="B539" t="s">
        <v>115</v>
      </c>
      <c r="C539" s="32" t="s">
        <v>294</v>
      </c>
      <c r="D539" t="s">
        <v>378</v>
      </c>
      <c r="E539" t="s">
        <v>395</v>
      </c>
      <c r="F539" s="174" t="n">
        <v>2038</v>
      </c>
      <c r="G539" s="175" t="n">
        <v>47</v>
      </c>
      <c r="H539" s="176" t="n">
        <v>7059.87144089561</v>
      </c>
      <c r="I539" s="177" t="n">
        <v>4276826.86427926</v>
      </c>
      <c r="J539" s="178" t="str">
        <f>IF(I539&gt;0,H539/I539,0)</f>
      </c>
      <c r="K539" s="179" t="str">
        <f>1-EXP(-J539)</f>
      </c>
      <c r="L539" s="180" t="str">
        <f>IF(G539=30,1,M538)</f>
      </c>
      <c r="M539" s="181" t="str">
        <f>L539*(1-K539)</f>
      </c>
    </row>
    <row r="540">
      <c r="A540" t="s">
        <v>164</v>
      </c>
      <c r="B540" t="s">
        <v>115</v>
      </c>
      <c r="C540" s="32" t="s">
        <v>294</v>
      </c>
      <c r="D540" t="s">
        <v>378</v>
      </c>
      <c r="E540" t="s">
        <v>395</v>
      </c>
      <c r="F540" s="174" t="n">
        <v>2038</v>
      </c>
      <c r="G540" s="175" t="n">
        <v>48</v>
      </c>
      <c r="H540" s="176" t="n">
        <v>10552.884444312</v>
      </c>
      <c r="I540" s="177" t="n">
        <v>6292398.45944698</v>
      </c>
      <c r="J540" s="178" t="str">
        <f>IF(I540&gt;0,H540/I540,0)</f>
      </c>
      <c r="K540" s="179" t="str">
        <f>1-EXP(-J540)</f>
      </c>
      <c r="L540" s="180" t="str">
        <f>IF(G540=30,1,M539)</f>
      </c>
      <c r="M540" s="181" t="str">
        <f>L540*(1-K540)</f>
      </c>
    </row>
    <row r="541">
      <c r="A541" t="s">
        <v>164</v>
      </c>
      <c r="B541" t="s">
        <v>115</v>
      </c>
      <c r="C541" s="32" t="s">
        <v>294</v>
      </c>
      <c r="D541" t="s">
        <v>378</v>
      </c>
      <c r="E541" t="s">
        <v>395</v>
      </c>
      <c r="F541" s="174" t="n">
        <v>2038</v>
      </c>
      <c r="G541" s="175" t="n">
        <v>49</v>
      </c>
      <c r="H541" s="176" t="n">
        <v>8421.32552894835</v>
      </c>
      <c r="I541" s="177" t="n">
        <v>4218174.6284788</v>
      </c>
      <c r="J541" s="178" t="str">
        <f>IF(I541&gt;0,H541/I541,0)</f>
      </c>
      <c r="K541" s="179" t="str">
        <f>1-EXP(-J541)</f>
      </c>
      <c r="L541" s="180" t="str">
        <f>IF(G541=30,1,M540)</f>
      </c>
      <c r="M541" s="181" t="str">
        <f>L541*(1-K541)</f>
      </c>
    </row>
    <row r="542">
      <c r="A542" t="s">
        <v>164</v>
      </c>
      <c r="B542" t="s">
        <v>115</v>
      </c>
      <c r="C542" s="32" t="s">
        <v>294</v>
      </c>
      <c r="D542" t="s">
        <v>378</v>
      </c>
      <c r="E542" t="s">
        <v>395</v>
      </c>
      <c r="F542" s="174" t="n">
        <v>2038</v>
      </c>
      <c r="G542" s="175" t="n">
        <v>50</v>
      </c>
      <c r="H542" s="176" t="n">
        <v>9660.3689703442</v>
      </c>
      <c r="I542" s="177" t="n">
        <v>4191271.13219327</v>
      </c>
      <c r="J542" s="178" t="str">
        <f>IF(I542&gt;0,H542/I542,0)</f>
      </c>
      <c r="K542" s="179" t="str">
        <f>1-EXP(-J542)</f>
      </c>
      <c r="L542" s="180" t="str">
        <f>IF(G542=30,1,M541)</f>
      </c>
      <c r="M542" s="181" t="str">
        <f>L542*(1-K542)</f>
      </c>
    </row>
    <row r="543">
      <c r="A543" t="s">
        <v>164</v>
      </c>
      <c r="B543" t="s">
        <v>115</v>
      </c>
      <c r="C543" s="32" t="s">
        <v>294</v>
      </c>
      <c r="D543" t="s">
        <v>378</v>
      </c>
      <c r="E543" t="s">
        <v>395</v>
      </c>
      <c r="F543" s="174" t="n">
        <v>2038</v>
      </c>
      <c r="G543" s="175" t="n">
        <v>51</v>
      </c>
      <c r="H543" s="176" t="n">
        <v>10042.3984733157</v>
      </c>
      <c r="I543" s="177" t="n">
        <v>4050673.66737757</v>
      </c>
      <c r="J543" s="178" t="str">
        <f>IF(I543&gt;0,H543/I543,0)</f>
      </c>
      <c r="K543" s="179" t="str">
        <f>1-EXP(-J543)</f>
      </c>
      <c r="L543" s="180" t="str">
        <f>IF(G543=30,1,M542)</f>
      </c>
      <c r="M543" s="181" t="str">
        <f>L543*(1-K543)</f>
      </c>
    </row>
    <row r="544">
      <c r="A544" t="s">
        <v>164</v>
      </c>
      <c r="B544" t="s">
        <v>115</v>
      </c>
      <c r="C544" s="32" t="s">
        <v>294</v>
      </c>
      <c r="D544" t="s">
        <v>378</v>
      </c>
      <c r="E544" t="s">
        <v>395</v>
      </c>
      <c r="F544" s="174" t="n">
        <v>2038</v>
      </c>
      <c r="G544" s="175" t="n">
        <v>52</v>
      </c>
      <c r="H544" s="176" t="n">
        <v>10900.7770972112</v>
      </c>
      <c r="I544" s="177" t="n">
        <v>4004727.24046851</v>
      </c>
      <c r="J544" s="178" t="str">
        <f>IF(I544&gt;0,H544/I544,0)</f>
      </c>
      <c r="K544" s="179" t="str">
        <f>1-EXP(-J544)</f>
      </c>
      <c r="L544" s="180" t="str">
        <f>IF(G544=30,1,M543)</f>
      </c>
      <c r="M544" s="181" t="str">
        <f>L544*(1-K544)</f>
      </c>
    </row>
    <row r="545">
      <c r="A545" t="s">
        <v>164</v>
      </c>
      <c r="B545" t="s">
        <v>115</v>
      </c>
      <c r="C545" s="32" t="s">
        <v>294</v>
      </c>
      <c r="D545" t="s">
        <v>378</v>
      </c>
      <c r="E545" t="s">
        <v>395</v>
      </c>
      <c r="F545" s="174" t="n">
        <v>2038</v>
      </c>
      <c r="G545" s="175" t="n">
        <v>53</v>
      </c>
      <c r="H545" s="176" t="n">
        <v>12078.5652220805</v>
      </c>
      <c r="I545" s="177" t="n">
        <v>4047621.58680862</v>
      </c>
      <c r="J545" s="178" t="str">
        <f>IF(I545&gt;0,H545/I545,0)</f>
      </c>
      <c r="K545" s="179" t="str">
        <f>1-EXP(-J545)</f>
      </c>
      <c r="L545" s="180" t="str">
        <f>IF(G545=30,1,M544)</f>
      </c>
      <c r="M545" s="181" t="str">
        <f>L545*(1-K545)</f>
      </c>
    </row>
    <row r="546">
      <c r="A546" t="s">
        <v>164</v>
      </c>
      <c r="B546" t="s">
        <v>115</v>
      </c>
      <c r="C546" s="32" t="s">
        <v>294</v>
      </c>
      <c r="D546" t="s">
        <v>378</v>
      </c>
      <c r="E546" t="s">
        <v>395</v>
      </c>
      <c r="F546" s="174" t="n">
        <v>2038</v>
      </c>
      <c r="G546" s="175" t="n">
        <v>54</v>
      </c>
      <c r="H546" s="176" t="n">
        <v>13414.4809243442</v>
      </c>
      <c r="I546" s="177" t="n">
        <v>4112948.54613239</v>
      </c>
      <c r="J546" s="178" t="str">
        <f>IF(I546&gt;0,H546/I546,0)</f>
      </c>
      <c r="K546" s="179" t="str">
        <f>1-EXP(-J546)</f>
      </c>
      <c r="L546" s="180" t="str">
        <f>IF(G546=30,1,M545)</f>
      </c>
      <c r="M546" s="181" t="str">
        <f>L546*(1-K546)</f>
      </c>
    </row>
    <row r="547">
      <c r="A547" t="s">
        <v>164</v>
      </c>
      <c r="B547" t="s">
        <v>115</v>
      </c>
      <c r="C547" s="32" t="s">
        <v>294</v>
      </c>
      <c r="D547" t="s">
        <v>378</v>
      </c>
      <c r="E547" t="s">
        <v>395</v>
      </c>
      <c r="F547" s="174" t="n">
        <v>2038</v>
      </c>
      <c r="G547" s="175" t="n">
        <v>55</v>
      </c>
      <c r="H547" s="176" t="n">
        <v>14447.453649222</v>
      </c>
      <c r="I547" s="177" t="n">
        <v>4072402.78712798</v>
      </c>
      <c r="J547" s="178" t="str">
        <f>IF(I547&gt;0,H547/I547,0)</f>
      </c>
      <c r="K547" s="179" t="str">
        <f>1-EXP(-J547)</f>
      </c>
      <c r="L547" s="180" t="str">
        <f>IF(G547=30,1,M546)</f>
      </c>
      <c r="M547" s="181" t="str">
        <f>L547*(1-K547)</f>
      </c>
    </row>
    <row r="548">
      <c r="A548" t="s">
        <v>164</v>
      </c>
      <c r="B548" t="s">
        <v>115</v>
      </c>
      <c r="C548" s="32" t="s">
        <v>294</v>
      </c>
      <c r="D548" t="s">
        <v>378</v>
      </c>
      <c r="E548" t="s">
        <v>395</v>
      </c>
      <c r="F548" s="174" t="n">
        <v>2038</v>
      </c>
      <c r="G548" s="175" t="n">
        <v>56</v>
      </c>
      <c r="H548" s="176" t="n">
        <v>14981.3141389414</v>
      </c>
      <c r="I548" s="177" t="n">
        <v>3923539.84996647</v>
      </c>
      <c r="J548" s="178" t="str">
        <f>IF(I548&gt;0,H548/I548,0)</f>
      </c>
      <c r="K548" s="179" t="str">
        <f>1-EXP(-J548)</f>
      </c>
      <c r="L548" s="180" t="str">
        <f>IF(G548=30,1,M547)</f>
      </c>
      <c r="M548" s="181" t="str">
        <f>L548*(1-K548)</f>
      </c>
    </row>
    <row r="549">
      <c r="A549" t="s">
        <v>164</v>
      </c>
      <c r="B549" t="s">
        <v>115</v>
      </c>
      <c r="C549" s="32" t="s">
        <v>294</v>
      </c>
      <c r="D549" t="s">
        <v>378</v>
      </c>
      <c r="E549" t="s">
        <v>395</v>
      </c>
      <c r="F549" s="174" t="n">
        <v>2038</v>
      </c>
      <c r="G549" s="175" t="n">
        <v>57</v>
      </c>
      <c r="H549" s="176" t="n">
        <v>16039.0269208035</v>
      </c>
      <c r="I549" s="177" t="n">
        <v>3833714.07003886</v>
      </c>
      <c r="J549" s="178" t="str">
        <f>IF(I549&gt;0,H549/I549,0)</f>
      </c>
      <c r="K549" s="179" t="str">
        <f>1-EXP(-J549)</f>
      </c>
      <c r="L549" s="180" t="str">
        <f>IF(G549=30,1,M548)</f>
      </c>
      <c r="M549" s="181" t="str">
        <f>L549*(1-K549)</f>
      </c>
    </row>
    <row r="550">
      <c r="A550" t="s">
        <v>164</v>
      </c>
      <c r="B550" t="s">
        <v>115</v>
      </c>
      <c r="C550" s="32" t="s">
        <v>294</v>
      </c>
      <c r="D550" t="s">
        <v>378</v>
      </c>
      <c r="E550" t="s">
        <v>395</v>
      </c>
      <c r="F550" s="174" t="n">
        <v>2038</v>
      </c>
      <c r="G550" s="175" t="n">
        <v>58</v>
      </c>
      <c r="H550" s="176" t="n">
        <v>17233.0994169665</v>
      </c>
      <c r="I550" s="177" t="n">
        <v>3757697.00316472</v>
      </c>
      <c r="J550" s="178" t="str">
        <f>IF(I550&gt;0,H550/I550,0)</f>
      </c>
      <c r="K550" s="179" t="str">
        <f>1-EXP(-J550)</f>
      </c>
      <c r="L550" s="180" t="str">
        <f>IF(G550=30,1,M549)</f>
      </c>
      <c r="M550" s="181" t="str">
        <f>L550*(1-K550)</f>
      </c>
    </row>
    <row r="551">
      <c r="A551" t="s">
        <v>164</v>
      </c>
      <c r="B551" t="s">
        <v>115</v>
      </c>
      <c r="C551" s="32" t="s">
        <v>294</v>
      </c>
      <c r="D551" t="s">
        <v>378</v>
      </c>
      <c r="E551" t="s">
        <v>395</v>
      </c>
      <c r="F551" s="174" t="n">
        <v>2038</v>
      </c>
      <c r="G551" s="175" t="n">
        <v>59</v>
      </c>
      <c r="H551" s="176" t="n">
        <v>18460.2947847409</v>
      </c>
      <c r="I551" s="177" t="n">
        <v>3675546.78632493</v>
      </c>
      <c r="J551" s="178" t="str">
        <f>IF(I551&gt;0,H551/I551,0)</f>
      </c>
      <c r="K551" s="179" t="str">
        <f>1-EXP(-J551)</f>
      </c>
      <c r="L551" s="180" t="str">
        <f>IF(G551=30,1,M550)</f>
      </c>
      <c r="M551" s="181" t="str">
        <f>L551*(1-K551)</f>
      </c>
    </row>
    <row r="552">
      <c r="A552" t="s">
        <v>164</v>
      </c>
      <c r="B552" t="s">
        <v>115</v>
      </c>
      <c r="C552" s="32" t="s">
        <v>294</v>
      </c>
      <c r="D552" t="s">
        <v>378</v>
      </c>
      <c r="E552" t="s">
        <v>395</v>
      </c>
      <c r="F552" s="174" t="n">
        <v>2038</v>
      </c>
      <c r="G552" s="175" t="n">
        <v>60</v>
      </c>
      <c r="H552" s="176" t="n">
        <v>19712.4118684456</v>
      </c>
      <c r="I552" s="177" t="n">
        <v>3574090.66006513</v>
      </c>
      <c r="J552" s="178" t="str">
        <f>IF(I552&gt;0,H552/I552,0)</f>
      </c>
      <c r="K552" s="179" t="str">
        <f>1-EXP(-J552)</f>
      </c>
      <c r="L552" s="180" t="str">
        <f>IF(G552=30,1,M551)</f>
      </c>
      <c r="M552" s="181" t="str">
        <f>L552*(1-K552)</f>
      </c>
    </row>
    <row r="553">
      <c r="A553" t="s">
        <v>164</v>
      </c>
      <c r="B553" t="s">
        <v>115</v>
      </c>
      <c r="C553" s="32" t="s">
        <v>294</v>
      </c>
      <c r="D553" t="s">
        <v>378</v>
      </c>
      <c r="E553" t="s">
        <v>395</v>
      </c>
      <c r="F553" s="174" t="n">
        <v>2038</v>
      </c>
      <c r="G553" s="175" t="n">
        <v>61</v>
      </c>
      <c r="H553" s="176" t="n">
        <v>20807.7529020333</v>
      </c>
      <c r="I553" s="177" t="n">
        <v>3486528.2609271</v>
      </c>
      <c r="J553" s="178" t="str">
        <f>IF(I553&gt;0,H553/I553,0)</f>
      </c>
      <c r="K553" s="179" t="str">
        <f>1-EXP(-J553)</f>
      </c>
      <c r="L553" s="180" t="str">
        <f>IF(G553=30,1,M552)</f>
      </c>
      <c r="M553" s="181" t="str">
        <f>L553*(1-K553)</f>
      </c>
    </row>
    <row r="554">
      <c r="A554" t="s">
        <v>164</v>
      </c>
      <c r="B554" t="s">
        <v>115</v>
      </c>
      <c r="C554" s="32" t="s">
        <v>294</v>
      </c>
      <c r="D554" t="s">
        <v>378</v>
      </c>
      <c r="E554" t="s">
        <v>395</v>
      </c>
      <c r="F554" s="174" t="n">
        <v>2038</v>
      </c>
      <c r="G554" s="175" t="n">
        <v>62</v>
      </c>
      <c r="H554" s="176" t="n">
        <v>22230.3394048417</v>
      </c>
      <c r="I554" s="177" t="n">
        <v>3387558.08727682</v>
      </c>
      <c r="J554" s="178" t="str">
        <f>IF(I554&gt;0,H554/I554,0)</f>
      </c>
      <c r="K554" s="179" t="str">
        <f>1-EXP(-J554)</f>
      </c>
      <c r="L554" s="180" t="str">
        <f>IF(G554=30,1,M553)</f>
      </c>
      <c r="M554" s="181" t="str">
        <f>L554*(1-K554)</f>
      </c>
    </row>
    <row r="555">
      <c r="A555" t="s">
        <v>164</v>
      </c>
      <c r="B555" t="s">
        <v>115</v>
      </c>
      <c r="C555" s="32" t="s">
        <v>294</v>
      </c>
      <c r="D555" t="s">
        <v>378</v>
      </c>
      <c r="E555" t="s">
        <v>395</v>
      </c>
      <c r="F555" s="174" t="n">
        <v>2038</v>
      </c>
      <c r="G555" s="175" t="n">
        <v>63</v>
      </c>
      <c r="H555" s="176" t="n">
        <v>23704.2166738155</v>
      </c>
      <c r="I555" s="177" t="n">
        <v>3286492.49271175</v>
      </c>
      <c r="J555" s="178" t="str">
        <f>IF(I555&gt;0,H555/I555,0)</f>
      </c>
      <c r="K555" s="179" t="str">
        <f>1-EXP(-J555)</f>
      </c>
      <c r="L555" s="180" t="str">
        <f>IF(G555=30,1,M554)</f>
      </c>
      <c r="M555" s="181" t="str">
        <f>L555*(1-K555)</f>
      </c>
    </row>
    <row r="556">
      <c r="A556" t="s">
        <v>164</v>
      </c>
      <c r="B556" t="s">
        <v>115</v>
      </c>
      <c r="C556" s="32" t="s">
        <v>294</v>
      </c>
      <c r="D556" t="s">
        <v>378</v>
      </c>
      <c r="E556" t="s">
        <v>395</v>
      </c>
      <c r="F556" s="174" t="n">
        <v>2038</v>
      </c>
      <c r="G556" s="175" t="n">
        <v>64</v>
      </c>
      <c r="H556" s="176" t="n">
        <v>25005.0226251214</v>
      </c>
      <c r="I556" s="177" t="n">
        <v>3159689.45921815</v>
      </c>
      <c r="J556" s="178" t="str">
        <f>IF(I556&gt;0,H556/I556,0)</f>
      </c>
      <c r="K556" s="179" t="str">
        <f>1-EXP(-J556)</f>
      </c>
      <c r="L556" s="180" t="str">
        <f>IF(G556=30,1,M555)</f>
      </c>
      <c r="M556" s="181" t="str">
        <f>L556*(1-K556)</f>
      </c>
    </row>
    <row r="557">
      <c r="A557" t="s">
        <v>164</v>
      </c>
      <c r="B557" t="s">
        <v>115</v>
      </c>
      <c r="C557" s="32" t="s">
        <v>294</v>
      </c>
      <c r="D557" t="s">
        <v>378</v>
      </c>
      <c r="E557" t="s">
        <v>395</v>
      </c>
      <c r="F557" s="174" t="n">
        <v>2038</v>
      </c>
      <c r="G557" s="175" t="n">
        <v>65</v>
      </c>
      <c r="H557" s="176" t="n">
        <v>25745.4172868757</v>
      </c>
      <c r="I557" s="177" t="n">
        <v>3084977.82241349</v>
      </c>
      <c r="J557" s="178" t="str">
        <f>IF(I557&gt;0,H557/I557,0)</f>
      </c>
      <c r="K557" s="179" t="str">
        <f>1-EXP(-J557)</f>
      </c>
      <c r="L557" s="180" t="str">
        <f>IF(G557=30,1,M556)</f>
      </c>
      <c r="M557" s="181" t="str">
        <f>L557*(1-K557)</f>
      </c>
    </row>
    <row r="558">
      <c r="A558" t="s">
        <v>164</v>
      </c>
      <c r="B558" t="s">
        <v>115</v>
      </c>
      <c r="C558" s="32" t="s">
        <v>294</v>
      </c>
      <c r="D558" t="s">
        <v>378</v>
      </c>
      <c r="E558" t="s">
        <v>395</v>
      </c>
      <c r="F558" s="174" t="n">
        <v>2038</v>
      </c>
      <c r="G558" s="175" t="n">
        <v>66</v>
      </c>
      <c r="H558" s="176" t="n">
        <v>25950.2325318775</v>
      </c>
      <c r="I558" s="177" t="n">
        <v>2865572.01607284</v>
      </c>
      <c r="J558" s="178" t="str">
        <f>IF(I558&gt;0,H558/I558,0)</f>
      </c>
      <c r="K558" s="179" t="str">
        <f>1-EXP(-J558)</f>
      </c>
      <c r="L558" s="180" t="str">
        <f>IF(G558=30,1,M557)</f>
      </c>
      <c r="M558" s="181" t="str">
        <f>L558*(1-K558)</f>
      </c>
    </row>
    <row r="559">
      <c r="A559" t="s">
        <v>164</v>
      </c>
      <c r="B559" t="s">
        <v>115</v>
      </c>
      <c r="C559" s="32" t="s">
        <v>294</v>
      </c>
      <c r="D559" t="s">
        <v>378</v>
      </c>
      <c r="E559" t="s">
        <v>395</v>
      </c>
      <c r="F559" s="174" t="n">
        <v>2038</v>
      </c>
      <c r="G559" s="175" t="n">
        <v>67</v>
      </c>
      <c r="H559" s="176" t="n">
        <v>27426.1789295213</v>
      </c>
      <c r="I559" s="177" t="n">
        <v>2752271.65913456</v>
      </c>
      <c r="J559" s="178" t="str">
        <f>IF(I559&gt;0,H559/I559,0)</f>
      </c>
      <c r="K559" s="179" t="str">
        <f>1-EXP(-J559)</f>
      </c>
      <c r="L559" s="180" t="str">
        <f>IF(G559=30,1,M558)</f>
      </c>
      <c r="M559" s="181" t="str">
        <f>L559*(1-K559)</f>
      </c>
    </row>
    <row r="560">
      <c r="A560" t="s">
        <v>164</v>
      </c>
      <c r="B560" t="s">
        <v>115</v>
      </c>
      <c r="C560" s="32" t="s">
        <v>294</v>
      </c>
      <c r="D560" t="s">
        <v>378</v>
      </c>
      <c r="E560" t="s">
        <v>395</v>
      </c>
      <c r="F560" s="174" t="n">
        <v>2038</v>
      </c>
      <c r="G560" s="175" t="n">
        <v>68</v>
      </c>
      <c r="H560" s="176" t="n">
        <v>28975.6782419589</v>
      </c>
      <c r="I560" s="177" t="n">
        <v>2641464.59178184</v>
      </c>
      <c r="J560" s="178" t="str">
        <f>IF(I560&gt;0,H560/I560,0)</f>
      </c>
      <c r="K560" s="179" t="str">
        <f>1-EXP(-J560)</f>
      </c>
      <c r="L560" s="180" t="str">
        <f>IF(G560=30,1,M559)</f>
      </c>
      <c r="M560" s="181" t="str">
        <f>L560*(1-K560)</f>
      </c>
    </row>
    <row r="561">
      <c r="A561" t="s">
        <v>164</v>
      </c>
      <c r="B561" t="s">
        <v>115</v>
      </c>
      <c r="C561" s="32" t="s">
        <v>294</v>
      </c>
      <c r="D561" t="s">
        <v>378</v>
      </c>
      <c r="E561" t="s">
        <v>395</v>
      </c>
      <c r="F561" s="174" t="n">
        <v>2038</v>
      </c>
      <c r="G561" s="175" t="n">
        <v>69</v>
      </c>
      <c r="H561" s="176" t="n">
        <v>30434.9626611234</v>
      </c>
      <c r="I561" s="177" t="n">
        <v>2522036.05427338</v>
      </c>
      <c r="J561" s="178" t="str">
        <f>IF(I561&gt;0,H561/I561,0)</f>
      </c>
      <c r="K561" s="179" t="str">
        <f>1-EXP(-J561)</f>
      </c>
      <c r="L561" s="180" t="str">
        <f>IF(G561=30,1,M560)</f>
      </c>
      <c r="M561" s="181" t="str">
        <f>L561*(1-K561)</f>
      </c>
    </row>
    <row r="562">
      <c r="A562" t="s">
        <v>164</v>
      </c>
      <c r="B562" t="s">
        <v>115</v>
      </c>
      <c r="C562" s="32" t="s">
        <v>294</v>
      </c>
      <c r="D562" t="s">
        <v>378</v>
      </c>
      <c r="E562" t="s">
        <v>395</v>
      </c>
      <c r="F562" s="174" t="n">
        <v>2039</v>
      </c>
      <c r="G562" s="175" t="n">
        <v>30</v>
      </c>
      <c r="H562" s="176" t="n">
        <v>784.692181897687</v>
      </c>
      <c r="I562" s="177" t="n">
        <v>4690505.82112467</v>
      </c>
      <c r="J562" s="178" t="str">
        <f>IF(I562&gt;0,H562/I562,0)</f>
      </c>
      <c r="K562" s="179" t="str">
        <f>1-EXP(-J562)</f>
      </c>
      <c r="L562" s="180" t="str">
        <f>IF(G562=30,1,M561)</f>
      </c>
      <c r="M562" s="181" t="str">
        <f>L562*(1-K562)</f>
      </c>
    </row>
    <row r="563">
      <c r="A563" t="s">
        <v>164</v>
      </c>
      <c r="B563" t="s">
        <v>115</v>
      </c>
      <c r="C563" s="32" t="s">
        <v>294</v>
      </c>
      <c r="D563" t="s">
        <v>378</v>
      </c>
      <c r="E563" t="s">
        <v>395</v>
      </c>
      <c r="F563" s="174" t="n">
        <v>2039</v>
      </c>
      <c r="G563" s="175" t="n">
        <v>31</v>
      </c>
      <c r="H563" s="176" t="n">
        <v>1001.78650412822</v>
      </c>
      <c r="I563" s="177" t="n">
        <v>4647851.09720922</v>
      </c>
      <c r="J563" s="178" t="str">
        <f>IF(I563&gt;0,H563/I563,0)</f>
      </c>
      <c r="K563" s="179" t="str">
        <f>1-EXP(-J563)</f>
      </c>
      <c r="L563" s="180" t="str">
        <f>IF(G563=30,1,M562)</f>
      </c>
      <c r="M563" s="181" t="str">
        <f>L563*(1-K563)</f>
      </c>
    </row>
    <row r="564">
      <c r="A564" t="s">
        <v>164</v>
      </c>
      <c r="B564" t="s">
        <v>115</v>
      </c>
      <c r="C564" s="32" t="s">
        <v>294</v>
      </c>
      <c r="D564" t="s">
        <v>378</v>
      </c>
      <c r="E564" t="s">
        <v>395</v>
      </c>
      <c r="F564" s="174" t="n">
        <v>2039</v>
      </c>
      <c r="G564" s="175" t="n">
        <v>32</v>
      </c>
      <c r="H564" s="176" t="n">
        <v>1107.39926718815</v>
      </c>
      <c r="I564" s="177" t="n">
        <v>4674197.36686402</v>
      </c>
      <c r="J564" s="178" t="str">
        <f>IF(I564&gt;0,H564/I564,0)</f>
      </c>
      <c r="K564" s="179" t="str">
        <f>1-EXP(-J564)</f>
      </c>
      <c r="L564" s="180" t="str">
        <f>IF(G564=30,1,M563)</f>
      </c>
      <c r="M564" s="181" t="str">
        <f>L564*(1-K564)</f>
      </c>
    </row>
    <row r="565">
      <c r="A565" t="s">
        <v>164</v>
      </c>
      <c r="B565" t="s">
        <v>115</v>
      </c>
      <c r="C565" s="32" t="s">
        <v>294</v>
      </c>
      <c r="D565" t="s">
        <v>378</v>
      </c>
      <c r="E565" t="s">
        <v>395</v>
      </c>
      <c r="F565" s="174" t="n">
        <v>2039</v>
      </c>
      <c r="G565" s="175" t="n">
        <v>33</v>
      </c>
      <c r="H565" s="176" t="n">
        <v>1147.54077393691</v>
      </c>
      <c r="I565" s="177" t="n">
        <v>4591206.68392477</v>
      </c>
      <c r="J565" s="178" t="str">
        <f>IF(I565&gt;0,H565/I565,0)</f>
      </c>
      <c r="K565" s="179" t="str">
        <f>1-EXP(-J565)</f>
      </c>
      <c r="L565" s="180" t="str">
        <f>IF(G565=30,1,M564)</f>
      </c>
      <c r="M565" s="181" t="str">
        <f>L565*(1-K565)</f>
      </c>
    </row>
    <row r="566">
      <c r="A566" t="s">
        <v>164</v>
      </c>
      <c r="B566" t="s">
        <v>115</v>
      </c>
      <c r="C566" s="32" t="s">
        <v>294</v>
      </c>
      <c r="D566" t="s">
        <v>378</v>
      </c>
      <c r="E566" t="s">
        <v>395</v>
      </c>
      <c r="F566" s="174" t="n">
        <v>2039</v>
      </c>
      <c r="G566" s="175" t="n">
        <v>34</v>
      </c>
      <c r="H566" s="176" t="n">
        <v>1202.50936361556</v>
      </c>
      <c r="I566" s="177" t="n">
        <v>4530048.04637432</v>
      </c>
      <c r="J566" s="178" t="str">
        <f>IF(I566&gt;0,H566/I566,0)</f>
      </c>
      <c r="K566" s="179" t="str">
        <f>1-EXP(-J566)</f>
      </c>
      <c r="L566" s="180" t="str">
        <f>IF(G566=30,1,M565)</f>
      </c>
      <c r="M566" s="181" t="str">
        <f>L566*(1-K566)</f>
      </c>
    </row>
    <row r="567">
      <c r="A567" t="s">
        <v>164</v>
      </c>
      <c r="B567" t="s">
        <v>115</v>
      </c>
      <c r="C567" s="32" t="s">
        <v>294</v>
      </c>
      <c r="D567" t="s">
        <v>378</v>
      </c>
      <c r="E567" t="s">
        <v>395</v>
      </c>
      <c r="F567" s="174" t="n">
        <v>2039</v>
      </c>
      <c r="G567" s="175" t="n">
        <v>35</v>
      </c>
      <c r="H567" s="176" t="n">
        <v>1557.06326944052</v>
      </c>
      <c r="I567" s="177" t="n">
        <v>4401241.44469577</v>
      </c>
      <c r="J567" s="178" t="str">
        <f>IF(I567&gt;0,H567/I567,0)</f>
      </c>
      <c r="K567" s="179" t="str">
        <f>1-EXP(-J567)</f>
      </c>
      <c r="L567" s="180" t="str">
        <f>IF(G567=30,1,M566)</f>
      </c>
      <c r="M567" s="181" t="str">
        <f>L567*(1-K567)</f>
      </c>
    </row>
    <row r="568">
      <c r="A568" t="s">
        <v>164</v>
      </c>
      <c r="B568" t="s">
        <v>115</v>
      </c>
      <c r="C568" s="32" t="s">
        <v>294</v>
      </c>
      <c r="D568" t="s">
        <v>378</v>
      </c>
      <c r="E568" t="s">
        <v>395</v>
      </c>
      <c r="F568" s="174" t="n">
        <v>2039</v>
      </c>
      <c r="G568" s="175" t="n">
        <v>36</v>
      </c>
      <c r="H568" s="176" t="n">
        <v>1712.2427360203</v>
      </c>
      <c r="I568" s="177" t="n">
        <v>4334867.72365489</v>
      </c>
      <c r="J568" s="178" t="str">
        <f>IF(I568&gt;0,H568/I568,0)</f>
      </c>
      <c r="K568" s="179" t="str">
        <f>1-EXP(-J568)</f>
      </c>
      <c r="L568" s="180" t="str">
        <f>IF(G568=30,1,M567)</f>
      </c>
      <c r="M568" s="181" t="str">
        <f>L568*(1-K568)</f>
      </c>
    </row>
    <row r="569">
      <c r="A569" t="s">
        <v>164</v>
      </c>
      <c r="B569" t="s">
        <v>115</v>
      </c>
      <c r="C569" s="32" t="s">
        <v>294</v>
      </c>
      <c r="D569" t="s">
        <v>378</v>
      </c>
      <c r="E569" t="s">
        <v>395</v>
      </c>
      <c r="F569" s="174" t="n">
        <v>2039</v>
      </c>
      <c r="G569" s="175" t="n">
        <v>37</v>
      </c>
      <c r="H569" s="176" t="n">
        <v>1985.59543054436</v>
      </c>
      <c r="I569" s="177" t="n">
        <v>4311759.69608019</v>
      </c>
      <c r="J569" s="178" t="str">
        <f>IF(I569&gt;0,H569/I569,0)</f>
      </c>
      <c r="K569" s="179" t="str">
        <f>1-EXP(-J569)</f>
      </c>
      <c r="L569" s="180" t="str">
        <f>IF(G569=30,1,M568)</f>
      </c>
      <c r="M569" s="181" t="str">
        <f>L569*(1-K569)</f>
      </c>
    </row>
    <row r="570">
      <c r="A570" t="s">
        <v>164</v>
      </c>
      <c r="B570" t="s">
        <v>115</v>
      </c>
      <c r="C570" s="32" t="s">
        <v>294</v>
      </c>
      <c r="D570" t="s">
        <v>378</v>
      </c>
      <c r="E570" t="s">
        <v>395</v>
      </c>
      <c r="F570" s="174" t="n">
        <v>2039</v>
      </c>
      <c r="G570" s="175" t="n">
        <v>38</v>
      </c>
      <c r="H570" s="176" t="n">
        <v>2134.43788489423</v>
      </c>
      <c r="I570" s="177" t="n">
        <v>4290283.86122893</v>
      </c>
      <c r="J570" s="178" t="str">
        <f>IF(I570&gt;0,H570/I570,0)</f>
      </c>
      <c r="K570" s="179" t="str">
        <f>1-EXP(-J570)</f>
      </c>
      <c r="L570" s="180" t="str">
        <f>IF(G570=30,1,M569)</f>
      </c>
      <c r="M570" s="181" t="str">
        <f>L570*(1-K570)</f>
      </c>
    </row>
    <row r="571">
      <c r="A571" t="s">
        <v>164</v>
      </c>
      <c r="B571" t="s">
        <v>115</v>
      </c>
      <c r="C571" s="32" t="s">
        <v>294</v>
      </c>
      <c r="D571" t="s">
        <v>378</v>
      </c>
      <c r="E571" t="s">
        <v>395</v>
      </c>
      <c r="F571" s="174" t="n">
        <v>2039</v>
      </c>
      <c r="G571" s="175" t="n">
        <v>39</v>
      </c>
      <c r="H571" s="176" t="n">
        <v>2300.02380204</v>
      </c>
      <c r="I571" s="177" t="n">
        <v>4268250.28174751</v>
      </c>
      <c r="J571" s="178" t="str">
        <f>IF(I571&gt;0,H571/I571,0)</f>
      </c>
      <c r="K571" s="179" t="str">
        <f>1-EXP(-J571)</f>
      </c>
      <c r="L571" s="180" t="str">
        <f>IF(G571=30,1,M570)</f>
      </c>
      <c r="M571" s="181" t="str">
        <f>L571*(1-K571)</f>
      </c>
    </row>
    <row r="572">
      <c r="A572" t="s">
        <v>164</v>
      </c>
      <c r="B572" t="s">
        <v>115</v>
      </c>
      <c r="C572" s="32" t="s">
        <v>294</v>
      </c>
      <c r="D572" t="s">
        <v>378</v>
      </c>
      <c r="E572" t="s">
        <v>395</v>
      </c>
      <c r="F572" s="174" t="n">
        <v>2039</v>
      </c>
      <c r="G572" s="175" t="n">
        <v>40</v>
      </c>
      <c r="H572" s="176" t="n">
        <v>3108.22107686951</v>
      </c>
      <c r="I572" s="177" t="n">
        <v>4285213.31752924</v>
      </c>
      <c r="J572" s="178" t="str">
        <f>IF(I572&gt;0,H572/I572,0)</f>
      </c>
      <c r="K572" s="179" t="str">
        <f>1-EXP(-J572)</f>
      </c>
      <c r="L572" s="180" t="str">
        <f>IF(G572=30,1,M571)</f>
      </c>
      <c r="M572" s="181" t="str">
        <f>L572*(1-K572)</f>
      </c>
    </row>
    <row r="573">
      <c r="A573" t="s">
        <v>164</v>
      </c>
      <c r="B573" t="s">
        <v>115</v>
      </c>
      <c r="C573" s="32" t="s">
        <v>294</v>
      </c>
      <c r="D573" t="s">
        <v>378</v>
      </c>
      <c r="E573" t="s">
        <v>395</v>
      </c>
      <c r="F573" s="174" t="n">
        <v>2039</v>
      </c>
      <c r="G573" s="175" t="n">
        <v>41</v>
      </c>
      <c r="H573" s="176" t="n">
        <v>3404.26829039045</v>
      </c>
      <c r="I573" s="177" t="n">
        <v>4339813.00754224</v>
      </c>
      <c r="J573" s="178" t="str">
        <f>IF(I573&gt;0,H573/I573,0)</f>
      </c>
      <c r="K573" s="179" t="str">
        <f>1-EXP(-J573)</f>
      </c>
      <c r="L573" s="180" t="str">
        <f>IF(G573=30,1,M572)</f>
      </c>
      <c r="M573" s="181" t="str">
        <f>L573*(1-K573)</f>
      </c>
    </row>
    <row r="574">
      <c r="A574" t="s">
        <v>164</v>
      </c>
      <c r="B574" t="s">
        <v>115</v>
      </c>
      <c r="C574" s="32" t="s">
        <v>294</v>
      </c>
      <c r="D574" t="s">
        <v>378</v>
      </c>
      <c r="E574" t="s">
        <v>395</v>
      </c>
      <c r="F574" s="174" t="n">
        <v>2039</v>
      </c>
      <c r="G574" s="175" t="n">
        <v>42</v>
      </c>
      <c r="H574" s="176" t="n">
        <v>4035.66214417341</v>
      </c>
      <c r="I574" s="177" t="n">
        <v>4471614.12932733</v>
      </c>
      <c r="J574" s="178" t="str">
        <f>IF(I574&gt;0,H574/I574,0)</f>
      </c>
      <c r="K574" s="179" t="str">
        <f>1-EXP(-J574)</f>
      </c>
      <c r="L574" s="180" t="str">
        <f>IF(G574=30,1,M573)</f>
      </c>
      <c r="M574" s="181" t="str">
        <f>L574*(1-K574)</f>
      </c>
    </row>
    <row r="575">
      <c r="A575" t="s">
        <v>164</v>
      </c>
      <c r="B575" t="s">
        <v>115</v>
      </c>
      <c r="C575" s="32" t="s">
        <v>294</v>
      </c>
      <c r="D575" t="s">
        <v>378</v>
      </c>
      <c r="E575" t="s">
        <v>395</v>
      </c>
      <c r="F575" s="174" t="n">
        <v>2039</v>
      </c>
      <c r="G575" s="175" t="n">
        <v>43</v>
      </c>
      <c r="H575" s="176" t="n">
        <v>4356.77055020247</v>
      </c>
      <c r="I575" s="177" t="n">
        <v>4424125.57325495</v>
      </c>
      <c r="J575" s="178" t="str">
        <f>IF(I575&gt;0,H575/I575,0)</f>
      </c>
      <c r="K575" s="179" t="str">
        <f>1-EXP(-J575)</f>
      </c>
      <c r="L575" s="180" t="str">
        <f>IF(G575=30,1,M574)</f>
      </c>
      <c r="M575" s="181" t="str">
        <f>L575*(1-K575)</f>
      </c>
    </row>
    <row r="576">
      <c r="A576" t="s">
        <v>164</v>
      </c>
      <c r="B576" t="s">
        <v>115</v>
      </c>
      <c r="C576" s="32" t="s">
        <v>294</v>
      </c>
      <c r="D576" t="s">
        <v>378</v>
      </c>
      <c r="E576" t="s">
        <v>395</v>
      </c>
      <c r="F576" s="174" t="n">
        <v>2039</v>
      </c>
      <c r="G576" s="175" t="n">
        <v>44</v>
      </c>
      <c r="H576" s="176" t="n">
        <v>4680.91794626398</v>
      </c>
      <c r="I576" s="177" t="n">
        <v>4346443.68354954</v>
      </c>
      <c r="J576" s="178" t="str">
        <f>IF(I576&gt;0,H576/I576,0)</f>
      </c>
      <c r="K576" s="179" t="str">
        <f>1-EXP(-J576)</f>
      </c>
      <c r="L576" s="180" t="str">
        <f>IF(G576=30,1,M575)</f>
      </c>
      <c r="M576" s="181" t="str">
        <f>L576*(1-K576)</f>
      </c>
    </row>
    <row r="577">
      <c r="A577" t="s">
        <v>164</v>
      </c>
      <c r="B577" t="s">
        <v>115</v>
      </c>
      <c r="C577" s="32" t="s">
        <v>294</v>
      </c>
      <c r="D577" t="s">
        <v>378</v>
      </c>
      <c r="E577" t="s">
        <v>395</v>
      </c>
      <c r="F577" s="174" t="n">
        <v>2039</v>
      </c>
      <c r="G577" s="175" t="n">
        <v>45</v>
      </c>
      <c r="H577" s="176" t="n">
        <v>5932.47911650985</v>
      </c>
      <c r="I577" s="177" t="n">
        <v>4283727.55071284</v>
      </c>
      <c r="J577" s="178" t="str">
        <f>IF(I577&gt;0,H577/I577,0)</f>
      </c>
      <c r="K577" s="179" t="str">
        <f>1-EXP(-J577)</f>
      </c>
      <c r="L577" s="180" t="str">
        <f>IF(G577=30,1,M576)</f>
      </c>
      <c r="M577" s="181" t="str">
        <f>L577*(1-K577)</f>
      </c>
    </row>
    <row r="578">
      <c r="A578" t="s">
        <v>164</v>
      </c>
      <c r="B578" t="s">
        <v>115</v>
      </c>
      <c r="C578" s="32" t="s">
        <v>294</v>
      </c>
      <c r="D578" t="s">
        <v>378</v>
      </c>
      <c r="E578" t="s">
        <v>395</v>
      </c>
      <c r="F578" s="174" t="n">
        <v>2039</v>
      </c>
      <c r="G578" s="175" t="n">
        <v>46</v>
      </c>
      <c r="H578" s="176" t="n">
        <v>6251.52793664119</v>
      </c>
      <c r="I578" s="177" t="n">
        <v>4222981.70859661</v>
      </c>
      <c r="J578" s="178" t="str">
        <f>IF(I578&gt;0,H578/I578,0)</f>
      </c>
      <c r="K578" s="179" t="str">
        <f>1-EXP(-J578)</f>
      </c>
      <c r="L578" s="180" t="str">
        <f>IF(G578=30,1,M577)</f>
      </c>
      <c r="M578" s="181" t="str">
        <f>L578*(1-K578)</f>
      </c>
    </row>
    <row r="579">
      <c r="A579" t="s">
        <v>164</v>
      </c>
      <c r="B579" t="s">
        <v>115</v>
      </c>
      <c r="C579" s="32" t="s">
        <v>294</v>
      </c>
      <c r="D579" t="s">
        <v>378</v>
      </c>
      <c r="E579" t="s">
        <v>395</v>
      </c>
      <c r="F579" s="174" t="n">
        <v>2039</v>
      </c>
      <c r="G579" s="175" t="n">
        <v>47</v>
      </c>
      <c r="H579" s="176" t="n">
        <v>6919.57884604031</v>
      </c>
      <c r="I579" s="177" t="n">
        <v>4251794.31379297</v>
      </c>
      <c r="J579" s="178" t="str">
        <f>IF(I579&gt;0,H579/I579,0)</f>
      </c>
      <c r="K579" s="179" t="str">
        <f>1-EXP(-J579)</f>
      </c>
      <c r="L579" s="180" t="str">
        <f>IF(G579=30,1,M578)</f>
      </c>
      <c r="M579" s="181" t="str">
        <f>L579*(1-K579)</f>
      </c>
    </row>
    <row r="580">
      <c r="A580" t="s">
        <v>164</v>
      </c>
      <c r="B580" t="s">
        <v>115</v>
      </c>
      <c r="C580" s="32" t="s">
        <v>294</v>
      </c>
      <c r="D580" t="s">
        <v>378</v>
      </c>
      <c r="E580" t="s">
        <v>395</v>
      </c>
      <c r="F580" s="174" t="n">
        <v>2039</v>
      </c>
      <c r="G580" s="175" t="n">
        <v>48</v>
      </c>
      <c r="H580" s="176" t="n">
        <v>7632.5556981764</v>
      </c>
      <c r="I580" s="177" t="n">
        <v>4260199.34000278</v>
      </c>
      <c r="J580" s="178" t="str">
        <f>IF(I580&gt;0,H580/I580,0)</f>
      </c>
      <c r="K580" s="179" t="str">
        <f>1-EXP(-J580)</f>
      </c>
      <c r="L580" s="180" t="str">
        <f>IF(G580=30,1,M579)</f>
      </c>
      <c r="M580" s="181" t="str">
        <f>L580*(1-K580)</f>
      </c>
    </row>
    <row r="581">
      <c r="A581" t="s">
        <v>164</v>
      </c>
      <c r="B581" t="s">
        <v>115</v>
      </c>
      <c r="C581" s="32" t="s">
        <v>294</v>
      </c>
      <c r="D581" t="s">
        <v>378</v>
      </c>
      <c r="E581" t="s">
        <v>395</v>
      </c>
      <c r="F581" s="174" t="n">
        <v>2039</v>
      </c>
      <c r="G581" s="175" t="n">
        <v>49</v>
      </c>
      <c r="H581" s="176" t="n">
        <v>11352.952243989</v>
      </c>
      <c r="I581" s="177" t="n">
        <v>6267067.78855998</v>
      </c>
      <c r="J581" s="178" t="str">
        <f>IF(I581&gt;0,H581/I581,0)</f>
      </c>
      <c r="K581" s="179" t="str">
        <f>1-EXP(-J581)</f>
      </c>
      <c r="L581" s="180" t="str">
        <f>IF(G581=30,1,M580)</f>
      </c>
      <c r="M581" s="181" t="str">
        <f>L581*(1-K581)</f>
      </c>
    </row>
    <row r="582">
      <c r="A582" t="s">
        <v>164</v>
      </c>
      <c r="B582" t="s">
        <v>115</v>
      </c>
      <c r="C582" s="32" t="s">
        <v>294</v>
      </c>
      <c r="D582" t="s">
        <v>378</v>
      </c>
      <c r="E582" t="s">
        <v>395</v>
      </c>
      <c r="F582" s="174" t="n">
        <v>2039</v>
      </c>
      <c r="G582" s="175" t="n">
        <v>50</v>
      </c>
      <c r="H582" s="176" t="n">
        <v>9540.68439517496</v>
      </c>
      <c r="I582" s="177" t="n">
        <v>4198452.63762941</v>
      </c>
      <c r="J582" s="178" t="str">
        <f>IF(I582&gt;0,H582/I582,0)</f>
      </c>
      <c r="K582" s="179" t="str">
        <f>1-EXP(-J582)</f>
      </c>
      <c r="L582" s="180" t="str">
        <f>IF(G582=30,1,M581)</f>
      </c>
      <c r="M582" s="181" t="str">
        <f>L582*(1-K582)</f>
      </c>
    </row>
    <row r="583">
      <c r="A583" t="s">
        <v>164</v>
      </c>
      <c r="B583" t="s">
        <v>115</v>
      </c>
      <c r="C583" s="32" t="s">
        <v>294</v>
      </c>
      <c r="D583" t="s">
        <v>378</v>
      </c>
      <c r="E583" t="s">
        <v>395</v>
      </c>
      <c r="F583" s="174" t="n">
        <v>2039</v>
      </c>
      <c r="G583" s="175" t="n">
        <v>51</v>
      </c>
      <c r="H583" s="176" t="n">
        <v>10170.1128393853</v>
      </c>
      <c r="I583" s="177" t="n">
        <v>4169074.48016375</v>
      </c>
      <c r="J583" s="178" t="str">
        <f>IF(I583&gt;0,H583/I583,0)</f>
      </c>
      <c r="K583" s="179" t="str">
        <f>1-EXP(-J583)</f>
      </c>
      <c r="L583" s="180" t="str">
        <f>IF(G583=30,1,M582)</f>
      </c>
      <c r="M583" s="181" t="str">
        <f>L583*(1-K583)</f>
      </c>
    </row>
    <row r="584">
      <c r="A584" t="s">
        <v>164</v>
      </c>
      <c r="B584" t="s">
        <v>115</v>
      </c>
      <c r="C584" s="32" t="s">
        <v>294</v>
      </c>
      <c r="D584" t="s">
        <v>378</v>
      </c>
      <c r="E584" t="s">
        <v>395</v>
      </c>
      <c r="F584" s="174" t="n">
        <v>2039</v>
      </c>
      <c r="G584" s="175" t="n">
        <v>52</v>
      </c>
      <c r="H584" s="176" t="n">
        <v>10793.2616602245</v>
      </c>
      <c r="I584" s="177" t="n">
        <v>4028102.69705239</v>
      </c>
      <c r="J584" s="178" t="str">
        <f>IF(I584&gt;0,H584/I584,0)</f>
      </c>
      <c r="K584" s="179" t="str">
        <f>1-EXP(-J584)</f>
      </c>
      <c r="L584" s="180" t="str">
        <f>IF(G584=30,1,M583)</f>
      </c>
      <c r="M584" s="181" t="str">
        <f>L584*(1-K584)</f>
      </c>
    </row>
    <row r="585">
      <c r="A585" t="s">
        <v>164</v>
      </c>
      <c r="B585" t="s">
        <v>115</v>
      </c>
      <c r="C585" s="32" t="s">
        <v>294</v>
      </c>
      <c r="D585" t="s">
        <v>378</v>
      </c>
      <c r="E585" t="s">
        <v>395</v>
      </c>
      <c r="F585" s="174" t="n">
        <v>2039</v>
      </c>
      <c r="G585" s="175" t="n">
        <v>53</v>
      </c>
      <c r="H585" s="176" t="n">
        <v>11687.907299839</v>
      </c>
      <c r="I585" s="177" t="n">
        <v>3980291.33178475</v>
      </c>
      <c r="J585" s="178" t="str">
        <f>IF(I585&gt;0,H585/I585,0)</f>
      </c>
      <c r="K585" s="179" t="str">
        <f>1-EXP(-J585)</f>
      </c>
      <c r="L585" s="180" t="str">
        <f>IF(G585=30,1,M584)</f>
      </c>
      <c r="M585" s="181" t="str">
        <f>L585*(1-K585)</f>
      </c>
    </row>
    <row r="586">
      <c r="A586" t="s">
        <v>164</v>
      </c>
      <c r="B586" t="s">
        <v>115</v>
      </c>
      <c r="C586" s="32" t="s">
        <v>294</v>
      </c>
      <c r="D586" t="s">
        <v>378</v>
      </c>
      <c r="E586" t="s">
        <v>395</v>
      </c>
      <c r="F586" s="174" t="n">
        <v>2039</v>
      </c>
      <c r="G586" s="175" t="n">
        <v>54</v>
      </c>
      <c r="H586" s="176" t="n">
        <v>12921.568679687</v>
      </c>
      <c r="I586" s="177" t="n">
        <v>4020606.77841123</v>
      </c>
      <c r="J586" s="178" t="str">
        <f>IF(I586&gt;0,H586/I586,0)</f>
      </c>
      <c r="K586" s="179" t="str">
        <f>1-EXP(-J586)</f>
      </c>
      <c r="L586" s="180" t="str">
        <f>IF(G586=30,1,M585)</f>
      </c>
      <c r="M586" s="181" t="str">
        <f>L586*(1-K586)</f>
      </c>
    </row>
    <row r="587">
      <c r="A587" t="s">
        <v>164</v>
      </c>
      <c r="B587" t="s">
        <v>115</v>
      </c>
      <c r="C587" s="32" t="s">
        <v>294</v>
      </c>
      <c r="D587" t="s">
        <v>378</v>
      </c>
      <c r="E587" t="s">
        <v>395</v>
      </c>
      <c r="F587" s="174" t="n">
        <v>2039</v>
      </c>
      <c r="G587" s="175" t="n">
        <v>55</v>
      </c>
      <c r="H587" s="176" t="n">
        <v>14244.4354145049</v>
      </c>
      <c r="I587" s="177" t="n">
        <v>4082979.27402292</v>
      </c>
      <c r="J587" s="178" t="str">
        <f>IF(I587&gt;0,H587/I587,0)</f>
      </c>
      <c r="K587" s="179" t="str">
        <f>1-EXP(-J587)</f>
      </c>
      <c r="L587" s="180" t="str">
        <f>IF(G587=30,1,M586)</f>
      </c>
      <c r="M587" s="181" t="str">
        <f>L587*(1-K587)</f>
      </c>
    </row>
    <row r="588">
      <c r="A588" t="s">
        <v>164</v>
      </c>
      <c r="B588" t="s">
        <v>115</v>
      </c>
      <c r="C588" s="32" t="s">
        <v>294</v>
      </c>
      <c r="D588" t="s">
        <v>378</v>
      </c>
      <c r="E588" t="s">
        <v>395</v>
      </c>
      <c r="F588" s="174" t="n">
        <v>2039</v>
      </c>
      <c r="G588" s="175" t="n">
        <v>56</v>
      </c>
      <c r="H588" s="176" t="n">
        <v>15130.1355852278</v>
      </c>
      <c r="I588" s="177" t="n">
        <v>4039791.53353778</v>
      </c>
      <c r="J588" s="178" t="str">
        <f>IF(I588&gt;0,H588/I588,0)</f>
      </c>
      <c r="K588" s="179" t="str">
        <f>1-EXP(-J588)</f>
      </c>
      <c r="L588" s="180" t="str">
        <f>IF(G588=30,1,M587)</f>
      </c>
      <c r="M588" s="181" t="str">
        <f>L588*(1-K588)</f>
      </c>
    </row>
    <row r="589">
      <c r="A589" t="s">
        <v>164</v>
      </c>
      <c r="B589" t="s">
        <v>115</v>
      </c>
      <c r="C589" s="32" t="s">
        <v>294</v>
      </c>
      <c r="D589" t="s">
        <v>378</v>
      </c>
      <c r="E589" t="s">
        <v>395</v>
      </c>
      <c r="F589" s="174" t="n">
        <v>2039</v>
      </c>
      <c r="G589" s="175" t="n">
        <v>57</v>
      </c>
      <c r="H589" s="176" t="n">
        <v>15972.8214033116</v>
      </c>
      <c r="I589" s="177" t="n">
        <v>3889710.08622176</v>
      </c>
      <c r="J589" s="178" t="str">
        <f>IF(I589&gt;0,H589/I589,0)</f>
      </c>
      <c r="K589" s="179" t="str">
        <f>1-EXP(-J589)</f>
      </c>
      <c r="L589" s="180" t="str">
        <f>IF(G589=30,1,M588)</f>
      </c>
      <c r="M589" s="181" t="str">
        <f>L589*(1-K589)</f>
      </c>
    </row>
    <row r="590">
      <c r="A590" t="s">
        <v>164</v>
      </c>
      <c r="B590" t="s">
        <v>115</v>
      </c>
      <c r="C590" s="32" t="s">
        <v>294</v>
      </c>
      <c r="D590" t="s">
        <v>378</v>
      </c>
      <c r="E590" t="s">
        <v>395</v>
      </c>
      <c r="F590" s="174" t="n">
        <v>2039</v>
      </c>
      <c r="G590" s="175" t="n">
        <v>58</v>
      </c>
      <c r="H590" s="176" t="n">
        <v>17091.7337839801</v>
      </c>
      <c r="I590" s="177" t="n">
        <v>3797595.38471895</v>
      </c>
      <c r="J590" s="178" t="str">
        <f>IF(I590&gt;0,H590/I590,0)</f>
      </c>
      <c r="K590" s="179" t="str">
        <f>1-EXP(-J590)</f>
      </c>
      <c r="L590" s="180" t="str">
        <f>IF(G590=30,1,M589)</f>
      </c>
      <c r="M590" s="181" t="str">
        <f>L590*(1-K590)</f>
      </c>
    </row>
    <row r="591">
      <c r="A591" t="s">
        <v>164</v>
      </c>
      <c r="B591" t="s">
        <v>115</v>
      </c>
      <c r="C591" s="32" t="s">
        <v>294</v>
      </c>
      <c r="D591" t="s">
        <v>378</v>
      </c>
      <c r="E591" t="s">
        <v>395</v>
      </c>
      <c r="F591" s="174" t="n">
        <v>2039</v>
      </c>
      <c r="G591" s="175" t="n">
        <v>59</v>
      </c>
      <c r="H591" s="176" t="n">
        <v>18354.4500369617</v>
      </c>
      <c r="I591" s="177" t="n">
        <v>3718985.8039794</v>
      </c>
      <c r="J591" s="178" t="str">
        <f>IF(I591&gt;0,H591/I591,0)</f>
      </c>
      <c r="K591" s="179" t="str">
        <f>1-EXP(-J591)</f>
      </c>
      <c r="L591" s="180" t="str">
        <f>IF(G591=30,1,M590)</f>
      </c>
      <c r="M591" s="181" t="str">
        <f>L591*(1-K591)</f>
      </c>
    </row>
    <row r="592">
      <c r="A592" t="s">
        <v>164</v>
      </c>
      <c r="B592" t="s">
        <v>115</v>
      </c>
      <c r="C592" s="32" t="s">
        <v>294</v>
      </c>
      <c r="D592" t="s">
        <v>378</v>
      </c>
      <c r="E592" t="s">
        <v>395</v>
      </c>
      <c r="F592" s="174" t="n">
        <v>2039</v>
      </c>
      <c r="G592" s="175" t="n">
        <v>60</v>
      </c>
      <c r="H592" s="176" t="n">
        <v>19657.5682838521</v>
      </c>
      <c r="I592" s="177" t="n">
        <v>3634135.26286761</v>
      </c>
      <c r="J592" s="178" t="str">
        <f>IF(I592&gt;0,H592/I592,0)</f>
      </c>
      <c r="K592" s="179" t="str">
        <f>1-EXP(-J592)</f>
      </c>
      <c r="L592" s="180" t="str">
        <f>IF(G592=30,1,M591)</f>
      </c>
      <c r="M592" s="181" t="str">
        <f>L592*(1-K592)</f>
      </c>
    </row>
    <row r="593">
      <c r="A593" t="s">
        <v>164</v>
      </c>
      <c r="B593" t="s">
        <v>115</v>
      </c>
      <c r="C593" s="32" t="s">
        <v>294</v>
      </c>
      <c r="D593" t="s">
        <v>378</v>
      </c>
      <c r="E593" t="s">
        <v>395</v>
      </c>
      <c r="F593" s="174" t="n">
        <v>2039</v>
      </c>
      <c r="G593" s="175" t="n">
        <v>61</v>
      </c>
      <c r="H593" s="176" t="n">
        <v>20612.7333804632</v>
      </c>
      <c r="I593" s="177" t="n">
        <v>3529699.1340218</v>
      </c>
      <c r="J593" s="178" t="str">
        <f>IF(I593&gt;0,H593/I593,0)</f>
      </c>
      <c r="K593" s="179" t="str">
        <f>1-EXP(-J593)</f>
      </c>
      <c r="L593" s="180" t="str">
        <f>IF(G593=30,1,M592)</f>
      </c>
      <c r="M593" s="181" t="str">
        <f>L593*(1-K593)</f>
      </c>
    </row>
    <row r="594">
      <c r="A594" t="s">
        <v>164</v>
      </c>
      <c r="B594" t="s">
        <v>115</v>
      </c>
      <c r="C594" s="32" t="s">
        <v>294</v>
      </c>
      <c r="D594" t="s">
        <v>378</v>
      </c>
      <c r="E594" t="s">
        <v>395</v>
      </c>
      <c r="F594" s="174" t="n">
        <v>2039</v>
      </c>
      <c r="G594" s="175" t="n">
        <v>62</v>
      </c>
      <c r="H594" s="176" t="n">
        <v>22117.8438424468</v>
      </c>
      <c r="I594" s="177" t="n">
        <v>3439641.53306725</v>
      </c>
      <c r="J594" s="178" t="str">
        <f>IF(I594&gt;0,H594/I594,0)</f>
      </c>
      <c r="K594" s="179" t="str">
        <f>1-EXP(-J594)</f>
      </c>
      <c r="L594" s="180" t="str">
        <f>IF(G594=30,1,M593)</f>
      </c>
      <c r="M594" s="181" t="str">
        <f>L594*(1-K594)</f>
      </c>
    </row>
    <row r="595">
      <c r="A595" t="s">
        <v>164</v>
      </c>
      <c r="B595" t="s">
        <v>115</v>
      </c>
      <c r="C595" s="32" t="s">
        <v>294</v>
      </c>
      <c r="D595" t="s">
        <v>378</v>
      </c>
      <c r="E595" t="s">
        <v>395</v>
      </c>
      <c r="F595" s="174" t="n">
        <v>2039</v>
      </c>
      <c r="G595" s="175" t="n">
        <v>63</v>
      </c>
      <c r="H595" s="176" t="n">
        <v>23590.934763183</v>
      </c>
      <c r="I595" s="177" t="n">
        <v>3337581.16659738</v>
      </c>
      <c r="J595" s="178" t="str">
        <f>IF(I595&gt;0,H595/I595,0)</f>
      </c>
      <c r="K595" s="179" t="str">
        <f>1-EXP(-J595)</f>
      </c>
      <c r="L595" s="180" t="str">
        <f>IF(G595=30,1,M594)</f>
      </c>
      <c r="M595" s="181" t="str">
        <f>L595*(1-K595)</f>
      </c>
    </row>
    <row r="596">
      <c r="A596" t="s">
        <v>164</v>
      </c>
      <c r="B596" t="s">
        <v>115</v>
      </c>
      <c r="C596" s="32" t="s">
        <v>294</v>
      </c>
      <c r="D596" t="s">
        <v>378</v>
      </c>
      <c r="E596" t="s">
        <v>395</v>
      </c>
      <c r="F596" s="174" t="n">
        <v>2039</v>
      </c>
      <c r="G596" s="175" t="n">
        <v>64</v>
      </c>
      <c r="H596" s="176" t="n">
        <v>25105.6794904811</v>
      </c>
      <c r="I596" s="177" t="n">
        <v>3233301.39757209</v>
      </c>
      <c r="J596" s="178" t="str">
        <f>IF(I596&gt;0,H596/I596,0)</f>
      </c>
      <c r="K596" s="179" t="str">
        <f>1-EXP(-J596)</f>
      </c>
      <c r="L596" s="180" t="str">
        <f>IF(G596=30,1,M595)</f>
      </c>
      <c r="M596" s="181" t="str">
        <f>L596*(1-K596)</f>
      </c>
    </row>
    <row r="597">
      <c r="A597" t="s">
        <v>164</v>
      </c>
      <c r="B597" t="s">
        <v>115</v>
      </c>
      <c r="C597" s="32" t="s">
        <v>294</v>
      </c>
      <c r="D597" t="s">
        <v>378</v>
      </c>
      <c r="E597" t="s">
        <v>395</v>
      </c>
      <c r="F597" s="174" t="n">
        <v>2039</v>
      </c>
      <c r="G597" s="175" t="n">
        <v>65</v>
      </c>
      <c r="H597" s="176" t="n">
        <v>25380.0634726319</v>
      </c>
      <c r="I597" s="177" t="n">
        <v>3103624.33672204</v>
      </c>
      <c r="J597" s="178" t="str">
        <f>IF(I597&gt;0,H597/I597,0)</f>
      </c>
      <c r="K597" s="179" t="str">
        <f>1-EXP(-J597)</f>
      </c>
      <c r="L597" s="180" t="str">
        <f>IF(G597=30,1,M596)</f>
      </c>
      <c r="M597" s="181" t="str">
        <f>L597*(1-K597)</f>
      </c>
    </row>
    <row r="598">
      <c r="A598" t="s">
        <v>164</v>
      </c>
      <c r="B598" t="s">
        <v>115</v>
      </c>
      <c r="C598" s="32" t="s">
        <v>294</v>
      </c>
      <c r="D598" t="s">
        <v>378</v>
      </c>
      <c r="E598" t="s">
        <v>395</v>
      </c>
      <c r="F598" s="174" t="n">
        <v>2039</v>
      </c>
      <c r="G598" s="175" t="n">
        <v>66</v>
      </c>
      <c r="H598" s="176" t="n">
        <v>26789.254898579</v>
      </c>
      <c r="I598" s="177" t="n">
        <v>3025465.05073051</v>
      </c>
      <c r="J598" s="178" t="str">
        <f>IF(I598&gt;0,H598/I598,0)</f>
      </c>
      <c r="K598" s="179" t="str">
        <f>1-EXP(-J598)</f>
      </c>
      <c r="L598" s="180" t="str">
        <f>IF(G598=30,1,M597)</f>
      </c>
      <c r="M598" s="181" t="str">
        <f>L598*(1-K598)</f>
      </c>
    </row>
    <row r="599">
      <c r="A599" t="s">
        <v>164</v>
      </c>
      <c r="B599" t="s">
        <v>115</v>
      </c>
      <c r="C599" s="32" t="s">
        <v>294</v>
      </c>
      <c r="D599" t="s">
        <v>378</v>
      </c>
      <c r="E599" t="s">
        <v>395</v>
      </c>
      <c r="F599" s="174" t="n">
        <v>2039</v>
      </c>
      <c r="G599" s="175" t="n">
        <v>67</v>
      </c>
      <c r="H599" s="176" t="n">
        <v>27353.9538011533</v>
      </c>
      <c r="I599" s="177" t="n">
        <v>2804726.09427135</v>
      </c>
      <c r="J599" s="178" t="str">
        <f>IF(I599&gt;0,H599/I599,0)</f>
      </c>
      <c r="K599" s="179" t="str">
        <f>1-EXP(-J599)</f>
      </c>
      <c r="L599" s="180" t="str">
        <f>IF(G599=30,1,M598)</f>
      </c>
      <c r="M599" s="181" t="str">
        <f>L599*(1-K599)</f>
      </c>
    </row>
    <row r="600">
      <c r="A600" t="s">
        <v>164</v>
      </c>
      <c r="B600" t="s">
        <v>115</v>
      </c>
      <c r="C600" s="32" t="s">
        <v>294</v>
      </c>
      <c r="D600" t="s">
        <v>378</v>
      </c>
      <c r="E600" t="s">
        <v>395</v>
      </c>
      <c r="F600" s="174" t="n">
        <v>2039</v>
      </c>
      <c r="G600" s="175" t="n">
        <v>68</v>
      </c>
      <c r="H600" s="176" t="n">
        <v>28857.8951676631</v>
      </c>
      <c r="I600" s="177" t="n">
        <v>2688118.0601712</v>
      </c>
      <c r="J600" s="178" t="str">
        <f>IF(I600&gt;0,H600/I600,0)</f>
      </c>
      <c r="K600" s="179" t="str">
        <f>1-EXP(-J600)</f>
      </c>
      <c r="L600" s="180" t="str">
        <f>IF(G600=30,1,M599)</f>
      </c>
      <c r="M600" s="181" t="str">
        <f>L600*(1-K600)</f>
      </c>
    </row>
    <row r="601">
      <c r="A601" t="s">
        <v>164</v>
      </c>
      <c r="B601" t="s">
        <v>115</v>
      </c>
      <c r="C601" s="32" t="s">
        <v>294</v>
      </c>
      <c r="D601" t="s">
        <v>378</v>
      </c>
      <c r="E601" t="s">
        <v>395</v>
      </c>
      <c r="F601" s="174" t="n">
        <v>2039</v>
      </c>
      <c r="G601" s="175" t="n">
        <v>69</v>
      </c>
      <c r="H601" s="176" t="n">
        <v>30431.5229711964</v>
      </c>
      <c r="I601" s="177" t="n">
        <v>2573846.07426583</v>
      </c>
      <c r="J601" s="178" t="str">
        <f>IF(I601&gt;0,H601/I601,0)</f>
      </c>
      <c r="K601" s="179" t="str">
        <f>1-EXP(-J601)</f>
      </c>
      <c r="L601" s="180" t="str">
        <f>IF(G601=30,1,M600)</f>
      </c>
      <c r="M601" s="181" t="str">
        <f>L601*(1-K601)</f>
      </c>
    </row>
    <row r="602">
      <c r="A602" t="s">
        <v>164</v>
      </c>
      <c r="B602" t="s">
        <v>115</v>
      </c>
      <c r="C602" s="32" t="s">
        <v>294</v>
      </c>
      <c r="D602" t="s">
        <v>378</v>
      </c>
      <c r="E602" t="s">
        <v>395</v>
      </c>
      <c r="F602" s="174" t="n">
        <v>2040</v>
      </c>
      <c r="G602" s="175" t="n">
        <v>30</v>
      </c>
      <c r="H602" s="176" t="n">
        <v>798.549861859303</v>
      </c>
      <c r="I602" s="177" t="n">
        <v>4755786.95846338</v>
      </c>
      <c r="J602" s="178" t="str">
        <f>IF(I602&gt;0,H602/I602,0)</f>
      </c>
      <c r="K602" s="179" t="str">
        <f>1-EXP(-J602)</f>
      </c>
      <c r="L602" s="180" t="str">
        <f>IF(G602=30,1,M601)</f>
      </c>
      <c r="M602" s="181" t="str">
        <f>L602*(1-K602)</f>
      </c>
    </row>
    <row r="603">
      <c r="A603" t="s">
        <v>164</v>
      </c>
      <c r="B603" t="s">
        <v>115</v>
      </c>
      <c r="C603" s="32" t="s">
        <v>294</v>
      </c>
      <c r="D603" t="s">
        <v>378</v>
      </c>
      <c r="E603" t="s">
        <v>395</v>
      </c>
      <c r="F603" s="174" t="n">
        <v>2040</v>
      </c>
      <c r="G603" s="175" t="n">
        <v>31</v>
      </c>
      <c r="H603" s="176" t="n">
        <v>1013.09901411981</v>
      </c>
      <c r="I603" s="177" t="n">
        <v>4684909.04814757</v>
      </c>
      <c r="J603" s="178" t="str">
        <f>IF(I603&gt;0,H603/I603,0)</f>
      </c>
      <c r="K603" s="179" t="str">
        <f>1-EXP(-J603)</f>
      </c>
      <c r="L603" s="180" t="str">
        <f>IF(G603=30,1,M602)</f>
      </c>
      <c r="M603" s="181" t="str">
        <f>L603*(1-K603)</f>
      </c>
    </row>
    <row r="604">
      <c r="A604" t="s">
        <v>164</v>
      </c>
      <c r="B604" t="s">
        <v>115</v>
      </c>
      <c r="C604" s="32" t="s">
        <v>294</v>
      </c>
      <c r="D604" t="s">
        <v>378</v>
      </c>
      <c r="E604" t="s">
        <v>395</v>
      </c>
      <c r="F604" s="174" t="n">
        <v>2040</v>
      </c>
      <c r="G604" s="175" t="n">
        <v>32</v>
      </c>
      <c r="H604" s="176" t="n">
        <v>1052.8027273398</v>
      </c>
      <c r="I604" s="177" t="n">
        <v>4642385.94639844</v>
      </c>
      <c r="J604" s="178" t="str">
        <f>IF(I604&gt;0,H604/I604,0)</f>
      </c>
      <c r="K604" s="179" t="str">
        <f>1-EXP(-J604)</f>
      </c>
      <c r="L604" s="180" t="str">
        <f>IF(G604=30,1,M603)</f>
      </c>
      <c r="M604" s="181" t="str">
        <f>L604*(1-K604)</f>
      </c>
    </row>
    <row r="605">
      <c r="A605" t="s">
        <v>164</v>
      </c>
      <c r="B605" t="s">
        <v>115</v>
      </c>
      <c r="C605" s="32" t="s">
        <v>294</v>
      </c>
      <c r="D605" t="s">
        <v>378</v>
      </c>
      <c r="E605" t="s">
        <v>395</v>
      </c>
      <c r="F605" s="174" t="n">
        <v>2040</v>
      </c>
      <c r="G605" s="175" t="n">
        <v>33</v>
      </c>
      <c r="H605" s="176" t="n">
        <v>1168.85613955523</v>
      </c>
      <c r="I605" s="177" t="n">
        <v>4668424.93136933</v>
      </c>
      <c r="J605" s="178" t="str">
        <f>IF(I605&gt;0,H605/I605,0)</f>
      </c>
      <c r="K605" s="179" t="str">
        <f>1-EXP(-J605)</f>
      </c>
      <c r="L605" s="180" t="str">
        <f>IF(G605=30,1,M604)</f>
      </c>
      <c r="M605" s="181" t="str">
        <f>L605*(1-K605)</f>
      </c>
    </row>
    <row r="606">
      <c r="A606" t="s">
        <v>164</v>
      </c>
      <c r="B606" t="s">
        <v>115</v>
      </c>
      <c r="C606" s="32" t="s">
        <v>294</v>
      </c>
      <c r="D606" t="s">
        <v>378</v>
      </c>
      <c r="E606" t="s">
        <v>395</v>
      </c>
      <c r="F606" s="174" t="n">
        <v>2040</v>
      </c>
      <c r="G606" s="175" t="n">
        <v>34</v>
      </c>
      <c r="H606" s="176" t="n">
        <v>1218.33062618061</v>
      </c>
      <c r="I606" s="177" t="n">
        <v>4585273.43274885</v>
      </c>
      <c r="J606" s="178" t="str">
        <f>IF(I606&gt;0,H606/I606,0)</f>
      </c>
      <c r="K606" s="179" t="str">
        <f>1-EXP(-J606)</f>
      </c>
      <c r="L606" s="180" t="str">
        <f>IF(G606=30,1,M605)</f>
      </c>
      <c r="M606" s="181" t="str">
        <f>L606*(1-K606)</f>
      </c>
    </row>
    <row r="607">
      <c r="A607" t="s">
        <v>164</v>
      </c>
      <c r="B607" t="s">
        <v>115</v>
      </c>
      <c r="C607" s="32" t="s">
        <v>294</v>
      </c>
      <c r="D607" t="s">
        <v>378</v>
      </c>
      <c r="E607" t="s">
        <v>395</v>
      </c>
      <c r="F607" s="174" t="n">
        <v>2040</v>
      </c>
      <c r="G607" s="175" t="n">
        <v>35</v>
      </c>
      <c r="H607" s="176" t="n">
        <v>1595.96655348627</v>
      </c>
      <c r="I607" s="177" t="n">
        <v>4523885.33720306</v>
      </c>
      <c r="J607" s="178" t="str">
        <f>IF(I607&gt;0,H607/I607,0)</f>
      </c>
      <c r="K607" s="179" t="str">
        <f>1-EXP(-J607)</f>
      </c>
      <c r="L607" s="180" t="str">
        <f>IF(G607=30,1,M606)</f>
      </c>
      <c r="M607" s="181" t="str">
        <f>L607*(1-K607)</f>
      </c>
    </row>
    <row r="608">
      <c r="A608" t="s">
        <v>164</v>
      </c>
      <c r="B608" t="s">
        <v>115</v>
      </c>
      <c r="C608" s="32" t="s">
        <v>294</v>
      </c>
      <c r="D608" t="s">
        <v>378</v>
      </c>
      <c r="E608" t="s">
        <v>395</v>
      </c>
      <c r="F608" s="174" t="n">
        <v>2040</v>
      </c>
      <c r="G608" s="175" t="n">
        <v>36</v>
      </c>
      <c r="H608" s="176" t="n">
        <v>1722.4747798371</v>
      </c>
      <c r="I608" s="177" t="n">
        <v>4394561.2529298</v>
      </c>
      <c r="J608" s="178" t="str">
        <f>IF(I608&gt;0,H608/I608,0)</f>
      </c>
      <c r="K608" s="179" t="str">
        <f>1-EXP(-J608)</f>
      </c>
      <c r="L608" s="180" t="str">
        <f>IF(G608=30,1,M607)</f>
      </c>
      <c r="M608" s="181" t="str">
        <f>L608*(1-K608)</f>
      </c>
    </row>
    <row r="609">
      <c r="A609" t="s">
        <v>164</v>
      </c>
      <c r="B609" t="s">
        <v>115</v>
      </c>
      <c r="C609" s="32" t="s">
        <v>294</v>
      </c>
      <c r="D609" t="s">
        <v>378</v>
      </c>
      <c r="E609" t="s">
        <v>395</v>
      </c>
      <c r="F609" s="174" t="n">
        <v>2040</v>
      </c>
      <c r="G609" s="175" t="n">
        <v>37</v>
      </c>
      <c r="H609" s="176" t="n">
        <v>1830.67231233233</v>
      </c>
      <c r="I609" s="177" t="n">
        <v>4328209.71425877</v>
      </c>
      <c r="J609" s="178" t="str">
        <f>IF(I609&gt;0,H609/I609,0)</f>
      </c>
      <c r="K609" s="179" t="str">
        <f>1-EXP(-J609)</f>
      </c>
      <c r="L609" s="180" t="str">
        <f>IF(G609=30,1,M608)</f>
      </c>
      <c r="M609" s="181" t="str">
        <f>L609*(1-K609)</f>
      </c>
    </row>
    <row r="610">
      <c r="A610" t="s">
        <v>164</v>
      </c>
      <c r="B610" t="s">
        <v>115</v>
      </c>
      <c r="C610" s="32" t="s">
        <v>294</v>
      </c>
      <c r="D610" t="s">
        <v>378</v>
      </c>
      <c r="E610" t="s">
        <v>395</v>
      </c>
      <c r="F610" s="174" t="n">
        <v>2040</v>
      </c>
      <c r="G610" s="175" t="n">
        <v>38</v>
      </c>
      <c r="H610" s="176" t="n">
        <v>2122.32363626195</v>
      </c>
      <c r="I610" s="177" t="n">
        <v>4304504.38751544</v>
      </c>
      <c r="J610" s="178" t="str">
        <f>IF(I610&gt;0,H610/I610,0)</f>
      </c>
      <c r="K610" s="179" t="str">
        <f>1-EXP(-J610)</f>
      </c>
      <c r="L610" s="180" t="str">
        <f>IF(G610=30,1,M609)</f>
      </c>
      <c r="M610" s="181" t="str">
        <f>L610*(1-K610)</f>
      </c>
    </row>
    <row r="611">
      <c r="A611" t="s">
        <v>164</v>
      </c>
      <c r="B611" t="s">
        <v>115</v>
      </c>
      <c r="C611" s="32" t="s">
        <v>294</v>
      </c>
      <c r="D611" t="s">
        <v>378</v>
      </c>
      <c r="E611" t="s">
        <v>395</v>
      </c>
      <c r="F611" s="174" t="n">
        <v>2040</v>
      </c>
      <c r="G611" s="175" t="n">
        <v>39</v>
      </c>
      <c r="H611" s="176" t="n">
        <v>2285.39108423566</v>
      </c>
      <c r="I611" s="177" t="n">
        <v>4282535.7729619</v>
      </c>
      <c r="J611" s="178" t="str">
        <f>IF(I611&gt;0,H611/I611,0)</f>
      </c>
      <c r="K611" s="179" t="str">
        <f>1-EXP(-J611)</f>
      </c>
      <c r="L611" s="180" t="str">
        <f>IF(G611=30,1,M610)</f>
      </c>
      <c r="M611" s="181" t="str">
        <f>L611*(1-K611)</f>
      </c>
    </row>
    <row r="612">
      <c r="A612" t="s">
        <v>164</v>
      </c>
      <c r="B612" t="s">
        <v>115</v>
      </c>
      <c r="C612" s="32" t="s">
        <v>294</v>
      </c>
      <c r="D612" t="s">
        <v>378</v>
      </c>
      <c r="E612" t="s">
        <v>395</v>
      </c>
      <c r="F612" s="174" t="n">
        <v>2040</v>
      </c>
      <c r="G612" s="175" t="n">
        <v>40</v>
      </c>
      <c r="H612" s="176" t="n">
        <v>3057.35069158071</v>
      </c>
      <c r="I612" s="177" t="n">
        <v>4259954.91625627</v>
      </c>
      <c r="J612" s="178" t="str">
        <f>IF(I612&gt;0,H612/I612,0)</f>
      </c>
      <c r="K612" s="179" t="str">
        <f>1-EXP(-J612)</f>
      </c>
      <c r="L612" s="180" t="str">
        <f>IF(G612=30,1,M611)</f>
      </c>
      <c r="M612" s="181" t="str">
        <f>L612*(1-K612)</f>
      </c>
    </row>
    <row r="613">
      <c r="A613" t="s">
        <v>164</v>
      </c>
      <c r="B613" t="s">
        <v>115</v>
      </c>
      <c r="C613" s="32" t="s">
        <v>294</v>
      </c>
      <c r="D613" t="s">
        <v>378</v>
      </c>
      <c r="E613" t="s">
        <v>395</v>
      </c>
      <c r="F613" s="174" t="n">
        <v>2040</v>
      </c>
      <c r="G613" s="175" t="n">
        <v>41</v>
      </c>
      <c r="H613" s="176" t="n">
        <v>3310.88619658692</v>
      </c>
      <c r="I613" s="177" t="n">
        <v>4275555.11864722</v>
      </c>
      <c r="J613" s="178" t="str">
        <f>IF(I613&gt;0,H613/I613,0)</f>
      </c>
      <c r="K613" s="179" t="str">
        <f>1-EXP(-J613)</f>
      </c>
      <c r="L613" s="180" t="str">
        <f>IF(G613=30,1,M612)</f>
      </c>
      <c r="M613" s="181" t="str">
        <f>L613*(1-K613)</f>
      </c>
    </row>
    <row r="614">
      <c r="A614" t="s">
        <v>164</v>
      </c>
      <c r="B614" t="s">
        <v>115</v>
      </c>
      <c r="C614" s="32" t="s">
        <v>294</v>
      </c>
      <c r="D614" t="s">
        <v>378</v>
      </c>
      <c r="E614" t="s">
        <v>395</v>
      </c>
      <c r="F614" s="174" t="n">
        <v>2040</v>
      </c>
      <c r="G614" s="175" t="n">
        <v>42</v>
      </c>
      <c r="H614" s="176" t="n">
        <v>3660.28654236536</v>
      </c>
      <c r="I614" s="177" t="n">
        <v>4330018.33363986</v>
      </c>
      <c r="J614" s="178" t="str">
        <f>IF(I614&gt;0,H614/I614,0)</f>
      </c>
      <c r="K614" s="179" t="str">
        <f>1-EXP(-J614)</f>
      </c>
      <c r="L614" s="180" t="str">
        <f>IF(G614=30,1,M613)</f>
      </c>
      <c r="M614" s="181" t="str">
        <f>L614*(1-K614)</f>
      </c>
    </row>
    <row r="615">
      <c r="A615" t="s">
        <v>164</v>
      </c>
      <c r="B615" t="s">
        <v>115</v>
      </c>
      <c r="C615" s="32" t="s">
        <v>294</v>
      </c>
      <c r="D615" t="s">
        <v>378</v>
      </c>
      <c r="E615" t="s">
        <v>395</v>
      </c>
      <c r="F615" s="174" t="n">
        <v>2040</v>
      </c>
      <c r="G615" s="175" t="n">
        <v>43</v>
      </c>
      <c r="H615" s="176" t="n">
        <v>4337.40911496655</v>
      </c>
      <c r="I615" s="177" t="n">
        <v>4460431.66746717</v>
      </c>
      <c r="J615" s="178" t="str">
        <f>IF(I615&gt;0,H615/I615,0)</f>
      </c>
      <c r="K615" s="179" t="str">
        <f>1-EXP(-J615)</f>
      </c>
      <c r="L615" s="180" t="str">
        <f>IF(G615=30,1,M614)</f>
      </c>
      <c r="M615" s="181" t="str">
        <f>L615*(1-K615)</f>
      </c>
    </row>
    <row r="616">
      <c r="A616" t="s">
        <v>164</v>
      </c>
      <c r="B616" t="s">
        <v>115</v>
      </c>
      <c r="C616" s="32" t="s">
        <v>294</v>
      </c>
      <c r="D616" t="s">
        <v>378</v>
      </c>
      <c r="E616" t="s">
        <v>395</v>
      </c>
      <c r="F616" s="174" t="n">
        <v>2040</v>
      </c>
      <c r="G616" s="175" t="n">
        <v>44</v>
      </c>
      <c r="H616" s="176" t="n">
        <v>4689.83244015738</v>
      </c>
      <c r="I616" s="177" t="n">
        <v>4412113.50083845</v>
      </c>
      <c r="J616" s="178" t="str">
        <f>IF(I616&gt;0,H616/I616,0)</f>
      </c>
      <c r="K616" s="179" t="str">
        <f>1-EXP(-J616)</f>
      </c>
      <c r="L616" s="180" t="str">
        <f>IF(G616=30,1,M615)</f>
      </c>
      <c r="M616" s="181" t="str">
        <f>L616*(1-K616)</f>
      </c>
    </row>
    <row r="617">
      <c r="A617" t="s">
        <v>164</v>
      </c>
      <c r="B617" t="s">
        <v>115</v>
      </c>
      <c r="C617" s="32" t="s">
        <v>294</v>
      </c>
      <c r="D617" t="s">
        <v>378</v>
      </c>
      <c r="E617" t="s">
        <v>395</v>
      </c>
      <c r="F617" s="174" t="n">
        <v>2040</v>
      </c>
      <c r="G617" s="175" t="n">
        <v>45</v>
      </c>
      <c r="H617" s="176" t="n">
        <v>5926.55803099154</v>
      </c>
      <c r="I617" s="177" t="n">
        <v>4333598.59196439</v>
      </c>
      <c r="J617" s="178" t="str">
        <f>IF(I617&gt;0,H617/I617,0)</f>
      </c>
      <c r="K617" s="179" t="str">
        <f>1-EXP(-J617)</f>
      </c>
      <c r="L617" s="180" t="str">
        <f>IF(G617=30,1,M616)</f>
      </c>
      <c r="M617" s="181" t="str">
        <f>L617*(1-K617)</f>
      </c>
    </row>
    <row r="618">
      <c r="A618" t="s">
        <v>164</v>
      </c>
      <c r="B618" t="s">
        <v>115</v>
      </c>
      <c r="C618" s="32" t="s">
        <v>294</v>
      </c>
      <c r="D618" t="s">
        <v>378</v>
      </c>
      <c r="E618" t="s">
        <v>395</v>
      </c>
      <c r="F618" s="174" t="n">
        <v>2040</v>
      </c>
      <c r="G618" s="175" t="n">
        <v>46</v>
      </c>
      <c r="H618" s="176" t="n">
        <v>6225.69785685976</v>
      </c>
      <c r="I618" s="177" t="n">
        <v>4268992.34957894</v>
      </c>
      <c r="J618" s="178" t="str">
        <f>IF(I618&gt;0,H618/I618,0)</f>
      </c>
      <c r="K618" s="179" t="str">
        <f>1-EXP(-J618)</f>
      </c>
      <c r="L618" s="180" t="str">
        <f>IF(G618=30,1,M617)</f>
      </c>
      <c r="M618" s="181" t="str">
        <f>L618*(1-K618)</f>
      </c>
    </row>
    <row r="619">
      <c r="A619" t="s">
        <v>164</v>
      </c>
      <c r="B619" t="s">
        <v>115</v>
      </c>
      <c r="C619" s="32" t="s">
        <v>294</v>
      </c>
      <c r="D619" t="s">
        <v>378</v>
      </c>
      <c r="E619" t="s">
        <v>395</v>
      </c>
      <c r="F619" s="174" t="n">
        <v>2040</v>
      </c>
      <c r="G619" s="175" t="n">
        <v>47</v>
      </c>
      <c r="H619" s="176" t="n">
        <v>6754.08253201224</v>
      </c>
      <c r="I619" s="177" t="n">
        <v>4208222.58573745</v>
      </c>
      <c r="J619" s="178" t="str">
        <f>IF(I619&gt;0,H619/I619,0)</f>
      </c>
      <c r="K619" s="179" t="str">
        <f>1-EXP(-J619)</f>
      </c>
      <c r="L619" s="180" t="str">
        <f>IF(G619=30,1,M618)</f>
      </c>
      <c r="M619" s="181" t="str">
        <f>L619*(1-K619)</f>
      </c>
    </row>
    <row r="620">
      <c r="A620" t="s">
        <v>164</v>
      </c>
      <c r="B620" t="s">
        <v>115</v>
      </c>
      <c r="C620" s="32" t="s">
        <v>294</v>
      </c>
      <c r="D620" t="s">
        <v>378</v>
      </c>
      <c r="E620" t="s">
        <v>395</v>
      </c>
      <c r="F620" s="174" t="n">
        <v>2040</v>
      </c>
      <c r="G620" s="175" t="n">
        <v>48</v>
      </c>
      <c r="H620" s="176" t="n">
        <v>7473.52045712462</v>
      </c>
      <c r="I620" s="177" t="n">
        <v>4235522.45701477</v>
      </c>
      <c r="J620" s="178" t="str">
        <f>IF(I620&gt;0,H620/I620,0)</f>
      </c>
      <c r="K620" s="179" t="str">
        <f>1-EXP(-J620)</f>
      </c>
      <c r="L620" s="180" t="str">
        <f>IF(G620=30,1,M619)</f>
      </c>
      <c r="M620" s="181" t="str">
        <f>L620*(1-K620)</f>
      </c>
    </row>
    <row r="621">
      <c r="A621" t="s">
        <v>164</v>
      </c>
      <c r="B621" t="s">
        <v>115</v>
      </c>
      <c r="C621" s="32" t="s">
        <v>294</v>
      </c>
      <c r="D621" t="s">
        <v>378</v>
      </c>
      <c r="E621" t="s">
        <v>395</v>
      </c>
      <c r="F621" s="174" t="n">
        <v>2040</v>
      </c>
      <c r="G621" s="175" t="n">
        <v>49</v>
      </c>
      <c r="H621" s="176" t="n">
        <v>8236.46392585175</v>
      </c>
      <c r="I621" s="177" t="n">
        <v>4242316.72750893</v>
      </c>
      <c r="J621" s="178" t="str">
        <f>IF(I621&gt;0,H621/I621,0)</f>
      </c>
      <c r="K621" s="179" t="str">
        <f>1-EXP(-J621)</f>
      </c>
      <c r="L621" s="180" t="str">
        <f>IF(G621=30,1,M620)</f>
      </c>
      <c r="M621" s="181" t="str">
        <f>L621*(1-K621)</f>
      </c>
    </row>
    <row r="622">
      <c r="A622" t="s">
        <v>164</v>
      </c>
      <c r="B622" t="s">
        <v>115</v>
      </c>
      <c r="C622" s="32" t="s">
        <v>294</v>
      </c>
      <c r="D622" t="s">
        <v>378</v>
      </c>
      <c r="E622" t="s">
        <v>395</v>
      </c>
      <c r="F622" s="174" t="n">
        <v>2040</v>
      </c>
      <c r="G622" s="175" t="n">
        <v>50</v>
      </c>
      <c r="H622" s="176" t="n">
        <v>12860.7464046142</v>
      </c>
      <c r="I622" s="177" t="n">
        <v>6239919.17335562</v>
      </c>
      <c r="J622" s="178" t="str">
        <f>IF(I622&gt;0,H622/I622,0)</f>
      </c>
      <c r="K622" s="179" t="str">
        <f>1-EXP(-J622)</f>
      </c>
      <c r="L622" s="180" t="str">
        <f>IF(G622=30,1,M621)</f>
      </c>
      <c r="M622" s="181" t="str">
        <f>L622*(1-K622)</f>
      </c>
    </row>
    <row r="623">
      <c r="A623" t="s">
        <v>164</v>
      </c>
      <c r="B623" t="s">
        <v>115</v>
      </c>
      <c r="C623" s="32" t="s">
        <v>294</v>
      </c>
      <c r="D623" t="s">
        <v>378</v>
      </c>
      <c r="E623" t="s">
        <v>395</v>
      </c>
      <c r="F623" s="174" t="n">
        <v>2040</v>
      </c>
      <c r="G623" s="175" t="n">
        <v>51</v>
      </c>
      <c r="H623" s="176" t="n">
        <v>10018.6473397714</v>
      </c>
      <c r="I623" s="177" t="n">
        <v>4176568.10178898</v>
      </c>
      <c r="J623" s="178" t="str">
        <f>IF(I623&gt;0,H623/I623,0)</f>
      </c>
      <c r="K623" s="179" t="str">
        <f>1-EXP(-J623)</f>
      </c>
      <c r="L623" s="180" t="str">
        <f>IF(G623=30,1,M622)</f>
      </c>
      <c r="M623" s="181" t="str">
        <f>L623*(1-K623)</f>
      </c>
    </row>
    <row r="624">
      <c r="A624" t="s">
        <v>164</v>
      </c>
      <c r="B624" t="s">
        <v>115</v>
      </c>
      <c r="C624" s="32" t="s">
        <v>294</v>
      </c>
      <c r="D624" t="s">
        <v>378</v>
      </c>
      <c r="E624" t="s">
        <v>395</v>
      </c>
      <c r="F624" s="174" t="n">
        <v>2040</v>
      </c>
      <c r="G624" s="175" t="n">
        <v>52</v>
      </c>
      <c r="H624" s="176" t="n">
        <v>10920.388658315</v>
      </c>
      <c r="I624" s="177" t="n">
        <v>4146226.36366755</v>
      </c>
      <c r="J624" s="178" t="str">
        <f>IF(I624&gt;0,H624/I624,0)</f>
      </c>
      <c r="K624" s="179" t="str">
        <f>1-EXP(-J624)</f>
      </c>
      <c r="L624" s="180" t="str">
        <f>IF(G624=30,1,M623)</f>
      </c>
      <c r="M624" s="181" t="str">
        <f>L624*(1-K624)</f>
      </c>
    </row>
    <row r="625">
      <c r="A625" t="s">
        <v>164</v>
      </c>
      <c r="B625" t="s">
        <v>115</v>
      </c>
      <c r="C625" s="32" t="s">
        <v>294</v>
      </c>
      <c r="D625" t="s">
        <v>378</v>
      </c>
      <c r="E625" t="s">
        <v>395</v>
      </c>
      <c r="F625" s="174" t="n">
        <v>2040</v>
      </c>
      <c r="G625" s="175" t="n">
        <v>53</v>
      </c>
      <c r="H625" s="176" t="n">
        <v>11560.5733214892</v>
      </c>
      <c r="I625" s="177" t="n">
        <v>4003919.29530658</v>
      </c>
      <c r="J625" s="178" t="str">
        <f>IF(I625&gt;0,H625/I625,0)</f>
      </c>
      <c r="K625" s="179" t="str">
        <f>1-EXP(-J625)</f>
      </c>
      <c r="L625" s="180" t="str">
        <f>IF(G625=30,1,M624)</f>
      </c>
      <c r="M625" s="181" t="str">
        <f>L625*(1-K625)</f>
      </c>
    </row>
    <row r="626">
      <c r="A626" t="s">
        <v>164</v>
      </c>
      <c r="B626" t="s">
        <v>115</v>
      </c>
      <c r="C626" s="32" t="s">
        <v>294</v>
      </c>
      <c r="D626" t="s">
        <v>378</v>
      </c>
      <c r="E626" t="s">
        <v>395</v>
      </c>
      <c r="F626" s="174" t="n">
        <v>2040</v>
      </c>
      <c r="G626" s="175" t="n">
        <v>54</v>
      </c>
      <c r="H626" s="176" t="n">
        <v>12489.0078227725</v>
      </c>
      <c r="I626" s="177" t="n">
        <v>3954159.691427</v>
      </c>
      <c r="J626" s="178" t="str">
        <f>IF(I626&gt;0,H626/I626,0)</f>
      </c>
      <c r="K626" s="179" t="str">
        <f>1-EXP(-J626)</f>
      </c>
      <c r="L626" s="180" t="str">
        <f>IF(G626=30,1,M625)</f>
      </c>
      <c r="M626" s="181" t="str">
        <f>L626*(1-K626)</f>
      </c>
    </row>
    <row r="627">
      <c r="A627" t="s">
        <v>164</v>
      </c>
      <c r="B627" t="s">
        <v>115</v>
      </c>
      <c r="C627" s="32" t="s">
        <v>294</v>
      </c>
      <c r="D627" t="s">
        <v>378</v>
      </c>
      <c r="E627" t="s">
        <v>395</v>
      </c>
      <c r="F627" s="174" t="n">
        <v>2040</v>
      </c>
      <c r="G627" s="175" t="n">
        <v>55</v>
      </c>
      <c r="H627" s="176" t="n">
        <v>13680.9802807103</v>
      </c>
      <c r="I627" s="177" t="n">
        <v>3991772.31703931</v>
      </c>
      <c r="J627" s="178" t="str">
        <f>IF(I627&gt;0,H627/I627,0)</f>
      </c>
      <c r="K627" s="179" t="str">
        <f>1-EXP(-J627)</f>
      </c>
      <c r="L627" s="180" t="str">
        <f>IF(G627=30,1,M626)</f>
      </c>
      <c r="M627" s="181" t="str">
        <f>L627*(1-K627)</f>
      </c>
    </row>
    <row r="628">
      <c r="A628" t="s">
        <v>164</v>
      </c>
      <c r="B628" t="s">
        <v>115</v>
      </c>
      <c r="C628" s="32" t="s">
        <v>294</v>
      </c>
      <c r="D628" t="s">
        <v>378</v>
      </c>
      <c r="E628" t="s">
        <v>395</v>
      </c>
      <c r="F628" s="174" t="n">
        <v>2040</v>
      </c>
      <c r="G628" s="175" t="n">
        <v>56</v>
      </c>
      <c r="H628" s="176" t="n">
        <v>14879.6589072985</v>
      </c>
      <c r="I628" s="177" t="n">
        <v>4050830.92926067</v>
      </c>
      <c r="J628" s="178" t="str">
        <f>IF(I628&gt;0,H628/I628,0)</f>
      </c>
      <c r="K628" s="179" t="str">
        <f>1-EXP(-J628)</f>
      </c>
      <c r="L628" s="180" t="str">
        <f>IF(G628=30,1,M627)</f>
      </c>
      <c r="M628" s="181" t="str">
        <f>L628*(1-K628)</f>
      </c>
    </row>
    <row r="629">
      <c r="A629" t="s">
        <v>164</v>
      </c>
      <c r="B629" t="s">
        <v>115</v>
      </c>
      <c r="C629" s="32" t="s">
        <v>294</v>
      </c>
      <c r="D629" t="s">
        <v>378</v>
      </c>
      <c r="E629" t="s">
        <v>395</v>
      </c>
      <c r="F629" s="174" t="n">
        <v>2040</v>
      </c>
      <c r="G629" s="175" t="n">
        <v>57</v>
      </c>
      <c r="H629" s="176" t="n">
        <v>16113.9679702284</v>
      </c>
      <c r="I629" s="177" t="n">
        <v>4005579.66616387</v>
      </c>
      <c r="J629" s="178" t="str">
        <f>IF(I629&gt;0,H629/I629,0)</f>
      </c>
      <c r="K629" s="179" t="str">
        <f>1-EXP(-J629)</f>
      </c>
      <c r="L629" s="180" t="str">
        <f>IF(G629=30,1,M628)</f>
      </c>
      <c r="M629" s="181" t="str">
        <f>L629*(1-K629)</f>
      </c>
    </row>
    <row r="630">
      <c r="A630" t="s">
        <v>164</v>
      </c>
      <c r="B630" t="s">
        <v>115</v>
      </c>
      <c r="C630" s="32" t="s">
        <v>294</v>
      </c>
      <c r="D630" t="s">
        <v>378</v>
      </c>
      <c r="E630" t="s">
        <v>395</v>
      </c>
      <c r="F630" s="174" t="n">
        <v>2040</v>
      </c>
      <c r="G630" s="175" t="n">
        <v>58</v>
      </c>
      <c r="H630" s="176" t="n">
        <v>17004.5330031835</v>
      </c>
      <c r="I630" s="177" t="n">
        <v>3853694.97534802</v>
      </c>
      <c r="J630" s="178" t="str">
        <f>IF(I630&gt;0,H630/I630,0)</f>
      </c>
      <c r="K630" s="179" t="str">
        <f>1-EXP(-J630)</f>
      </c>
      <c r="L630" s="180" t="str">
        <f>IF(G630=30,1,M629)</f>
      </c>
      <c r="M630" s="181" t="str">
        <f>L630*(1-K630)</f>
      </c>
    </row>
    <row r="631">
      <c r="A631" t="s">
        <v>164</v>
      </c>
      <c r="B631" t="s">
        <v>115</v>
      </c>
      <c r="C631" s="32" t="s">
        <v>294</v>
      </c>
      <c r="D631" t="s">
        <v>378</v>
      </c>
      <c r="E631" t="s">
        <v>395</v>
      </c>
      <c r="F631" s="174" t="n">
        <v>2040</v>
      </c>
      <c r="G631" s="175" t="n">
        <v>59</v>
      </c>
      <c r="H631" s="176" t="n">
        <v>18187.7720610832</v>
      </c>
      <c r="I631" s="177" t="n">
        <v>3759153.8872646</v>
      </c>
      <c r="J631" s="178" t="str">
        <f>IF(I631&gt;0,H631/I631,0)</f>
      </c>
      <c r="K631" s="179" t="str">
        <f>1-EXP(-J631)</f>
      </c>
      <c r="L631" s="180" t="str">
        <f>IF(G631=30,1,M630)</f>
      </c>
      <c r="M631" s="181" t="str">
        <f>L631*(1-K631)</f>
      </c>
    </row>
    <row r="632">
      <c r="A632" t="s">
        <v>164</v>
      </c>
      <c r="B632" t="s">
        <v>115</v>
      </c>
      <c r="C632" s="32" t="s">
        <v>294</v>
      </c>
      <c r="D632" t="s">
        <v>378</v>
      </c>
      <c r="E632" t="s">
        <v>395</v>
      </c>
      <c r="F632" s="174" t="n">
        <v>2040</v>
      </c>
      <c r="G632" s="175" t="n">
        <v>60</v>
      </c>
      <c r="H632" s="176" t="n">
        <v>19492.4400321299</v>
      </c>
      <c r="I632" s="177" t="n">
        <v>3677792.16323619</v>
      </c>
      <c r="J632" s="178" t="str">
        <f>IF(I632&gt;0,H632/I632,0)</f>
      </c>
      <c r="K632" s="179" t="str">
        <f>1-EXP(-J632)</f>
      </c>
      <c r="L632" s="180" t="str">
        <f>IF(G632=30,1,M631)</f>
      </c>
      <c r="M632" s="181" t="str">
        <f>L632*(1-K632)</f>
      </c>
    </row>
    <row r="633">
      <c r="A633" t="s">
        <v>164</v>
      </c>
      <c r="B633" t="s">
        <v>115</v>
      </c>
      <c r="C633" s="32" t="s">
        <v>294</v>
      </c>
      <c r="D633" t="s">
        <v>378</v>
      </c>
      <c r="E633" t="s">
        <v>395</v>
      </c>
      <c r="F633" s="174" t="n">
        <v>2040</v>
      </c>
      <c r="G633" s="175" t="n">
        <v>61</v>
      </c>
      <c r="H633" s="176" t="n">
        <v>20515.9189794615</v>
      </c>
      <c r="I633" s="177" t="n">
        <v>3589792.76711973</v>
      </c>
      <c r="J633" s="178" t="str">
        <f>IF(I633&gt;0,H633/I633,0)</f>
      </c>
      <c r="K633" s="179" t="str">
        <f>1-EXP(-J633)</f>
      </c>
      <c r="L633" s="180" t="str">
        <f>IF(G633=30,1,M632)</f>
      </c>
      <c r="M633" s="181" t="str">
        <f>L633*(1-K633)</f>
      </c>
    </row>
    <row r="634">
      <c r="A634" t="s">
        <v>164</v>
      </c>
      <c r="B634" t="s">
        <v>115</v>
      </c>
      <c r="C634" s="32" t="s">
        <v>294</v>
      </c>
      <c r="D634" t="s">
        <v>378</v>
      </c>
      <c r="E634" t="s">
        <v>395</v>
      </c>
      <c r="F634" s="174" t="n">
        <v>2040</v>
      </c>
      <c r="G634" s="175" t="n">
        <v>62</v>
      </c>
      <c r="H634" s="176" t="n">
        <v>21897.5843583977</v>
      </c>
      <c r="I634" s="177" t="n">
        <v>3483110.57891224</v>
      </c>
      <c r="J634" s="178" t="str">
        <f>IF(I634&gt;0,H634/I634,0)</f>
      </c>
      <c r="K634" s="179" t="str">
        <f>1-EXP(-J634)</f>
      </c>
      <c r="L634" s="180" t="str">
        <f>IF(G634=30,1,M633)</f>
      </c>
      <c r="M634" s="181" t="str">
        <f>L634*(1-K634)</f>
      </c>
    </row>
    <row r="635">
      <c r="A635" t="s">
        <v>164</v>
      </c>
      <c r="B635" t="s">
        <v>115</v>
      </c>
      <c r="C635" s="32" t="s">
        <v>294</v>
      </c>
      <c r="D635" t="s">
        <v>378</v>
      </c>
      <c r="E635" t="s">
        <v>395</v>
      </c>
      <c r="F635" s="174" t="n">
        <v>2040</v>
      </c>
      <c r="G635" s="175" t="n">
        <v>63</v>
      </c>
      <c r="H635" s="176" t="n">
        <v>23457.4799879531</v>
      </c>
      <c r="I635" s="177" t="n">
        <v>3389762.12066456</v>
      </c>
      <c r="J635" s="178" t="str">
        <f>IF(I635&gt;0,H635/I635,0)</f>
      </c>
      <c r="K635" s="179" t="str">
        <f>1-EXP(-J635)</f>
      </c>
      <c r="L635" s="180" t="str">
        <f>IF(G635=30,1,M634)</f>
      </c>
      <c r="M635" s="181" t="str">
        <f>L635*(1-K635)</f>
      </c>
    </row>
    <row r="636">
      <c r="A636" t="s">
        <v>164</v>
      </c>
      <c r="B636" t="s">
        <v>115</v>
      </c>
      <c r="C636" s="32" t="s">
        <v>294</v>
      </c>
      <c r="D636" t="s">
        <v>378</v>
      </c>
      <c r="E636" t="s">
        <v>395</v>
      </c>
      <c r="F636" s="174" t="n">
        <v>2040</v>
      </c>
      <c r="G636" s="175" t="n">
        <v>64</v>
      </c>
      <c r="H636" s="176" t="n">
        <v>24970.106966222</v>
      </c>
      <c r="I636" s="177" t="n">
        <v>3284476.48489776</v>
      </c>
      <c r="J636" s="178" t="str">
        <f>IF(I636&gt;0,H636/I636,0)</f>
      </c>
      <c r="K636" s="179" t="str">
        <f>1-EXP(-J636)</f>
      </c>
      <c r="L636" s="180" t="str">
        <f>IF(G636=30,1,M635)</f>
      </c>
      <c r="M636" s="181" t="str">
        <f>L636*(1-K636)</f>
      </c>
    </row>
    <row r="637">
      <c r="A637" t="s">
        <v>164</v>
      </c>
      <c r="B637" t="s">
        <v>115</v>
      </c>
      <c r="C637" s="32" t="s">
        <v>294</v>
      </c>
      <c r="D637" t="s">
        <v>378</v>
      </c>
      <c r="E637" t="s">
        <v>395</v>
      </c>
      <c r="F637" s="174" t="n">
        <v>2040</v>
      </c>
      <c r="G637" s="175" t="n">
        <v>65</v>
      </c>
      <c r="H637" s="176" t="n">
        <v>25433.8015534558</v>
      </c>
      <c r="I637" s="177" t="n">
        <v>3176867.07791231</v>
      </c>
      <c r="J637" s="178" t="str">
        <f>IF(I637&gt;0,H637/I637,0)</f>
      </c>
      <c r="K637" s="179" t="str">
        <f>1-EXP(-J637)</f>
      </c>
      <c r="L637" s="180" t="str">
        <f>IF(G637=30,1,M636)</f>
      </c>
      <c r="M637" s="181" t="str">
        <f>L637*(1-K637)</f>
      </c>
    </row>
    <row r="638">
      <c r="A638" t="s">
        <v>164</v>
      </c>
      <c r="B638" t="s">
        <v>115</v>
      </c>
      <c r="C638" s="32" t="s">
        <v>294</v>
      </c>
      <c r="D638" t="s">
        <v>378</v>
      </c>
      <c r="E638" t="s">
        <v>395</v>
      </c>
      <c r="F638" s="174" t="n">
        <v>2040</v>
      </c>
      <c r="G638" s="175" t="n">
        <v>66</v>
      </c>
      <c r="H638" s="176" t="n">
        <v>26365.9532346595</v>
      </c>
      <c r="I638" s="177" t="n">
        <v>3044751.40607668</v>
      </c>
      <c r="J638" s="178" t="str">
        <f>IF(I638&gt;0,H638/I638,0)</f>
      </c>
      <c r="K638" s="179" t="str">
        <f>1-EXP(-J638)</f>
      </c>
      <c r="L638" s="180" t="str">
        <f>IF(G638=30,1,M637)</f>
      </c>
      <c r="M638" s="181" t="str">
        <f>L638*(1-K638)</f>
      </c>
    </row>
    <row r="639">
      <c r="A639" t="s">
        <v>164</v>
      </c>
      <c r="B639" t="s">
        <v>115</v>
      </c>
      <c r="C639" s="32" t="s">
        <v>294</v>
      </c>
      <c r="D639" t="s">
        <v>378</v>
      </c>
      <c r="E639" t="s">
        <v>395</v>
      </c>
      <c r="F639" s="174" t="n">
        <v>2040</v>
      </c>
      <c r="G639" s="175" t="n">
        <v>67</v>
      </c>
      <c r="H639" s="176" t="n">
        <v>28225.6465411889</v>
      </c>
      <c r="I639" s="177" t="n">
        <v>2962376.51001128</v>
      </c>
      <c r="J639" s="178" t="str">
        <f>IF(I639&gt;0,H639/I639,0)</f>
      </c>
      <c r="K639" s="179" t="str">
        <f>1-EXP(-J639)</f>
      </c>
      <c r="L639" s="180" t="str">
        <f>IF(G639=30,1,M638)</f>
      </c>
      <c r="M639" s="181" t="str">
        <f>L639*(1-K639)</f>
      </c>
    </row>
    <row r="640">
      <c r="A640" t="s">
        <v>164</v>
      </c>
      <c r="B640" t="s">
        <v>115</v>
      </c>
      <c r="C640" s="32" t="s">
        <v>294</v>
      </c>
      <c r="D640" t="s">
        <v>378</v>
      </c>
      <c r="E640" t="s">
        <v>395</v>
      </c>
      <c r="F640" s="174" t="n">
        <v>2040</v>
      </c>
      <c r="G640" s="175" t="n">
        <v>68</v>
      </c>
      <c r="H640" s="176" t="n">
        <v>28769.1802305434</v>
      </c>
      <c r="I640" s="177" t="n">
        <v>2740442.46462583</v>
      </c>
      <c r="J640" s="178" t="str">
        <f>IF(I640&gt;0,H640/I640,0)</f>
      </c>
      <c r="K640" s="179" t="str">
        <f>1-EXP(-J640)</f>
      </c>
      <c r="L640" s="180" t="str">
        <f>IF(G640=30,1,M639)</f>
      </c>
      <c r="M640" s="181" t="str">
        <f>L640*(1-K640)</f>
      </c>
    </row>
    <row r="641">
      <c r="A641" t="s">
        <v>164</v>
      </c>
      <c r="B641" t="s">
        <v>115</v>
      </c>
      <c r="C641" s="32" t="s">
        <v>294</v>
      </c>
      <c r="D641" t="s">
        <v>378</v>
      </c>
      <c r="E641" t="s">
        <v>395</v>
      </c>
      <c r="F641" s="174" t="n">
        <v>2040</v>
      </c>
      <c r="G641" s="175" t="n">
        <v>69</v>
      </c>
      <c r="H641" s="176" t="n">
        <v>30296.4062037818</v>
      </c>
      <c r="I641" s="177" t="n">
        <v>2620459.24508101</v>
      </c>
      <c r="J641" s="178" t="str">
        <f>IF(I641&gt;0,H641/I641,0)</f>
      </c>
      <c r="K641" s="179" t="str">
        <f>1-EXP(-J641)</f>
      </c>
      <c r="L641" s="180" t="str">
        <f>IF(G641=30,1,M640)</f>
      </c>
      <c r="M641" s="181" t="str">
        <f>L641*(1-K641)</f>
      </c>
    </row>
    <row r="642">
      <c r="A642" t="s">
        <v>164</v>
      </c>
      <c r="B642" t="s">
        <v>115</v>
      </c>
      <c r="C642" s="32" t="s">
        <v>294</v>
      </c>
      <c r="D642" t="s">
        <v>378</v>
      </c>
      <c r="E642" t="s">
        <v>395</v>
      </c>
      <c r="F642" s="174" t="n">
        <v>2041</v>
      </c>
      <c r="G642" s="175" t="n">
        <v>30</v>
      </c>
      <c r="H642" s="176" t="n">
        <v>823.385986495287</v>
      </c>
      <c r="I642" s="177" t="n">
        <v>4884143.36349233</v>
      </c>
      <c r="J642" s="178" t="str">
        <f>IF(I642&gt;0,H642/I642,0)</f>
      </c>
      <c r="K642" s="179" t="str">
        <f>1-EXP(-J642)</f>
      </c>
      <c r="L642" s="180" t="str">
        <f>IF(G642=30,1,M641)</f>
      </c>
      <c r="M642" s="181" t="str">
        <f>L642*(1-K642)</f>
      </c>
    </row>
    <row r="643">
      <c r="A643" t="s">
        <v>164</v>
      </c>
      <c r="B643" t="s">
        <v>115</v>
      </c>
      <c r="C643" s="32" t="s">
        <v>294</v>
      </c>
      <c r="D643" t="s">
        <v>378</v>
      </c>
      <c r="E643" t="s">
        <v>395</v>
      </c>
      <c r="F643" s="174" t="n">
        <v>2041</v>
      </c>
      <c r="G643" s="175" t="n">
        <v>31</v>
      </c>
      <c r="H643" s="176" t="n">
        <v>1030.96695123548</v>
      </c>
      <c r="I643" s="177" t="n">
        <v>4750159.00469183</v>
      </c>
      <c r="J643" s="178" t="str">
        <f>IF(I643&gt;0,H643/I643,0)</f>
      </c>
      <c r="K643" s="179" t="str">
        <f>1-EXP(-J643)</f>
      </c>
      <c r="L643" s="180" t="str">
        <f>IF(G643=30,1,M642)</f>
      </c>
      <c r="M643" s="181" t="str">
        <f>L643*(1-K643)</f>
      </c>
    </row>
    <row r="644">
      <c r="A644" t="s">
        <v>164</v>
      </c>
      <c r="B644" t="s">
        <v>115</v>
      </c>
      <c r="C644" s="32" t="s">
        <v>294</v>
      </c>
      <c r="D644" t="s">
        <v>378</v>
      </c>
      <c r="E644" t="s">
        <v>395</v>
      </c>
      <c r="F644" s="174" t="n">
        <v>2041</v>
      </c>
      <c r="G644" s="175" t="n">
        <v>32</v>
      </c>
      <c r="H644" s="176" t="n">
        <v>1064.27246882642</v>
      </c>
      <c r="I644" s="177" t="n">
        <v>4679448.45074477</v>
      </c>
      <c r="J644" s="178" t="str">
        <f>IF(I644&gt;0,H644/I644,0)</f>
      </c>
      <c r="K644" s="179" t="str">
        <f>1-EXP(-J644)</f>
      </c>
      <c r="L644" s="180" t="str">
        <f>IF(G644=30,1,M643)</f>
      </c>
      <c r="M644" s="181" t="str">
        <f>L644*(1-K644)</f>
      </c>
    </row>
    <row r="645">
      <c r="A645" t="s">
        <v>164</v>
      </c>
      <c r="B645" t="s">
        <v>115</v>
      </c>
      <c r="C645" s="32" t="s">
        <v>294</v>
      </c>
      <c r="D645" t="s">
        <v>378</v>
      </c>
      <c r="E645" t="s">
        <v>395</v>
      </c>
      <c r="F645" s="174" t="n">
        <v>2041</v>
      </c>
      <c r="G645" s="175" t="n">
        <v>33</v>
      </c>
      <c r="H645" s="176" t="n">
        <v>1112.19935162299</v>
      </c>
      <c r="I645" s="177" t="n">
        <v>4636754.15184245</v>
      </c>
      <c r="J645" s="178" t="str">
        <f>IF(I645&gt;0,H645/I645,0)</f>
      </c>
      <c r="K645" s="179" t="str">
        <f>1-EXP(-J645)</f>
      </c>
      <c r="L645" s="180" t="str">
        <f>IF(G645=30,1,M644)</f>
      </c>
      <c r="M645" s="181" t="str">
        <f>L645*(1-K645)</f>
      </c>
    </row>
    <row r="646">
      <c r="A646" t="s">
        <v>164</v>
      </c>
      <c r="B646" t="s">
        <v>115</v>
      </c>
      <c r="C646" s="32" t="s">
        <v>294</v>
      </c>
      <c r="D646" t="s">
        <v>378</v>
      </c>
      <c r="E646" t="s">
        <v>395</v>
      </c>
      <c r="F646" s="174" t="n">
        <v>2041</v>
      </c>
      <c r="G646" s="175" t="n">
        <v>34</v>
      </c>
      <c r="H646" s="176" t="n">
        <v>1240.30001018325</v>
      </c>
      <c r="I646" s="177" t="n">
        <v>4662447.41249824</v>
      </c>
      <c r="J646" s="178" t="str">
        <f>IF(I646&gt;0,H646/I646,0)</f>
      </c>
      <c r="K646" s="179" t="str">
        <f>1-EXP(-J646)</f>
      </c>
      <c r="L646" s="180" t="str">
        <f>IF(G646=30,1,M645)</f>
      </c>
      <c r="M646" s="181" t="str">
        <f>L646*(1-K646)</f>
      </c>
    </row>
    <row r="647">
      <c r="A647" t="s">
        <v>164</v>
      </c>
      <c r="B647" t="s">
        <v>115</v>
      </c>
      <c r="C647" s="32" t="s">
        <v>294</v>
      </c>
      <c r="D647" t="s">
        <v>378</v>
      </c>
      <c r="E647" t="s">
        <v>395</v>
      </c>
      <c r="F647" s="174" t="n">
        <v>2041</v>
      </c>
      <c r="G647" s="175" t="n">
        <v>35</v>
      </c>
      <c r="H647" s="176" t="n">
        <v>1611.45804603684</v>
      </c>
      <c r="I647" s="177" t="n">
        <v>4579095.14754683</v>
      </c>
      <c r="J647" s="178" t="str">
        <f>IF(I647&gt;0,H647/I647,0)</f>
      </c>
      <c r="K647" s="179" t="str">
        <f>1-EXP(-J647)</f>
      </c>
      <c r="L647" s="180" t="str">
        <f>IF(G647=30,1,M646)</f>
      </c>
      <c r="M647" s="181" t="str">
        <f>L647*(1-K647)</f>
      </c>
    </row>
    <row r="648">
      <c r="A648" t="s">
        <v>164</v>
      </c>
      <c r="B648" t="s">
        <v>115</v>
      </c>
      <c r="C648" s="32" t="s">
        <v>294</v>
      </c>
      <c r="D648" t="s">
        <v>378</v>
      </c>
      <c r="E648" t="s">
        <v>395</v>
      </c>
      <c r="F648" s="174" t="n">
        <v>2041</v>
      </c>
      <c r="G648" s="175" t="n">
        <v>36</v>
      </c>
      <c r="H648" s="176" t="n">
        <v>1757.26312432246</v>
      </c>
      <c r="I648" s="177" t="n">
        <v>4517088.88376244</v>
      </c>
      <c r="J648" s="178" t="str">
        <f>IF(I648&gt;0,H648/I648,0)</f>
      </c>
      <c r="K648" s="179" t="str">
        <f>1-EXP(-J648)</f>
      </c>
      <c r="L648" s="180" t="str">
        <f>IF(G648=30,1,M647)</f>
      </c>
      <c r="M648" s="181" t="str">
        <f>L648*(1-K648)</f>
      </c>
    </row>
    <row r="649">
      <c r="A649" t="s">
        <v>164</v>
      </c>
      <c r="B649" t="s">
        <v>115</v>
      </c>
      <c r="C649" s="32" t="s">
        <v>294</v>
      </c>
      <c r="D649" t="s">
        <v>378</v>
      </c>
      <c r="E649" t="s">
        <v>395</v>
      </c>
      <c r="F649" s="174" t="n">
        <v>2041</v>
      </c>
      <c r="G649" s="175" t="n">
        <v>37</v>
      </c>
      <c r="H649" s="176" t="n">
        <v>1841.14014929378</v>
      </c>
      <c r="I649" s="177" t="n">
        <v>4387888.48153535</v>
      </c>
      <c r="J649" s="178" t="str">
        <f>IF(I649&gt;0,H649/I649,0)</f>
      </c>
      <c r="K649" s="179" t="str">
        <f>1-EXP(-J649)</f>
      </c>
      <c r="L649" s="180" t="str">
        <f>IF(G649=30,1,M648)</f>
      </c>
      <c r="M649" s="181" t="str">
        <f>L649*(1-K649)</f>
      </c>
    </row>
    <row r="650">
      <c r="A650" t="s">
        <v>164</v>
      </c>
      <c r="B650" t="s">
        <v>115</v>
      </c>
      <c r="C650" s="32" t="s">
        <v>294</v>
      </c>
      <c r="D650" t="s">
        <v>378</v>
      </c>
      <c r="E650" t="s">
        <v>395</v>
      </c>
      <c r="F650" s="174" t="n">
        <v>2041</v>
      </c>
      <c r="G650" s="175" t="n">
        <v>38</v>
      </c>
      <c r="H650" s="176" t="n">
        <v>1961.52945989156</v>
      </c>
      <c r="I650" s="177" t="n">
        <v>4321178.80224426</v>
      </c>
      <c r="J650" s="178" t="str">
        <f>IF(I650&gt;0,H650/I650,0)</f>
      </c>
      <c r="K650" s="179" t="str">
        <f>1-EXP(-J650)</f>
      </c>
      <c r="L650" s="180" t="str">
        <f>IF(G650=30,1,M649)</f>
      </c>
      <c r="M650" s="181" t="str">
        <f>L650*(1-K650)</f>
      </c>
    </row>
    <row r="651">
      <c r="A651" t="s">
        <v>164</v>
      </c>
      <c r="B651" t="s">
        <v>115</v>
      </c>
      <c r="C651" s="32" t="s">
        <v>294</v>
      </c>
      <c r="D651" t="s">
        <v>378</v>
      </c>
      <c r="E651" t="s">
        <v>395</v>
      </c>
      <c r="F651" s="174" t="n">
        <v>2041</v>
      </c>
      <c r="G651" s="175" t="n">
        <v>39</v>
      </c>
      <c r="H651" s="176" t="n">
        <v>2272.165424624</v>
      </c>
      <c r="I651" s="177" t="n">
        <v>4296824.41748013</v>
      </c>
      <c r="J651" s="178" t="str">
        <f>IF(I651&gt;0,H651/I651,0)</f>
      </c>
      <c r="K651" s="179" t="str">
        <f>1-EXP(-J651)</f>
      </c>
      <c r="L651" s="180" t="str">
        <f>IF(G651=30,1,M650)</f>
      </c>
      <c r="M651" s="181" t="str">
        <f>L651*(1-K651)</f>
      </c>
    </row>
    <row r="652">
      <c r="A652" t="s">
        <v>164</v>
      </c>
      <c r="B652" t="s">
        <v>115</v>
      </c>
      <c r="C652" s="32" t="s">
        <v>294</v>
      </c>
      <c r="D652" t="s">
        <v>378</v>
      </c>
      <c r="E652" t="s">
        <v>395</v>
      </c>
      <c r="F652" s="174" t="n">
        <v>2041</v>
      </c>
      <c r="G652" s="175" t="n">
        <v>40</v>
      </c>
      <c r="H652" s="176" t="n">
        <v>3035.27783737319</v>
      </c>
      <c r="I652" s="177" t="n">
        <v>4274315.82827009</v>
      </c>
      <c r="J652" s="178" t="str">
        <f>IF(I652&gt;0,H652/I652,0)</f>
      </c>
      <c r="K652" s="179" t="str">
        <f>1-EXP(-J652)</f>
      </c>
      <c r="L652" s="180" t="str">
        <f>IF(G652=30,1,M651)</f>
      </c>
      <c r="M652" s="181" t="str">
        <f>L652*(1-K652)</f>
      </c>
    </row>
    <row r="653">
      <c r="A653" t="s">
        <v>164</v>
      </c>
      <c r="B653" t="s">
        <v>115</v>
      </c>
      <c r="C653" s="32" t="s">
        <v>294</v>
      </c>
      <c r="D653" t="s">
        <v>378</v>
      </c>
      <c r="E653" t="s">
        <v>395</v>
      </c>
      <c r="F653" s="174" t="n">
        <v>2041</v>
      </c>
      <c r="G653" s="175" t="n">
        <v>41</v>
      </c>
      <c r="H653" s="176" t="n">
        <v>3249.73932337445</v>
      </c>
      <c r="I653" s="177" t="n">
        <v>4250475.34735214</v>
      </c>
      <c r="J653" s="178" t="str">
        <f>IF(I653&gt;0,H653/I653,0)</f>
      </c>
      <c r="K653" s="179" t="str">
        <f>1-EXP(-J653)</f>
      </c>
      <c r="L653" s="180" t="str">
        <f>IF(G653=30,1,M652)</f>
      </c>
      <c r="M653" s="181" t="str">
        <f>L653*(1-K653)</f>
      </c>
    </row>
    <row r="654">
      <c r="A654" t="s">
        <v>164</v>
      </c>
      <c r="B654" t="s">
        <v>115</v>
      </c>
      <c r="C654" s="32" t="s">
        <v>294</v>
      </c>
      <c r="D654" t="s">
        <v>378</v>
      </c>
      <c r="E654" t="s">
        <v>395</v>
      </c>
      <c r="F654" s="174" t="n">
        <v>2041</v>
      </c>
      <c r="G654" s="175" t="n">
        <v>42</v>
      </c>
      <c r="H654" s="176" t="n">
        <v>3559.30219152092</v>
      </c>
      <c r="I654" s="177" t="n">
        <v>4266041.07407806</v>
      </c>
      <c r="J654" s="178" t="str">
        <f>IF(I654&gt;0,H654/I654,0)</f>
      </c>
      <c r="K654" s="179" t="str">
        <f>1-EXP(-J654)</f>
      </c>
      <c r="L654" s="180" t="str">
        <f>IF(G654=30,1,M653)</f>
      </c>
      <c r="M654" s="181" t="str">
        <f>L654*(1-K654)</f>
      </c>
    </row>
    <row r="655">
      <c r="A655" t="s">
        <v>164</v>
      </c>
      <c r="B655" t="s">
        <v>115</v>
      </c>
      <c r="C655" s="32" t="s">
        <v>294</v>
      </c>
      <c r="D655" t="s">
        <v>378</v>
      </c>
      <c r="E655" t="s">
        <v>395</v>
      </c>
      <c r="F655" s="174" t="n">
        <v>2041</v>
      </c>
      <c r="G655" s="175" t="n">
        <v>43</v>
      </c>
      <c r="H655" s="176" t="n">
        <v>3941.33059976755</v>
      </c>
      <c r="I655" s="177" t="n">
        <v>4319573.23089421</v>
      </c>
      <c r="J655" s="178" t="str">
        <f>IF(I655&gt;0,H655/I655,0)</f>
      </c>
      <c r="K655" s="179" t="str">
        <f>1-EXP(-J655)</f>
      </c>
      <c r="L655" s="180" t="str">
        <f>IF(G655=30,1,M654)</f>
      </c>
      <c r="M655" s="181" t="str">
        <f>L655*(1-K655)</f>
      </c>
    </row>
    <row r="656">
      <c r="A656" t="s">
        <v>164</v>
      </c>
      <c r="B656" t="s">
        <v>115</v>
      </c>
      <c r="C656" s="32" t="s">
        <v>294</v>
      </c>
      <c r="D656" t="s">
        <v>378</v>
      </c>
      <c r="E656" t="s">
        <v>395</v>
      </c>
      <c r="F656" s="174" t="n">
        <v>2041</v>
      </c>
      <c r="G656" s="175" t="n">
        <v>44</v>
      </c>
      <c r="H656" s="176" t="n">
        <v>4667.48317487653</v>
      </c>
      <c r="I656" s="177" t="n">
        <v>4448492.11531354</v>
      </c>
      <c r="J656" s="178" t="str">
        <f>IF(I656&gt;0,H656/I656,0)</f>
      </c>
      <c r="K656" s="179" t="str">
        <f>1-EXP(-J656)</f>
      </c>
      <c r="L656" s="180" t="str">
        <f>IF(G656=30,1,M655)</f>
      </c>
      <c r="M656" s="181" t="str">
        <f>L656*(1-K656)</f>
      </c>
    </row>
    <row r="657">
      <c r="A657" t="s">
        <v>164</v>
      </c>
      <c r="B657" t="s">
        <v>115</v>
      </c>
      <c r="C657" s="32" t="s">
        <v>294</v>
      </c>
      <c r="D657" t="s">
        <v>378</v>
      </c>
      <c r="E657" t="s">
        <v>395</v>
      </c>
      <c r="F657" s="174" t="n">
        <v>2041</v>
      </c>
      <c r="G657" s="175" t="n">
        <v>45</v>
      </c>
      <c r="H657" s="176" t="n">
        <v>5932.12232188413</v>
      </c>
      <c r="I657" s="177" t="n">
        <v>4399263.54880876</v>
      </c>
      <c r="J657" s="178" t="str">
        <f>IF(I657&gt;0,H657/I657,0)</f>
      </c>
      <c r="K657" s="179" t="str">
        <f>1-EXP(-J657)</f>
      </c>
      <c r="L657" s="180" t="str">
        <f>IF(G657=30,1,M656)</f>
      </c>
      <c r="M657" s="181" t="str">
        <f>L657*(1-K657)</f>
      </c>
    </row>
    <row r="658">
      <c r="A658" t="s">
        <v>164</v>
      </c>
      <c r="B658" t="s">
        <v>115</v>
      </c>
      <c r="C658" s="32" t="s">
        <v>294</v>
      </c>
      <c r="D658" t="s">
        <v>378</v>
      </c>
      <c r="E658" t="s">
        <v>395</v>
      </c>
      <c r="F658" s="174" t="n">
        <v>2041</v>
      </c>
      <c r="G658" s="175" t="n">
        <v>46</v>
      </c>
      <c r="H658" s="176" t="n">
        <v>6205.15850328544</v>
      </c>
      <c r="I658" s="177" t="n">
        <v>4318908.1939695</v>
      </c>
      <c r="J658" s="178" t="str">
        <f>IF(I658&gt;0,H658/I658,0)</f>
      </c>
      <c r="K658" s="179" t="str">
        <f>1-EXP(-J658)</f>
      </c>
      <c r="L658" s="180" t="str">
        <f>IF(G658=30,1,M657)</f>
      </c>
      <c r="M658" s="181" t="str">
        <f>L658*(1-K658)</f>
      </c>
    </row>
    <row r="659">
      <c r="A659" t="s">
        <v>164</v>
      </c>
      <c r="B659" t="s">
        <v>115</v>
      </c>
      <c r="C659" s="32" t="s">
        <v>294</v>
      </c>
      <c r="D659" t="s">
        <v>378</v>
      </c>
      <c r="E659" t="s">
        <v>395</v>
      </c>
      <c r="F659" s="174" t="n">
        <v>2041</v>
      </c>
      <c r="G659" s="175" t="n">
        <v>47</v>
      </c>
      <c r="H659" s="176" t="n">
        <v>6725.19741657622</v>
      </c>
      <c r="I659" s="177" t="n">
        <v>4254312.82592961</v>
      </c>
      <c r="J659" s="178" t="str">
        <f>IF(I659&gt;0,H659/I659,0)</f>
      </c>
      <c r="K659" s="179" t="str">
        <f>1-EXP(-J659)</f>
      </c>
      <c r="L659" s="180" t="str">
        <f>IF(G659=30,1,M658)</f>
      </c>
      <c r="M659" s="181" t="str">
        <f>L659*(1-K659)</f>
      </c>
    </row>
    <row r="660">
      <c r="A660" t="s">
        <v>164</v>
      </c>
      <c r="B660" t="s">
        <v>115</v>
      </c>
      <c r="C660" s="32" t="s">
        <v>294</v>
      </c>
      <c r="D660" t="s">
        <v>378</v>
      </c>
      <c r="E660" t="s">
        <v>395</v>
      </c>
      <c r="F660" s="174" t="n">
        <v>2041</v>
      </c>
      <c r="G660" s="175" t="n">
        <v>48</v>
      </c>
      <c r="H660" s="176" t="n">
        <v>7294.89149316118</v>
      </c>
      <c r="I660" s="177" t="n">
        <v>4192366.68527575</v>
      </c>
      <c r="J660" s="178" t="str">
        <f>IF(I660&gt;0,H660/I660,0)</f>
      </c>
      <c r="K660" s="179" t="str">
        <f>1-EXP(-J660)</f>
      </c>
      <c r="L660" s="180" t="str">
        <f>IF(G660=30,1,M659)</f>
      </c>
      <c r="M660" s="181" t="str">
        <f>L660*(1-K660)</f>
      </c>
    </row>
    <row r="661">
      <c r="A661" t="s">
        <v>164</v>
      </c>
      <c r="B661" t="s">
        <v>115</v>
      </c>
      <c r="C661" s="32" t="s">
        <v>294</v>
      </c>
      <c r="D661" t="s">
        <v>378</v>
      </c>
      <c r="E661" t="s">
        <v>395</v>
      </c>
      <c r="F661" s="174" t="n">
        <v>2041</v>
      </c>
      <c r="G661" s="175" t="n">
        <v>49</v>
      </c>
      <c r="H661" s="176" t="n">
        <v>8065.26538098013</v>
      </c>
      <c r="I661" s="177" t="n">
        <v>4218036.58178213</v>
      </c>
      <c r="J661" s="178" t="str">
        <f>IF(I661&gt;0,H661/I661,0)</f>
      </c>
      <c r="K661" s="179" t="str">
        <f>1-EXP(-J661)</f>
      </c>
      <c r="L661" s="180" t="str">
        <f>IF(G661=30,1,M660)</f>
      </c>
      <c r="M661" s="181" t="str">
        <f>L661*(1-K661)</f>
      </c>
    </row>
    <row r="662">
      <c r="A662" t="s">
        <v>164</v>
      </c>
      <c r="B662" t="s">
        <v>115</v>
      </c>
      <c r="C662" s="32" t="s">
        <v>294</v>
      </c>
      <c r="D662" t="s">
        <v>378</v>
      </c>
      <c r="E662" t="s">
        <v>395</v>
      </c>
      <c r="F662" s="174" t="n">
        <v>2041</v>
      </c>
      <c r="G662" s="175" t="n">
        <v>50</v>
      </c>
      <c r="H662" s="176" t="n">
        <v>9298.21788717527</v>
      </c>
      <c r="I662" s="177" t="n">
        <v>4223104.86219769</v>
      </c>
      <c r="J662" s="178" t="str">
        <f>IF(I662&gt;0,H662/I662,0)</f>
      </c>
      <c r="K662" s="179" t="str">
        <f>1-EXP(-J662)</f>
      </c>
      <c r="L662" s="180" t="str">
        <f>IF(G662=30,1,M661)</f>
      </c>
      <c r="M662" s="181" t="str">
        <f>L662*(1-K662)</f>
      </c>
    </row>
    <row r="663">
      <c r="A663" t="s">
        <v>164</v>
      </c>
      <c r="B663" t="s">
        <v>115</v>
      </c>
      <c r="C663" s="32" t="s">
        <v>294</v>
      </c>
      <c r="D663" t="s">
        <v>378</v>
      </c>
      <c r="E663" t="s">
        <v>395</v>
      </c>
      <c r="F663" s="174" t="n">
        <v>2041</v>
      </c>
      <c r="G663" s="175" t="n">
        <v>51</v>
      </c>
      <c r="H663" s="176" t="n">
        <v>13440.5479912106</v>
      </c>
      <c r="I663" s="177" t="n">
        <v>6209863.46517611</v>
      </c>
      <c r="J663" s="178" t="str">
        <f>IF(I663&gt;0,H663/I663,0)</f>
      </c>
      <c r="K663" s="179" t="str">
        <f>1-EXP(-J663)</f>
      </c>
      <c r="L663" s="180" t="str">
        <f>IF(G663=30,1,M662)</f>
      </c>
      <c r="M663" s="181" t="str">
        <f>L663*(1-K663)</f>
      </c>
    </row>
    <row r="664">
      <c r="A664" t="s">
        <v>164</v>
      </c>
      <c r="B664" t="s">
        <v>115</v>
      </c>
      <c r="C664" s="32" t="s">
        <v>294</v>
      </c>
      <c r="D664" t="s">
        <v>378</v>
      </c>
      <c r="E664" t="s">
        <v>395</v>
      </c>
      <c r="F664" s="174" t="n">
        <v>2041</v>
      </c>
      <c r="G664" s="175" t="n">
        <v>52</v>
      </c>
      <c r="H664" s="176" t="n">
        <v>10758.2155575107</v>
      </c>
      <c r="I664" s="177" t="n">
        <v>4154066.87923726</v>
      </c>
      <c r="J664" s="178" t="str">
        <f>IF(I664&gt;0,H664/I664,0)</f>
      </c>
      <c r="K664" s="179" t="str">
        <f>1-EXP(-J664)</f>
      </c>
      <c r="L664" s="180" t="str">
        <f>IF(G664=30,1,M663)</f>
      </c>
      <c r="M664" s="181" t="str">
        <f>L664*(1-K664)</f>
      </c>
    </row>
    <row r="665">
      <c r="A665" t="s">
        <v>164</v>
      </c>
      <c r="B665" t="s">
        <v>115</v>
      </c>
      <c r="C665" s="32" t="s">
        <v>294</v>
      </c>
      <c r="D665" t="s">
        <v>378</v>
      </c>
      <c r="E665" t="s">
        <v>395</v>
      </c>
      <c r="F665" s="174" t="n">
        <v>2041</v>
      </c>
      <c r="G665" s="175" t="n">
        <v>53</v>
      </c>
      <c r="H665" s="176" t="n">
        <v>11695.6245635013</v>
      </c>
      <c r="I665" s="177" t="n">
        <v>4121762.29232188</v>
      </c>
      <c r="J665" s="178" t="str">
        <f>IF(I665&gt;0,H665/I665,0)</f>
      </c>
      <c r="K665" s="179" t="str">
        <f>1-EXP(-J665)</f>
      </c>
      <c r="L665" s="180" t="str">
        <f>IF(G665=30,1,M664)</f>
      </c>
      <c r="M665" s="181" t="str">
        <f>L665*(1-K665)</f>
      </c>
    </row>
    <row r="666">
      <c r="A666" t="s">
        <v>164</v>
      </c>
      <c r="B666" t="s">
        <v>115</v>
      </c>
      <c r="C666" s="32" t="s">
        <v>294</v>
      </c>
      <c r="D666" t="s">
        <v>378</v>
      </c>
      <c r="E666" t="s">
        <v>395</v>
      </c>
      <c r="F666" s="174" t="n">
        <v>2041</v>
      </c>
      <c r="G666" s="175" t="n">
        <v>54</v>
      </c>
      <c r="H666" s="176" t="n">
        <v>12350.5268412188</v>
      </c>
      <c r="I666" s="177" t="n">
        <v>3978077.18837571</v>
      </c>
      <c r="J666" s="178" t="str">
        <f>IF(I666&gt;0,H666/I666,0)</f>
      </c>
      <c r="K666" s="179" t="str">
        <f>1-EXP(-J666)</f>
      </c>
      <c r="L666" s="180" t="str">
        <f>IF(G666=30,1,M665)</f>
      </c>
      <c r="M666" s="181" t="str">
        <f>L666*(1-K666)</f>
      </c>
    </row>
    <row r="667">
      <c r="A667" t="s">
        <v>164</v>
      </c>
      <c r="B667" t="s">
        <v>115</v>
      </c>
      <c r="C667" s="32" t="s">
        <v>294</v>
      </c>
      <c r="D667" t="s">
        <v>378</v>
      </c>
      <c r="E667" t="s">
        <v>395</v>
      </c>
      <c r="F667" s="174" t="n">
        <v>2041</v>
      </c>
      <c r="G667" s="175" t="n">
        <v>55</v>
      </c>
      <c r="H667" s="176" t="n">
        <v>13199.0608413529</v>
      </c>
      <c r="I667" s="177" t="n">
        <v>3926292.36794416</v>
      </c>
      <c r="J667" s="178" t="str">
        <f>IF(I667&gt;0,H667/I667,0)</f>
      </c>
      <c r="K667" s="179" t="str">
        <f>1-EXP(-J667)</f>
      </c>
      <c r="L667" s="180" t="str">
        <f>IF(G667=30,1,M666)</f>
      </c>
      <c r="M667" s="181" t="str">
        <f>L667*(1-K667)</f>
      </c>
    </row>
    <row r="668">
      <c r="A668" t="s">
        <v>164</v>
      </c>
      <c r="B668" t="s">
        <v>115</v>
      </c>
      <c r="C668" s="32" t="s">
        <v>294</v>
      </c>
      <c r="D668" t="s">
        <v>378</v>
      </c>
      <c r="E668" t="s">
        <v>395</v>
      </c>
      <c r="F668" s="174" t="n">
        <v>2041</v>
      </c>
      <c r="G668" s="175" t="n">
        <v>56</v>
      </c>
      <c r="H668" s="176" t="n">
        <v>14268.8993212658</v>
      </c>
      <c r="I668" s="177" t="n">
        <v>3960893.67147139</v>
      </c>
      <c r="J668" s="178" t="str">
        <f>IF(I668&gt;0,H668/I668,0)</f>
      </c>
      <c r="K668" s="179" t="str">
        <f>1-EXP(-J668)</f>
      </c>
      <c r="L668" s="180" t="str">
        <f>IF(G668=30,1,M667)</f>
      </c>
      <c r="M668" s="181" t="str">
        <f>L668*(1-K668)</f>
      </c>
    </row>
    <row r="669">
      <c r="A669" t="s">
        <v>164</v>
      </c>
      <c r="B669" t="s">
        <v>115</v>
      </c>
      <c r="C669" s="32" t="s">
        <v>294</v>
      </c>
      <c r="D669" t="s">
        <v>378</v>
      </c>
      <c r="E669" t="s">
        <v>395</v>
      </c>
      <c r="F669" s="174" t="n">
        <v>2041</v>
      </c>
      <c r="G669" s="175" t="n">
        <v>57</v>
      </c>
      <c r="H669" s="176" t="n">
        <v>15845.901280668</v>
      </c>
      <c r="I669" s="177" t="n">
        <v>4017135.8193283</v>
      </c>
      <c r="J669" s="178" t="str">
        <f>IF(I669&gt;0,H669/I669,0)</f>
      </c>
      <c r="K669" s="179" t="str">
        <f>1-EXP(-J669)</f>
      </c>
      <c r="L669" s="180" t="str">
        <f>IF(G669=30,1,M668)</f>
      </c>
      <c r="M669" s="181" t="str">
        <f>L669*(1-K669)</f>
      </c>
    </row>
    <row r="670">
      <c r="A670" t="s">
        <v>164</v>
      </c>
      <c r="B670" t="s">
        <v>115</v>
      </c>
      <c r="C670" s="32" t="s">
        <v>294</v>
      </c>
      <c r="D670" t="s">
        <v>378</v>
      </c>
      <c r="E670" t="s">
        <v>395</v>
      </c>
      <c r="F670" s="174" t="n">
        <v>2041</v>
      </c>
      <c r="G670" s="175" t="n">
        <v>58</v>
      </c>
      <c r="H670" s="176" t="n">
        <v>17154.8085005395</v>
      </c>
      <c r="I670" s="177" t="n">
        <v>3969190.39560147</v>
      </c>
      <c r="J670" s="178" t="str">
        <f>IF(I670&gt;0,H670/I670,0)</f>
      </c>
      <c r="K670" s="179" t="str">
        <f>1-EXP(-J670)</f>
      </c>
      <c r="L670" s="180" t="str">
        <f>IF(G670=30,1,M669)</f>
      </c>
      <c r="M670" s="181" t="str">
        <f>L670*(1-K670)</f>
      </c>
    </row>
    <row r="671">
      <c r="A671" t="s">
        <v>164</v>
      </c>
      <c r="B671" t="s">
        <v>115</v>
      </c>
      <c r="C671" s="32" t="s">
        <v>294</v>
      </c>
      <c r="D671" t="s">
        <v>378</v>
      </c>
      <c r="E671" t="s">
        <v>395</v>
      </c>
      <c r="F671" s="174" t="n">
        <v>2041</v>
      </c>
      <c r="G671" s="175" t="n">
        <v>59</v>
      </c>
      <c r="H671" s="176" t="n">
        <v>18097.1191742625</v>
      </c>
      <c r="I671" s="177" t="n">
        <v>3815394.24382885</v>
      </c>
      <c r="J671" s="178" t="str">
        <f>IF(I671&gt;0,H671/I671,0)</f>
      </c>
      <c r="K671" s="179" t="str">
        <f>1-EXP(-J671)</f>
      </c>
      <c r="L671" s="180" t="str">
        <f>IF(G671=30,1,M670)</f>
      </c>
      <c r="M671" s="181" t="str">
        <f>L671*(1-K671)</f>
      </c>
    </row>
    <row r="672">
      <c r="A672" t="s">
        <v>164</v>
      </c>
      <c r="B672" t="s">
        <v>115</v>
      </c>
      <c r="C672" s="32" t="s">
        <v>294</v>
      </c>
      <c r="D672" t="s">
        <v>378</v>
      </c>
      <c r="E672" t="s">
        <v>395</v>
      </c>
      <c r="F672" s="174" t="n">
        <v>2041</v>
      </c>
      <c r="G672" s="175" t="n">
        <v>60</v>
      </c>
      <c r="H672" s="176" t="n">
        <v>19283.9804646562</v>
      </c>
      <c r="I672" s="177" t="n">
        <v>3718275.79071649</v>
      </c>
      <c r="J672" s="178" t="str">
        <f>IF(I672&gt;0,H672/I672,0)</f>
      </c>
      <c r="K672" s="179" t="str">
        <f>1-EXP(-J672)</f>
      </c>
      <c r="L672" s="180" t="str">
        <f>IF(G672=30,1,M671)</f>
      </c>
      <c r="M672" s="181" t="str">
        <f>L672*(1-K672)</f>
      </c>
    </row>
    <row r="673">
      <c r="A673" t="s">
        <v>164</v>
      </c>
      <c r="B673" t="s">
        <v>115</v>
      </c>
      <c r="C673" s="32" t="s">
        <v>294</v>
      </c>
      <c r="D673" t="s">
        <v>378</v>
      </c>
      <c r="E673" t="s">
        <v>395</v>
      </c>
      <c r="F673" s="174" t="n">
        <v>2041</v>
      </c>
      <c r="G673" s="175" t="n">
        <v>61</v>
      </c>
      <c r="H673" s="176" t="n">
        <v>20324.4837619733</v>
      </c>
      <c r="I673" s="177" t="n">
        <v>3633740.80041558</v>
      </c>
      <c r="J673" s="178" t="str">
        <f>IF(I673&gt;0,H673/I673,0)</f>
      </c>
      <c r="K673" s="179" t="str">
        <f>1-EXP(-J673)</f>
      </c>
      <c r="L673" s="180" t="str">
        <f>IF(G673=30,1,M672)</f>
      </c>
      <c r="M673" s="181" t="str">
        <f>L673*(1-K673)</f>
      </c>
    </row>
    <row r="674">
      <c r="A674" t="s">
        <v>164</v>
      </c>
      <c r="B674" t="s">
        <v>115</v>
      </c>
      <c r="C674" s="32" t="s">
        <v>294</v>
      </c>
      <c r="D674" t="s">
        <v>378</v>
      </c>
      <c r="E674" t="s">
        <v>395</v>
      </c>
      <c r="F674" s="174" t="n">
        <v>2041</v>
      </c>
      <c r="G674" s="175" t="n">
        <v>62</v>
      </c>
      <c r="H674" s="176" t="n">
        <v>21802.971493782</v>
      </c>
      <c r="I674" s="177" t="n">
        <v>3543272.38828627</v>
      </c>
      <c r="J674" s="178" t="str">
        <f>IF(I674&gt;0,H674/I674,0)</f>
      </c>
      <c r="K674" s="179" t="str">
        <f>1-EXP(-J674)</f>
      </c>
      <c r="L674" s="180" t="str">
        <f>IF(G674=30,1,M673)</f>
      </c>
      <c r="M674" s="181" t="str">
        <f>L674*(1-K674)</f>
      </c>
    </row>
    <row r="675">
      <c r="A675" t="s">
        <v>164</v>
      </c>
      <c r="B675" t="s">
        <v>115</v>
      </c>
      <c r="C675" s="32" t="s">
        <v>294</v>
      </c>
      <c r="D675" t="s">
        <v>378</v>
      </c>
      <c r="E675" t="s">
        <v>395</v>
      </c>
      <c r="F675" s="174" t="n">
        <v>2041</v>
      </c>
      <c r="G675" s="175" t="n">
        <v>63</v>
      </c>
      <c r="H675" s="176" t="n">
        <v>23232.6166692511</v>
      </c>
      <c r="I675" s="177" t="n">
        <v>3433568.39609507</v>
      </c>
      <c r="J675" s="178" t="str">
        <f>IF(I675&gt;0,H675/I675,0)</f>
      </c>
      <c r="K675" s="179" t="str">
        <f>1-EXP(-J675)</f>
      </c>
      <c r="L675" s="180" t="str">
        <f>IF(G675=30,1,M674)</f>
      </c>
      <c r="M675" s="181" t="str">
        <f>L675*(1-K675)</f>
      </c>
    </row>
    <row r="676">
      <c r="A676" t="s">
        <v>164</v>
      </c>
      <c r="B676" t="s">
        <v>115</v>
      </c>
      <c r="C676" s="32" t="s">
        <v>294</v>
      </c>
      <c r="D676" t="s">
        <v>378</v>
      </c>
      <c r="E676" t="s">
        <v>395</v>
      </c>
      <c r="F676" s="174" t="n">
        <v>2041</v>
      </c>
      <c r="G676" s="175" t="n">
        <v>64</v>
      </c>
      <c r="H676" s="176" t="n">
        <v>24837.1934923541</v>
      </c>
      <c r="I676" s="177" t="n">
        <v>3336781.50824336</v>
      </c>
      <c r="J676" s="178" t="str">
        <f>IF(I676&gt;0,H676/I676,0)</f>
      </c>
      <c r="K676" s="179" t="str">
        <f>1-EXP(-J676)</f>
      </c>
      <c r="L676" s="180" t="str">
        <f>IF(G676=30,1,M675)</f>
      </c>
      <c r="M676" s="181" t="str">
        <f>L676*(1-K676)</f>
      </c>
    </row>
    <row r="677">
      <c r="A677" t="s">
        <v>164</v>
      </c>
      <c r="B677" t="s">
        <v>115</v>
      </c>
      <c r="C677" s="32" t="s">
        <v>294</v>
      </c>
      <c r="D677" t="s">
        <v>378</v>
      </c>
      <c r="E677" t="s">
        <v>395</v>
      </c>
      <c r="F677" s="174" t="n">
        <v>2041</v>
      </c>
      <c r="G677" s="175" t="n">
        <v>65</v>
      </c>
      <c r="H677" s="176" t="n">
        <v>25274.2050249916</v>
      </c>
      <c r="I677" s="177" t="n">
        <v>3228156.17814337</v>
      </c>
      <c r="J677" s="178" t="str">
        <f>IF(I677&gt;0,H677/I677,0)</f>
      </c>
      <c r="K677" s="179" t="str">
        <f>1-EXP(-J677)</f>
      </c>
      <c r="L677" s="180" t="str">
        <f>IF(G677=30,1,M676)</f>
      </c>
      <c r="M677" s="181" t="str">
        <f>L677*(1-K677)</f>
      </c>
    </row>
    <row r="678">
      <c r="A678" t="s">
        <v>164</v>
      </c>
      <c r="B678" t="s">
        <v>115</v>
      </c>
      <c r="C678" s="32" t="s">
        <v>294</v>
      </c>
      <c r="D678" t="s">
        <v>378</v>
      </c>
      <c r="E678" t="s">
        <v>395</v>
      </c>
      <c r="F678" s="174" t="n">
        <v>2041</v>
      </c>
      <c r="G678" s="175" t="n">
        <v>66</v>
      </c>
      <c r="H678" s="176" t="n">
        <v>26403.150361492</v>
      </c>
      <c r="I678" s="177" t="n">
        <v>3117655.19272906</v>
      </c>
      <c r="J678" s="178" t="str">
        <f>IF(I678&gt;0,H678/I678,0)</f>
      </c>
      <c r="K678" s="179" t="str">
        <f>1-EXP(-J678)</f>
      </c>
      <c r="L678" s="180" t="str">
        <f>IF(G678=30,1,M677)</f>
      </c>
      <c r="M678" s="181" t="str">
        <f>L678*(1-K678)</f>
      </c>
    </row>
    <row r="679">
      <c r="A679" t="s">
        <v>164</v>
      </c>
      <c r="B679" t="s">
        <v>115</v>
      </c>
      <c r="C679" s="32" t="s">
        <v>294</v>
      </c>
      <c r="D679" t="s">
        <v>378</v>
      </c>
      <c r="E679" t="s">
        <v>395</v>
      </c>
      <c r="F679" s="174" t="n">
        <v>2041</v>
      </c>
      <c r="G679" s="175" t="n">
        <v>67</v>
      </c>
      <c r="H679" s="176" t="n">
        <v>27791.0931429248</v>
      </c>
      <c r="I679" s="177" t="n">
        <v>2982362.00642432</v>
      </c>
      <c r="J679" s="178" t="str">
        <f>IF(I679&gt;0,H679/I679,0)</f>
      </c>
      <c r="K679" s="179" t="str">
        <f>1-EXP(-J679)</f>
      </c>
      <c r="L679" s="180" t="str">
        <f>IF(G679=30,1,M678)</f>
      </c>
      <c r="M679" s="181" t="str">
        <f>L679*(1-K679)</f>
      </c>
    </row>
    <row r="680">
      <c r="A680" t="s">
        <v>164</v>
      </c>
      <c r="B680" t="s">
        <v>115</v>
      </c>
      <c r="C680" s="32" t="s">
        <v>294</v>
      </c>
      <c r="D680" t="s">
        <v>378</v>
      </c>
      <c r="E680" t="s">
        <v>395</v>
      </c>
      <c r="F680" s="174" t="n">
        <v>2041</v>
      </c>
      <c r="G680" s="175" t="n">
        <v>68</v>
      </c>
      <c r="H680" s="176" t="n">
        <v>29701.1408464454</v>
      </c>
      <c r="I680" s="177" t="n">
        <v>2895741.61256261</v>
      </c>
      <c r="J680" s="178" t="str">
        <f>IF(I680&gt;0,H680/I680,0)</f>
      </c>
      <c r="K680" s="179" t="str">
        <f>1-EXP(-J680)</f>
      </c>
      <c r="L680" s="180" t="str">
        <f>IF(G680=30,1,M679)</f>
      </c>
      <c r="M680" s="181" t="str">
        <f>L680*(1-K680)</f>
      </c>
    </row>
    <row r="681">
      <c r="A681" t="s">
        <v>164</v>
      </c>
      <c r="B681" t="s">
        <v>115</v>
      </c>
      <c r="C681" s="32" t="s">
        <v>294</v>
      </c>
      <c r="D681" t="s">
        <v>378</v>
      </c>
      <c r="E681" t="s">
        <v>395</v>
      </c>
      <c r="F681" s="174" t="n">
        <v>2041</v>
      </c>
      <c r="G681" s="175" t="n">
        <v>69</v>
      </c>
      <c r="H681" s="176" t="n">
        <v>30218.5038136088</v>
      </c>
      <c r="I681" s="177" t="n">
        <v>2672664.57165627</v>
      </c>
      <c r="J681" s="178" t="str">
        <f>IF(I681&gt;0,H681/I681,0)</f>
      </c>
      <c r="K681" s="179" t="str">
        <f>1-EXP(-J681)</f>
      </c>
      <c r="L681" s="180" t="str">
        <f>IF(G681=30,1,M680)</f>
      </c>
      <c r="M681" s="181" t="str">
        <f>L681*(1-K681)</f>
      </c>
    </row>
    <row r="682">
      <c r="A682" t="s">
        <v>164</v>
      </c>
      <c r="B682" t="s">
        <v>115</v>
      </c>
      <c r="C682" s="32" t="s">
        <v>294</v>
      </c>
      <c r="D682" t="s">
        <v>378</v>
      </c>
      <c r="E682" t="s">
        <v>395</v>
      </c>
      <c r="F682" s="174" t="n">
        <v>2042</v>
      </c>
      <c r="G682" s="175" t="n">
        <v>30</v>
      </c>
      <c r="H682" s="176" t="n">
        <v>829.759581646467</v>
      </c>
      <c r="I682" s="177" t="n">
        <v>4906558.68513707</v>
      </c>
      <c r="J682" s="178" t="str">
        <f>IF(I682&gt;0,H682/I682,0)</f>
      </c>
      <c r="K682" s="179" t="str">
        <f>1-EXP(-J682)</f>
      </c>
      <c r="L682" s="180" t="str">
        <f>IF(G682=30,1,M681)</f>
      </c>
      <c r="M682" s="181" t="str">
        <f>L682*(1-K682)</f>
      </c>
    </row>
    <row r="683">
      <c r="A683" t="s">
        <v>164</v>
      </c>
      <c r="B683" t="s">
        <v>115</v>
      </c>
      <c r="C683" s="32" t="s">
        <v>294</v>
      </c>
      <c r="D683" t="s">
        <v>378</v>
      </c>
      <c r="E683" t="s">
        <v>395</v>
      </c>
      <c r="F683" s="174" t="n">
        <v>2042</v>
      </c>
      <c r="G683" s="175" t="n">
        <v>31</v>
      </c>
      <c r="H683" s="176" t="n">
        <v>1061.84517009299</v>
      </c>
      <c r="I683" s="177" t="n">
        <v>4878409.16805847</v>
      </c>
      <c r="J683" s="178" t="str">
        <f>IF(I683&gt;0,H683/I683,0)</f>
      </c>
      <c r="K683" s="179" t="str">
        <f>1-EXP(-J683)</f>
      </c>
      <c r="L683" s="180" t="str">
        <f>IF(G683=30,1,M682)</f>
      </c>
      <c r="M683" s="181" t="str">
        <f>L683*(1-K683)</f>
      </c>
    </row>
    <row r="684">
      <c r="A684" t="s">
        <v>164</v>
      </c>
      <c r="B684" t="s">
        <v>115</v>
      </c>
      <c r="C684" s="32" t="s">
        <v>294</v>
      </c>
      <c r="D684" t="s">
        <v>378</v>
      </c>
      <c r="E684" t="s">
        <v>395</v>
      </c>
      <c r="F684" s="174" t="n">
        <v>2042</v>
      </c>
      <c r="G684" s="175" t="n">
        <v>32</v>
      </c>
      <c r="H684" s="176" t="n">
        <v>1081.93969227311</v>
      </c>
      <c r="I684" s="177" t="n">
        <v>4744668.55039008</v>
      </c>
      <c r="J684" s="178" t="str">
        <f>IF(I684&gt;0,H684/I684,0)</f>
      </c>
      <c r="K684" s="179" t="str">
        <f>1-EXP(-J684)</f>
      </c>
      <c r="L684" s="180" t="str">
        <f>IF(G684=30,1,M683)</f>
      </c>
      <c r="M684" s="181" t="str">
        <f>L684*(1-K684)</f>
      </c>
    </row>
    <row r="685">
      <c r="A685" t="s">
        <v>164</v>
      </c>
      <c r="B685" t="s">
        <v>115</v>
      </c>
      <c r="C685" s="32" t="s">
        <v>294</v>
      </c>
      <c r="D685" t="s">
        <v>378</v>
      </c>
      <c r="E685" t="s">
        <v>395</v>
      </c>
      <c r="F685" s="174" t="n">
        <v>2042</v>
      </c>
      <c r="G685" s="175" t="n">
        <v>33</v>
      </c>
      <c r="H685" s="176" t="n">
        <v>1123.13144162621</v>
      </c>
      <c r="I685" s="177" t="n">
        <v>4673820.72369109</v>
      </c>
      <c r="J685" s="178" t="str">
        <f>IF(I685&gt;0,H685/I685,0)</f>
      </c>
      <c r="K685" s="179" t="str">
        <f>1-EXP(-J685)</f>
      </c>
      <c r="L685" s="180" t="str">
        <f>IF(G685=30,1,M684)</f>
      </c>
      <c r="M685" s="181" t="str">
        <f>L685*(1-K685)</f>
      </c>
    </row>
    <row r="686">
      <c r="A686" t="s">
        <v>164</v>
      </c>
      <c r="B686" t="s">
        <v>115</v>
      </c>
      <c r="C686" s="32" t="s">
        <v>294</v>
      </c>
      <c r="D686" t="s">
        <v>378</v>
      </c>
      <c r="E686" t="s">
        <v>395</v>
      </c>
      <c r="F686" s="174" t="n">
        <v>2042</v>
      </c>
      <c r="G686" s="175" t="n">
        <v>34</v>
      </c>
      <c r="H686" s="176" t="n">
        <v>1180.51796473006</v>
      </c>
      <c r="I686" s="177" t="n">
        <v>4630921.50814514</v>
      </c>
      <c r="J686" s="178" t="str">
        <f>IF(I686&gt;0,H686/I686,0)</f>
      </c>
      <c r="K686" s="179" t="str">
        <f>1-EXP(-J686)</f>
      </c>
      <c r="L686" s="180" t="str">
        <f>IF(G686=30,1,M685)</f>
      </c>
      <c r="M686" s="181" t="str">
        <f>L686*(1-K686)</f>
      </c>
    </row>
    <row r="687">
      <c r="A687" t="s">
        <v>164</v>
      </c>
      <c r="B687" t="s">
        <v>115</v>
      </c>
      <c r="C687" s="32" t="s">
        <v>294</v>
      </c>
      <c r="D687" t="s">
        <v>378</v>
      </c>
      <c r="E687" t="s">
        <v>395</v>
      </c>
      <c r="F687" s="174" t="n">
        <v>2042</v>
      </c>
      <c r="G687" s="175" t="n">
        <v>35</v>
      </c>
      <c r="H687" s="176" t="n">
        <v>1634.28829560916</v>
      </c>
      <c r="I687" s="177" t="n">
        <v>4656223.26707418</v>
      </c>
      <c r="J687" s="178" t="str">
        <f>IF(I687&gt;0,H687/I687,0)</f>
      </c>
      <c r="K687" s="179" t="str">
        <f>1-EXP(-J687)</f>
      </c>
      <c r="L687" s="180" t="str">
        <f>IF(G687=30,1,M686)</f>
      </c>
      <c r="M687" s="181" t="str">
        <f>L687*(1-K687)</f>
      </c>
    </row>
    <row r="688">
      <c r="A688" t="s">
        <v>164</v>
      </c>
      <c r="B688" t="s">
        <v>115</v>
      </c>
      <c r="C688" s="32" t="s">
        <v>294</v>
      </c>
      <c r="D688" t="s">
        <v>378</v>
      </c>
      <c r="E688" t="s">
        <v>395</v>
      </c>
      <c r="F688" s="174" t="n">
        <v>2042</v>
      </c>
      <c r="G688" s="175" t="n">
        <v>36</v>
      </c>
      <c r="H688" s="176" t="n">
        <v>1773.55305531232</v>
      </c>
      <c r="I688" s="177" t="n">
        <v>4572283.26958127</v>
      </c>
      <c r="J688" s="178" t="str">
        <f>IF(I688&gt;0,H688/I688,0)</f>
      </c>
      <c r="K688" s="179" t="str">
        <f>1-EXP(-J688)</f>
      </c>
      <c r="L688" s="180" t="str">
        <f>IF(G688=30,1,M687)</f>
      </c>
      <c r="M688" s="181" t="str">
        <f>L688*(1-K688)</f>
      </c>
    </row>
    <row r="689">
      <c r="A689" t="s">
        <v>164</v>
      </c>
      <c r="B689" t="s">
        <v>115</v>
      </c>
      <c r="C689" s="32" t="s">
        <v>294</v>
      </c>
      <c r="D689" t="s">
        <v>378</v>
      </c>
      <c r="E689" t="s">
        <v>395</v>
      </c>
      <c r="F689" s="174" t="n">
        <v>2042</v>
      </c>
      <c r="G689" s="175" t="n">
        <v>37</v>
      </c>
      <c r="H689" s="176" t="n">
        <v>1877.05824633836</v>
      </c>
      <c r="I689" s="177" t="n">
        <v>4510306.0485302</v>
      </c>
      <c r="J689" s="178" t="str">
        <f>IF(I689&gt;0,H689/I689,0)</f>
      </c>
      <c r="K689" s="179" t="str">
        <f>1-EXP(-J689)</f>
      </c>
      <c r="L689" s="180" t="str">
        <f>IF(G689=30,1,M688)</f>
      </c>
      <c r="M689" s="181" t="str">
        <f>L689*(1-K689)</f>
      </c>
    </row>
    <row r="690">
      <c r="A690" t="s">
        <v>164</v>
      </c>
      <c r="B690" t="s">
        <v>115</v>
      </c>
      <c r="C690" s="32" t="s">
        <v>294</v>
      </c>
      <c r="D690" t="s">
        <v>378</v>
      </c>
      <c r="E690" t="s">
        <v>395</v>
      </c>
      <c r="F690" s="174" t="n">
        <v>2042</v>
      </c>
      <c r="G690" s="175" t="n">
        <v>38</v>
      </c>
      <c r="H690" s="176" t="n">
        <v>1971.65211701785</v>
      </c>
      <c r="I690" s="177" t="n">
        <v>4380842.11605835</v>
      </c>
      <c r="J690" s="178" t="str">
        <f>IF(I690&gt;0,H690/I690,0)</f>
      </c>
      <c r="K690" s="179" t="str">
        <f>1-EXP(-J690)</f>
      </c>
      <c r="L690" s="180" t="str">
        <f>IF(G690=30,1,M689)</f>
      </c>
      <c r="M690" s="181" t="str">
        <f>L690*(1-K690)</f>
      </c>
    </row>
    <row r="691">
      <c r="A691" t="s">
        <v>164</v>
      </c>
      <c r="B691" t="s">
        <v>115</v>
      </c>
      <c r="C691" s="32" t="s">
        <v>294</v>
      </c>
      <c r="D691" t="s">
        <v>378</v>
      </c>
      <c r="E691" t="s">
        <v>395</v>
      </c>
      <c r="F691" s="174" t="n">
        <v>2042</v>
      </c>
      <c r="G691" s="175" t="n">
        <v>39</v>
      </c>
      <c r="H691" s="176" t="n">
        <v>2104.72889213853</v>
      </c>
      <c r="I691" s="177" t="n">
        <v>4313731.99962594</v>
      </c>
      <c r="J691" s="178" t="str">
        <f>IF(I691&gt;0,H691/I691,0)</f>
      </c>
      <c r="K691" s="179" t="str">
        <f>1-EXP(-J691)</f>
      </c>
      <c r="L691" s="180" t="str">
        <f>IF(G691=30,1,M690)</f>
      </c>
      <c r="M691" s="181" t="str">
        <f>L691*(1-K691)</f>
      </c>
    </row>
    <row r="692">
      <c r="A692" t="s">
        <v>164</v>
      </c>
      <c r="B692" t="s">
        <v>115</v>
      </c>
      <c r="C692" s="32" t="s">
        <v>294</v>
      </c>
      <c r="D692" t="s">
        <v>378</v>
      </c>
      <c r="E692" t="s">
        <v>395</v>
      </c>
      <c r="F692" s="174" t="n">
        <v>2042</v>
      </c>
      <c r="G692" s="175" t="n">
        <v>40</v>
      </c>
      <c r="H692" s="176" t="n">
        <v>3014.28280160779</v>
      </c>
      <c r="I692" s="177" t="n">
        <v>4288675.58068008</v>
      </c>
      <c r="J692" s="178" t="str">
        <f>IF(I692&gt;0,H692/I692,0)</f>
      </c>
      <c r="K692" s="179" t="str">
        <f>1-EXP(-J692)</f>
      </c>
      <c r="L692" s="180" t="str">
        <f>IF(G692=30,1,M691)</f>
      </c>
      <c r="M692" s="181" t="str">
        <f>L692*(1-K692)</f>
      </c>
    </row>
    <row r="693">
      <c r="A693" t="s">
        <v>164</v>
      </c>
      <c r="B693" t="s">
        <v>115</v>
      </c>
      <c r="C693" s="32" t="s">
        <v>294</v>
      </c>
      <c r="D693" t="s">
        <v>378</v>
      </c>
      <c r="E693" t="s">
        <v>395</v>
      </c>
      <c r="F693" s="174" t="n">
        <v>2042</v>
      </c>
      <c r="G693" s="175" t="n">
        <v>41</v>
      </c>
      <c r="H693" s="176" t="n">
        <v>3231.94935704172</v>
      </c>
      <c r="I693" s="177" t="n">
        <v>4264921.36949677</v>
      </c>
      <c r="J693" s="178" t="str">
        <f>IF(I693&gt;0,H693/I693,0)</f>
      </c>
      <c r="K693" s="179" t="str">
        <f>1-EXP(-J693)</f>
      </c>
      <c r="L693" s="180" t="str">
        <f>IF(G693=30,1,M692)</f>
      </c>
      <c r="M693" s="181" t="str">
        <f>L693*(1-K693)</f>
      </c>
    </row>
    <row r="694">
      <c r="A694" t="s">
        <v>164</v>
      </c>
      <c r="B694" t="s">
        <v>115</v>
      </c>
      <c r="C694" s="32" t="s">
        <v>294</v>
      </c>
      <c r="D694" t="s">
        <v>378</v>
      </c>
      <c r="E694" t="s">
        <v>395</v>
      </c>
      <c r="F694" s="174" t="n">
        <v>2042</v>
      </c>
      <c r="G694" s="175" t="n">
        <v>42</v>
      </c>
      <c r="H694" s="176" t="n">
        <v>3492.22482366552</v>
      </c>
      <c r="I694" s="177" t="n">
        <v>4241146.1616215</v>
      </c>
      <c r="J694" s="178" t="str">
        <f>IF(I694&gt;0,H694/I694,0)</f>
      </c>
      <c r="K694" s="179" t="str">
        <f>1-EXP(-J694)</f>
      </c>
      <c r="L694" s="180" t="str">
        <f>IF(G694=30,1,M693)</f>
      </c>
      <c r="M694" s="181" t="str">
        <f>L694*(1-K694)</f>
      </c>
    </row>
    <row r="695">
      <c r="A695" t="s">
        <v>164</v>
      </c>
      <c r="B695" t="s">
        <v>115</v>
      </c>
      <c r="C695" s="32" t="s">
        <v>294</v>
      </c>
      <c r="D695" t="s">
        <v>378</v>
      </c>
      <c r="E695" t="s">
        <v>395</v>
      </c>
      <c r="F695" s="174" t="n">
        <v>2042</v>
      </c>
      <c r="G695" s="175" t="n">
        <v>43</v>
      </c>
      <c r="H695" s="176" t="n">
        <v>3830.98477238601</v>
      </c>
      <c r="I695" s="177" t="n">
        <v>4255893.15494692</v>
      </c>
      <c r="J695" s="178" t="str">
        <f>IF(I695&gt;0,H695/I695,0)</f>
      </c>
      <c r="K695" s="179" t="str">
        <f>1-EXP(-J695)</f>
      </c>
      <c r="L695" s="180" t="str">
        <f>IF(G695=30,1,M694)</f>
      </c>
      <c r="M695" s="181" t="str">
        <f>L695*(1-K695)</f>
      </c>
    </row>
    <row r="696">
      <c r="A696" t="s">
        <v>164</v>
      </c>
      <c r="B696" t="s">
        <v>115</v>
      </c>
      <c r="C696" s="32" t="s">
        <v>294</v>
      </c>
      <c r="D696" t="s">
        <v>378</v>
      </c>
      <c r="E696" t="s">
        <v>395</v>
      </c>
      <c r="F696" s="174" t="n">
        <v>2042</v>
      </c>
      <c r="G696" s="175" t="n">
        <v>44</v>
      </c>
      <c r="H696" s="176" t="n">
        <v>4248.70386541348</v>
      </c>
      <c r="I696" s="177" t="n">
        <v>4308411.79537755</v>
      </c>
      <c r="J696" s="178" t="str">
        <f>IF(I696&gt;0,H696/I696,0)</f>
      </c>
      <c r="K696" s="179" t="str">
        <f>1-EXP(-J696)</f>
      </c>
      <c r="L696" s="180" t="str">
        <f>IF(G696=30,1,M695)</f>
      </c>
      <c r="M696" s="181" t="str">
        <f>L696*(1-K696)</f>
      </c>
    </row>
    <row r="697">
      <c r="A697" t="s">
        <v>164</v>
      </c>
      <c r="B697" t="s">
        <v>115</v>
      </c>
      <c r="C697" s="32" t="s">
        <v>294</v>
      </c>
      <c r="D697" t="s">
        <v>378</v>
      </c>
      <c r="E697" t="s">
        <v>395</v>
      </c>
      <c r="F697" s="174" t="n">
        <v>2042</v>
      </c>
      <c r="G697" s="175" t="n">
        <v>45</v>
      </c>
      <c r="H697" s="176" t="n">
        <v>5898.0651042373</v>
      </c>
      <c r="I697" s="177" t="n">
        <v>4435718.85192218</v>
      </c>
      <c r="J697" s="178" t="str">
        <f>IF(I697&gt;0,H697/I697,0)</f>
      </c>
      <c r="K697" s="179" t="str">
        <f>1-EXP(-J697)</f>
      </c>
      <c r="L697" s="180" t="str">
        <f>IF(G697=30,1,M696)</f>
      </c>
      <c r="M697" s="181" t="str">
        <f>L697*(1-K697)</f>
      </c>
    </row>
    <row r="698">
      <c r="A698" t="s">
        <v>164</v>
      </c>
      <c r="B698" t="s">
        <v>115</v>
      </c>
      <c r="C698" s="32" t="s">
        <v>294</v>
      </c>
      <c r="D698" t="s">
        <v>378</v>
      </c>
      <c r="E698" t="s">
        <v>395</v>
      </c>
      <c r="F698" s="174" t="n">
        <v>2042</v>
      </c>
      <c r="G698" s="175" t="n">
        <v>46</v>
      </c>
      <c r="H698" s="176" t="n">
        <v>6224.79592980351</v>
      </c>
      <c r="I698" s="177" t="n">
        <v>4384570.61910994</v>
      </c>
      <c r="J698" s="178" t="str">
        <f>IF(I698&gt;0,H698/I698,0)</f>
      </c>
      <c r="K698" s="179" t="str">
        <f>1-EXP(-J698)</f>
      </c>
      <c r="L698" s="180" t="str">
        <f>IF(G698=30,1,M697)</f>
      </c>
      <c r="M698" s="181" t="str">
        <f>L698*(1-K698)</f>
      </c>
    </row>
    <row r="699">
      <c r="A699" t="s">
        <v>164</v>
      </c>
      <c r="B699" t="s">
        <v>115</v>
      </c>
      <c r="C699" s="32" t="s">
        <v>294</v>
      </c>
      <c r="D699" t="s">
        <v>378</v>
      </c>
      <c r="E699" t="s">
        <v>395</v>
      </c>
      <c r="F699" s="174" t="n">
        <v>2042</v>
      </c>
      <c r="G699" s="175" t="n">
        <v>47</v>
      </c>
      <c r="H699" s="176" t="n">
        <v>6702.28933034153</v>
      </c>
      <c r="I699" s="177" t="n">
        <v>4304290.30847935</v>
      </c>
      <c r="J699" s="178" t="str">
        <f>IF(I699&gt;0,H699/I699,0)</f>
      </c>
      <c r="K699" s="179" t="str">
        <f>1-EXP(-J699)</f>
      </c>
      <c r="L699" s="180" t="str">
        <f>IF(G699=30,1,M698)</f>
      </c>
      <c r="M699" s="181" t="str">
        <f>L699*(1-K699)</f>
      </c>
    </row>
    <row r="700">
      <c r="A700" t="s">
        <v>164</v>
      </c>
      <c r="B700" t="s">
        <v>115</v>
      </c>
      <c r="C700" s="32" t="s">
        <v>294</v>
      </c>
      <c r="D700" t="s">
        <v>378</v>
      </c>
      <c r="E700" t="s">
        <v>395</v>
      </c>
      <c r="F700" s="174" t="n">
        <v>2042</v>
      </c>
      <c r="G700" s="175" t="n">
        <v>48</v>
      </c>
      <c r="H700" s="176" t="n">
        <v>7264.28921717733</v>
      </c>
      <c r="I700" s="177" t="n">
        <v>4238539.6087888</v>
      </c>
      <c r="J700" s="178" t="str">
        <f>IF(I700&gt;0,H700/I700,0)</f>
      </c>
      <c r="K700" s="179" t="str">
        <f>1-EXP(-J700)</f>
      </c>
      <c r="L700" s="180" t="str">
        <f>IF(G700=30,1,M699)</f>
      </c>
      <c r="M700" s="181" t="str">
        <f>L700*(1-K700)</f>
      </c>
    </row>
    <row r="701">
      <c r="A701" t="s">
        <v>164</v>
      </c>
      <c r="B701" t="s">
        <v>115</v>
      </c>
      <c r="C701" s="32" t="s">
        <v>294</v>
      </c>
      <c r="D701" t="s">
        <v>378</v>
      </c>
      <c r="E701" t="s">
        <v>395</v>
      </c>
      <c r="F701" s="174" t="n">
        <v>2042</v>
      </c>
      <c r="G701" s="175" t="n">
        <v>49</v>
      </c>
      <c r="H701" s="176" t="n">
        <v>7874.99215136056</v>
      </c>
      <c r="I701" s="177" t="n">
        <v>4175322.18087676</v>
      </c>
      <c r="J701" s="178" t="str">
        <f>IF(I701&gt;0,H701/I701,0)</f>
      </c>
      <c r="K701" s="179" t="str">
        <f>1-EXP(-J701)</f>
      </c>
      <c r="L701" s="180" t="str">
        <f>IF(G701=30,1,M700)</f>
      </c>
      <c r="M701" s="181" t="str">
        <f>L701*(1-K701)</f>
      </c>
    </row>
    <row r="702">
      <c r="A702" t="s">
        <v>164</v>
      </c>
      <c r="B702" t="s">
        <v>115</v>
      </c>
      <c r="C702" s="32" t="s">
        <v>294</v>
      </c>
      <c r="D702" t="s">
        <v>378</v>
      </c>
      <c r="E702" t="s">
        <v>395</v>
      </c>
      <c r="F702" s="174" t="n">
        <v>2042</v>
      </c>
      <c r="G702" s="175" t="n">
        <v>50</v>
      </c>
      <c r="H702" s="176" t="n">
        <v>9096.80953052071</v>
      </c>
      <c r="I702" s="177" t="n">
        <v>4199243.5582598</v>
      </c>
      <c r="J702" s="178" t="str">
        <f>IF(I702&gt;0,H702/I702,0)</f>
      </c>
      <c r="K702" s="179" t="str">
        <f>1-EXP(-J702)</f>
      </c>
      <c r="L702" s="180" t="str">
        <f>IF(G702=30,1,M701)</f>
      </c>
      <c r="M702" s="181" t="str">
        <f>L702*(1-K702)</f>
      </c>
    </row>
    <row r="703">
      <c r="A703" t="s">
        <v>164</v>
      </c>
      <c r="B703" t="s">
        <v>115</v>
      </c>
      <c r="C703" s="32" t="s">
        <v>294</v>
      </c>
      <c r="D703" t="s">
        <v>378</v>
      </c>
      <c r="E703" t="s">
        <v>395</v>
      </c>
      <c r="F703" s="174" t="n">
        <v>2042</v>
      </c>
      <c r="G703" s="175" t="n">
        <v>51</v>
      </c>
      <c r="H703" s="176" t="n">
        <v>9775.54528508045</v>
      </c>
      <c r="I703" s="177" t="n">
        <v>4201812.33423749</v>
      </c>
      <c r="J703" s="178" t="str">
        <f>IF(I703&gt;0,H703/I703,0)</f>
      </c>
      <c r="K703" s="179" t="str">
        <f>1-EXP(-J703)</f>
      </c>
      <c r="L703" s="180" t="str">
        <f>IF(G703=30,1,M702)</f>
      </c>
      <c r="M703" s="181" t="str">
        <f>L703*(1-K703)</f>
      </c>
    </row>
    <row r="704">
      <c r="A704" t="s">
        <v>164</v>
      </c>
      <c r="B704" t="s">
        <v>115</v>
      </c>
      <c r="C704" s="32" t="s">
        <v>294</v>
      </c>
      <c r="D704" t="s">
        <v>378</v>
      </c>
      <c r="E704" t="s">
        <v>395</v>
      </c>
      <c r="F704" s="174" t="n">
        <v>2042</v>
      </c>
      <c r="G704" s="175" t="n">
        <v>52</v>
      </c>
      <c r="H704" s="176" t="n">
        <v>14388.1308220209</v>
      </c>
      <c r="I704" s="177" t="n">
        <v>6179109.78196505</v>
      </c>
      <c r="J704" s="178" t="str">
        <f>IF(I704&gt;0,H704/I704,0)</f>
      </c>
      <c r="K704" s="179" t="str">
        <f>1-EXP(-J704)</f>
      </c>
      <c r="L704" s="180" t="str">
        <f>IF(G704=30,1,M703)</f>
      </c>
      <c r="M704" s="181" t="str">
        <f>L704*(1-K704)</f>
      </c>
    </row>
    <row r="705">
      <c r="A705" t="s">
        <v>164</v>
      </c>
      <c r="B705" t="s">
        <v>115</v>
      </c>
      <c r="C705" s="32" t="s">
        <v>294</v>
      </c>
      <c r="D705" t="s">
        <v>378</v>
      </c>
      <c r="E705" t="s">
        <v>395</v>
      </c>
      <c r="F705" s="174" t="n">
        <v>2042</v>
      </c>
      <c r="G705" s="175" t="n">
        <v>53</v>
      </c>
      <c r="H705" s="176" t="n">
        <v>11525.9809721298</v>
      </c>
      <c r="I705" s="177" t="n">
        <v>4129960.30111516</v>
      </c>
      <c r="J705" s="178" t="str">
        <f>IF(I705&gt;0,H705/I705,0)</f>
      </c>
      <c r="K705" s="179" t="str">
        <f>1-EXP(-J705)</f>
      </c>
      <c r="L705" s="180" t="str">
        <f>IF(G705=30,1,M704)</f>
      </c>
      <c r="M705" s="181" t="str">
        <f>L705*(1-K705)</f>
      </c>
    </row>
    <row r="706">
      <c r="A706" t="s">
        <v>164</v>
      </c>
      <c r="B706" t="s">
        <v>115</v>
      </c>
      <c r="C706" s="32" t="s">
        <v>294</v>
      </c>
      <c r="D706" t="s">
        <v>378</v>
      </c>
      <c r="E706" t="s">
        <v>395</v>
      </c>
      <c r="F706" s="174" t="n">
        <v>2042</v>
      </c>
      <c r="G706" s="175" t="n">
        <v>54</v>
      </c>
      <c r="H706" s="176" t="n">
        <v>12498.9497579481</v>
      </c>
      <c r="I706" s="177" t="n">
        <v>4095608.08577361</v>
      </c>
      <c r="J706" s="178" t="str">
        <f>IF(I706&gt;0,H706/I706,0)</f>
      </c>
      <c r="K706" s="179" t="str">
        <f>1-EXP(-J706)</f>
      </c>
      <c r="L706" s="180" t="str">
        <f>IF(G706=30,1,M705)</f>
      </c>
      <c r="M706" s="181" t="str">
        <f>L706*(1-K706)</f>
      </c>
    </row>
    <row r="707">
      <c r="A707" t="s">
        <v>164</v>
      </c>
      <c r="B707" t="s">
        <v>115</v>
      </c>
      <c r="C707" s="32" t="s">
        <v>294</v>
      </c>
      <c r="D707" t="s">
        <v>378</v>
      </c>
      <c r="E707" t="s">
        <v>395</v>
      </c>
      <c r="F707" s="174" t="n">
        <v>2042</v>
      </c>
      <c r="G707" s="175" t="n">
        <v>55</v>
      </c>
      <c r="H707" s="176" t="n">
        <v>13037.6496464673</v>
      </c>
      <c r="I707" s="177" t="n">
        <v>3950508.50379356</v>
      </c>
      <c r="J707" s="178" t="str">
        <f>IF(I707&gt;0,H707/I707,0)</f>
      </c>
      <c r="K707" s="179" t="str">
        <f>1-EXP(-J707)</f>
      </c>
      <c r="L707" s="180" t="str">
        <f>IF(G707=30,1,M706)</f>
      </c>
      <c r="M707" s="181" t="str">
        <f>L707*(1-K707)</f>
      </c>
    </row>
    <row r="708">
      <c r="A708" t="s">
        <v>164</v>
      </c>
      <c r="B708" t="s">
        <v>115</v>
      </c>
      <c r="C708" s="32" t="s">
        <v>294</v>
      </c>
      <c r="D708" t="s">
        <v>378</v>
      </c>
      <c r="E708" t="s">
        <v>395</v>
      </c>
      <c r="F708" s="174" t="n">
        <v>2042</v>
      </c>
      <c r="G708" s="175" t="n">
        <v>56</v>
      </c>
      <c r="H708" s="176" t="n">
        <v>13799.2503108045</v>
      </c>
      <c r="I708" s="177" t="n">
        <v>3896458.5353929</v>
      </c>
      <c r="J708" s="178" t="str">
        <f>IF(I708&gt;0,H708/I708,0)</f>
      </c>
      <c r="K708" s="179" t="str">
        <f>1-EXP(-J708)</f>
      </c>
      <c r="L708" s="180" t="str">
        <f>IF(G708=30,1,M707)</f>
      </c>
      <c r="M708" s="181" t="str">
        <f>L708*(1-K708)</f>
      </c>
    </row>
    <row r="709">
      <c r="A709" t="s">
        <v>164</v>
      </c>
      <c r="B709" t="s">
        <v>115</v>
      </c>
      <c r="C709" s="32" t="s">
        <v>294</v>
      </c>
      <c r="D709" t="s">
        <v>378</v>
      </c>
      <c r="E709" t="s">
        <v>395</v>
      </c>
      <c r="F709" s="174" t="n">
        <v>2042</v>
      </c>
      <c r="G709" s="175" t="n">
        <v>57</v>
      </c>
      <c r="H709" s="176" t="n">
        <v>15204.3578470728</v>
      </c>
      <c r="I709" s="177" t="n">
        <v>3928516.08654839</v>
      </c>
      <c r="J709" s="178" t="str">
        <f>IF(I709&gt;0,H709/I709,0)</f>
      </c>
      <c r="K709" s="179" t="str">
        <f>1-EXP(-J709)</f>
      </c>
      <c r="L709" s="180" t="str">
        <f>IF(G709=30,1,M708)</f>
      </c>
      <c r="M709" s="181" t="str">
        <f>L709*(1-K709)</f>
      </c>
    </row>
    <row r="710">
      <c r="A710" t="s">
        <v>164</v>
      </c>
      <c r="B710" t="s">
        <v>115</v>
      </c>
      <c r="C710" s="32" t="s">
        <v>294</v>
      </c>
      <c r="D710" t="s">
        <v>378</v>
      </c>
      <c r="E710" t="s">
        <v>395</v>
      </c>
      <c r="F710" s="174" t="n">
        <v>2042</v>
      </c>
      <c r="G710" s="175" t="n">
        <v>58</v>
      </c>
      <c r="H710" s="176" t="n">
        <v>16883.0516553444</v>
      </c>
      <c r="I710" s="177" t="n">
        <v>3981279.63262509</v>
      </c>
      <c r="J710" s="178" t="str">
        <f>IF(I710&gt;0,H710/I710,0)</f>
      </c>
      <c r="K710" s="179" t="str">
        <f>1-EXP(-J710)</f>
      </c>
      <c r="L710" s="180" t="str">
        <f>IF(G710=30,1,M709)</f>
      </c>
      <c r="M710" s="181" t="str">
        <f>L710*(1-K710)</f>
      </c>
    </row>
    <row r="711">
      <c r="A711" t="s">
        <v>164</v>
      </c>
      <c r="B711" t="s">
        <v>115</v>
      </c>
      <c r="C711" s="32" t="s">
        <v>294</v>
      </c>
      <c r="D711" t="s">
        <v>378</v>
      </c>
      <c r="E711" t="s">
        <v>395</v>
      </c>
      <c r="F711" s="174" t="n">
        <v>2042</v>
      </c>
      <c r="G711" s="175" t="n">
        <v>59</v>
      </c>
      <c r="H711" s="176" t="n">
        <v>18275.8723653497</v>
      </c>
      <c r="I711" s="177" t="n">
        <v>3930471.0958075</v>
      </c>
      <c r="J711" s="178" t="str">
        <f>IF(I711&gt;0,H711/I711,0)</f>
      </c>
      <c r="K711" s="179" t="str">
        <f>1-EXP(-J711)</f>
      </c>
      <c r="L711" s="180" t="str">
        <f>IF(G711=30,1,M710)</f>
      </c>
      <c r="M711" s="181" t="str">
        <f>L711*(1-K711)</f>
      </c>
    </row>
    <row r="712">
      <c r="A712" t="s">
        <v>164</v>
      </c>
      <c r="B712" t="s">
        <v>115</v>
      </c>
      <c r="C712" s="32" t="s">
        <v>294</v>
      </c>
      <c r="D712" t="s">
        <v>378</v>
      </c>
      <c r="E712" t="s">
        <v>395</v>
      </c>
      <c r="F712" s="174" t="n">
        <v>2042</v>
      </c>
      <c r="G712" s="175" t="n">
        <v>60</v>
      </c>
      <c r="H712" s="176" t="n">
        <v>19176.793837778</v>
      </c>
      <c r="I712" s="177" t="n">
        <v>3774639.10001043</v>
      </c>
      <c r="J712" s="178" t="str">
        <f>IF(I712&gt;0,H712/I712,0)</f>
      </c>
      <c r="K712" s="179" t="str">
        <f>1-EXP(-J712)</f>
      </c>
      <c r="L712" s="180" t="str">
        <f>IF(G712=30,1,M711)</f>
      </c>
      <c r="M712" s="181" t="str">
        <f>L712*(1-K712)</f>
      </c>
    </row>
    <row r="713">
      <c r="A713" t="s">
        <v>164</v>
      </c>
      <c r="B713" t="s">
        <v>115</v>
      </c>
      <c r="C713" s="32" t="s">
        <v>294</v>
      </c>
      <c r="D713" t="s">
        <v>378</v>
      </c>
      <c r="E713" t="s">
        <v>395</v>
      </c>
      <c r="F713" s="174" t="n">
        <v>2042</v>
      </c>
      <c r="G713" s="175" t="n">
        <v>61</v>
      </c>
      <c r="H713" s="176" t="n">
        <v>20173.3900179772</v>
      </c>
      <c r="I713" s="177" t="n">
        <v>3674556.27198739</v>
      </c>
      <c r="J713" s="178" t="str">
        <f>IF(I713&gt;0,H713/I713,0)</f>
      </c>
      <c r="K713" s="179" t="str">
        <f>1-EXP(-J713)</f>
      </c>
      <c r="L713" s="180" t="str">
        <f>IF(G713=30,1,M712)</f>
      </c>
      <c r="M713" s="181" t="str">
        <f>L713*(1-K713)</f>
      </c>
    </row>
    <row r="714">
      <c r="A714" t="s">
        <v>164</v>
      </c>
      <c r="B714" t="s">
        <v>115</v>
      </c>
      <c r="C714" s="32" t="s">
        <v>294</v>
      </c>
      <c r="D714" t="s">
        <v>378</v>
      </c>
      <c r="E714" t="s">
        <v>395</v>
      </c>
      <c r="F714" s="174" t="n">
        <v>2042</v>
      </c>
      <c r="G714" s="175" t="n">
        <v>62</v>
      </c>
      <c r="H714" s="176" t="n">
        <v>21629.5591541034</v>
      </c>
      <c r="I714" s="177" t="n">
        <v>3587477.27369144</v>
      </c>
      <c r="J714" s="178" t="str">
        <f>IF(I714&gt;0,H714/I714,0)</f>
      </c>
      <c r="K714" s="179" t="str">
        <f>1-EXP(-J714)</f>
      </c>
      <c r="L714" s="180" t="str">
        <f>IF(G714=30,1,M713)</f>
      </c>
      <c r="M714" s="181" t="str">
        <f>L714*(1-K714)</f>
      </c>
    </row>
    <row r="715">
      <c r="A715" t="s">
        <v>164</v>
      </c>
      <c r="B715" t="s">
        <v>115</v>
      </c>
      <c r="C715" s="32" t="s">
        <v>294</v>
      </c>
      <c r="D715" t="s">
        <v>378</v>
      </c>
      <c r="E715" t="s">
        <v>395</v>
      </c>
      <c r="F715" s="174" t="n">
        <v>2042</v>
      </c>
      <c r="G715" s="175" t="n">
        <v>63</v>
      </c>
      <c r="H715" s="176" t="n">
        <v>23167.8155069035</v>
      </c>
      <c r="I715" s="177" t="n">
        <v>3493753.06772106</v>
      </c>
      <c r="J715" s="178" t="str">
        <f>IF(I715&gt;0,H715/I715,0)</f>
      </c>
      <c r="K715" s="179" t="str">
        <f>1-EXP(-J715)</f>
      </c>
      <c r="L715" s="180" t="str">
        <f>IF(G715=30,1,M714)</f>
      </c>
      <c r="M715" s="181" t="str">
        <f>L715*(1-K715)</f>
      </c>
    </row>
    <row r="716">
      <c r="A716" t="s">
        <v>164</v>
      </c>
      <c r="B716" t="s">
        <v>115</v>
      </c>
      <c r="C716" s="32" t="s">
        <v>294</v>
      </c>
      <c r="D716" t="s">
        <v>378</v>
      </c>
      <c r="E716" t="s">
        <v>395</v>
      </c>
      <c r="F716" s="174" t="n">
        <v>2042</v>
      </c>
      <c r="G716" s="175" t="n">
        <v>64</v>
      </c>
      <c r="H716" s="176" t="n">
        <v>24641.0118830021</v>
      </c>
      <c r="I716" s="177" t="n">
        <v>3380892.6491175</v>
      </c>
      <c r="J716" s="178" t="str">
        <f>IF(I716&gt;0,H716/I716,0)</f>
      </c>
      <c r="K716" s="179" t="str">
        <f>1-EXP(-J716)</f>
      </c>
      <c r="L716" s="180" t="str">
        <f>IF(G716=30,1,M715)</f>
      </c>
      <c r="M716" s="181" t="str">
        <f>L716*(1-K716)</f>
      </c>
    </row>
    <row r="717">
      <c r="A717" t="s">
        <v>164</v>
      </c>
      <c r="B717" t="s">
        <v>115</v>
      </c>
      <c r="C717" s="32" t="s">
        <v>294</v>
      </c>
      <c r="D717" t="s">
        <v>378</v>
      </c>
      <c r="E717" t="s">
        <v>395</v>
      </c>
      <c r="F717" s="174" t="n">
        <v>2042</v>
      </c>
      <c r="G717" s="175" t="n">
        <v>65</v>
      </c>
      <c r="H717" s="176" t="n">
        <v>25156.7537126159</v>
      </c>
      <c r="I717" s="177" t="n">
        <v>3280536.99143985</v>
      </c>
      <c r="J717" s="178" t="str">
        <f>IF(I717&gt;0,H717/I717,0)</f>
      </c>
      <c r="K717" s="179" t="str">
        <f>1-EXP(-J717)</f>
      </c>
      <c r="L717" s="180" t="str">
        <f>IF(G717=30,1,M716)</f>
      </c>
      <c r="M717" s="181" t="str">
        <f>L717*(1-K717)</f>
      </c>
    </row>
    <row r="718">
      <c r="A718" t="s">
        <v>164</v>
      </c>
      <c r="B718" t="s">
        <v>115</v>
      </c>
      <c r="C718" s="32" t="s">
        <v>294</v>
      </c>
      <c r="D718" t="s">
        <v>378</v>
      </c>
      <c r="E718" t="s">
        <v>395</v>
      </c>
      <c r="F718" s="174" t="n">
        <v>2042</v>
      </c>
      <c r="G718" s="175" t="n">
        <v>66</v>
      </c>
      <c r="H718" s="176" t="n">
        <v>26335.7005713859</v>
      </c>
      <c r="I718" s="177" t="n">
        <v>3169022.60541643</v>
      </c>
      <c r="J718" s="178" t="str">
        <f>IF(I718&gt;0,H718/I718,0)</f>
      </c>
      <c r="K718" s="179" t="str">
        <f>1-EXP(-J718)</f>
      </c>
      <c r="L718" s="180" t="str">
        <f>IF(G718=30,1,M717)</f>
      </c>
      <c r="M718" s="181" t="str">
        <f>L718*(1-K718)</f>
      </c>
    </row>
    <row r="719">
      <c r="A719" t="s">
        <v>164</v>
      </c>
      <c r="B719" t="s">
        <v>115</v>
      </c>
      <c r="C719" s="32" t="s">
        <v>294</v>
      </c>
      <c r="D719" t="s">
        <v>378</v>
      </c>
      <c r="E719" t="s">
        <v>395</v>
      </c>
      <c r="F719" s="174" t="n">
        <v>2042</v>
      </c>
      <c r="G719" s="175" t="n">
        <v>67</v>
      </c>
      <c r="H719" s="176" t="n">
        <v>27888.601558005</v>
      </c>
      <c r="I719" s="177" t="n">
        <v>3054836.7399862</v>
      </c>
      <c r="J719" s="178" t="str">
        <f>IF(I719&gt;0,H719/I719,0)</f>
      </c>
      <c r="K719" s="179" t="str">
        <f>1-EXP(-J719)</f>
      </c>
      <c r="L719" s="180" t="str">
        <f>IF(G719=30,1,M718)</f>
      </c>
      <c r="M719" s="181" t="str">
        <f>L719*(1-K719)</f>
      </c>
    </row>
    <row r="720">
      <c r="A720" t="s">
        <v>164</v>
      </c>
      <c r="B720" t="s">
        <v>115</v>
      </c>
      <c r="C720" s="32" t="s">
        <v>294</v>
      </c>
      <c r="D720" t="s">
        <v>378</v>
      </c>
      <c r="E720" t="s">
        <v>395</v>
      </c>
      <c r="F720" s="174" t="n">
        <v>2042</v>
      </c>
      <c r="G720" s="175" t="n">
        <v>68</v>
      </c>
      <c r="H720" s="176" t="n">
        <v>29312.7348090142</v>
      </c>
      <c r="I720" s="177" t="n">
        <v>2916391.71760594</v>
      </c>
      <c r="J720" s="178" t="str">
        <f>IF(I720&gt;0,H720/I720,0)</f>
      </c>
      <c r="K720" s="179" t="str">
        <f>1-EXP(-J720)</f>
      </c>
      <c r="L720" s="180" t="str">
        <f>IF(G720=30,1,M719)</f>
      </c>
      <c r="M720" s="181" t="str">
        <f>L720*(1-K720)</f>
      </c>
    </row>
    <row r="721">
      <c r="A721" t="s">
        <v>164</v>
      </c>
      <c r="B721" t="s">
        <v>115</v>
      </c>
      <c r="C721" s="32" t="s">
        <v>294</v>
      </c>
      <c r="D721" t="s">
        <v>378</v>
      </c>
      <c r="E721" t="s">
        <v>395</v>
      </c>
      <c r="F721" s="174" t="n">
        <v>2042</v>
      </c>
      <c r="G721" s="175" t="n">
        <v>69</v>
      </c>
      <c r="H721" s="176" t="n">
        <v>31282.1432354267</v>
      </c>
      <c r="I721" s="177" t="n">
        <v>2825400.36795042</v>
      </c>
      <c r="J721" s="178" t="str">
        <f>IF(I721&gt;0,H721/I721,0)</f>
      </c>
      <c r="K721" s="179" t="str">
        <f>1-EXP(-J721)</f>
      </c>
      <c r="L721" s="180" t="str">
        <f>IF(G721=30,1,M720)</f>
      </c>
      <c r="M721" s="181" t="str">
        <f>L721*(1-K721)</f>
      </c>
    </row>
    <row r="722">
      <c r="A722" t="s">
        <v>164</v>
      </c>
      <c r="B722" t="s">
        <v>115</v>
      </c>
      <c r="C722" s="32" t="s">
        <v>294</v>
      </c>
      <c r="D722" t="s">
        <v>378</v>
      </c>
      <c r="E722" t="s">
        <v>395</v>
      </c>
      <c r="F722" s="174" t="n">
        <v>2043</v>
      </c>
      <c r="G722" s="175" t="n">
        <v>30</v>
      </c>
      <c r="H722" s="176" t="n">
        <v>758.110752472635</v>
      </c>
      <c r="I722" s="177" t="n">
        <v>4787847.90737251</v>
      </c>
      <c r="J722" s="178" t="str">
        <f>IF(I722&gt;0,H722/I722,0)</f>
      </c>
      <c r="K722" s="179" t="str">
        <f>1-EXP(-J722)</f>
      </c>
      <c r="L722" s="180" t="str">
        <f>IF(G722=30,1,M721)</f>
      </c>
      <c r="M722" s="181" t="str">
        <f>L722*(1-K722)</f>
      </c>
    </row>
    <row r="723">
      <c r="A723" t="s">
        <v>164</v>
      </c>
      <c r="B723" t="s">
        <v>115</v>
      </c>
      <c r="C723" s="32" t="s">
        <v>294</v>
      </c>
      <c r="D723" t="s">
        <v>378</v>
      </c>
      <c r="E723" t="s">
        <v>395</v>
      </c>
      <c r="F723" s="174" t="n">
        <v>2043</v>
      </c>
      <c r="G723" s="175" t="n">
        <v>31</v>
      </c>
      <c r="H723" s="176" t="n">
        <v>1069.05409496728</v>
      </c>
      <c r="I723" s="177" t="n">
        <v>4900847.50320274</v>
      </c>
      <c r="J723" s="178" t="str">
        <f>IF(I723&gt;0,H723/I723,0)</f>
      </c>
      <c r="K723" s="179" t="str">
        <f>1-EXP(-J723)</f>
      </c>
      <c r="L723" s="180" t="str">
        <f>IF(G723=30,1,M722)</f>
      </c>
      <c r="M723" s="181" t="str">
        <f>L723*(1-K723)</f>
      </c>
    </row>
    <row r="724">
      <c r="A724" t="s">
        <v>164</v>
      </c>
      <c r="B724" t="s">
        <v>115</v>
      </c>
      <c r="C724" s="32" t="s">
        <v>294</v>
      </c>
      <c r="D724" t="s">
        <v>378</v>
      </c>
      <c r="E724" t="s">
        <v>395</v>
      </c>
      <c r="F724" s="174" t="n">
        <v>2043</v>
      </c>
      <c r="G724" s="175" t="n">
        <v>32</v>
      </c>
      <c r="H724" s="176" t="n">
        <v>1113.40911471377</v>
      </c>
      <c r="I724" s="177" t="n">
        <v>4872820.61160869</v>
      </c>
      <c r="J724" s="178" t="str">
        <f>IF(I724&gt;0,H724/I724,0)</f>
      </c>
      <c r="K724" s="179" t="str">
        <f>1-EXP(-J724)</f>
      </c>
      <c r="L724" s="180" t="str">
        <f>IF(G724=30,1,M723)</f>
      </c>
      <c r="M724" s="181" t="str">
        <f>L724*(1-K724)</f>
      </c>
    </row>
    <row r="725">
      <c r="A725" t="s">
        <v>164</v>
      </c>
      <c r="B725" t="s">
        <v>115</v>
      </c>
      <c r="C725" s="32" t="s">
        <v>294</v>
      </c>
      <c r="D725" t="s">
        <v>378</v>
      </c>
      <c r="E725" t="s">
        <v>395</v>
      </c>
      <c r="F725" s="174" t="n">
        <v>2043</v>
      </c>
      <c r="G725" s="175" t="n">
        <v>33</v>
      </c>
      <c r="H725" s="176" t="n">
        <v>1140.73543479481</v>
      </c>
      <c r="I725" s="177" t="n">
        <v>4739014.10029713</v>
      </c>
      <c r="J725" s="178" t="str">
        <f>IF(I725&gt;0,H725/I725,0)</f>
      </c>
      <c r="K725" s="179" t="str">
        <f>1-EXP(-J725)</f>
      </c>
      <c r="L725" s="180" t="str">
        <f>IF(G725=30,1,M724)</f>
      </c>
      <c r="M725" s="181" t="str">
        <f>L725*(1-K725)</f>
      </c>
    </row>
    <row r="726">
      <c r="A726" t="s">
        <v>164</v>
      </c>
      <c r="B726" t="s">
        <v>115</v>
      </c>
      <c r="C726" s="32" t="s">
        <v>294</v>
      </c>
      <c r="D726" t="s">
        <v>378</v>
      </c>
      <c r="E726" t="s">
        <v>395</v>
      </c>
      <c r="F726" s="174" t="n">
        <v>2043</v>
      </c>
      <c r="G726" s="175" t="n">
        <v>34</v>
      </c>
      <c r="H726" s="176" t="n">
        <v>1191.00515730808</v>
      </c>
      <c r="I726" s="177" t="n">
        <v>4667996.7092781</v>
      </c>
      <c r="J726" s="178" t="str">
        <f>IF(I726&gt;0,H726/I726,0)</f>
      </c>
      <c r="K726" s="179" t="str">
        <f>1-EXP(-J726)</f>
      </c>
      <c r="L726" s="180" t="str">
        <f>IF(G726=30,1,M725)</f>
      </c>
      <c r="M726" s="181" t="str">
        <f>L726*(1-K726)</f>
      </c>
    </row>
    <row r="727">
      <c r="A727" t="s">
        <v>164</v>
      </c>
      <c r="B727" t="s">
        <v>115</v>
      </c>
      <c r="C727" s="32" t="s">
        <v>294</v>
      </c>
      <c r="D727" t="s">
        <v>378</v>
      </c>
      <c r="E727" t="s">
        <v>395</v>
      </c>
      <c r="F727" s="174" t="n">
        <v>2043</v>
      </c>
      <c r="G727" s="175" t="n">
        <v>35</v>
      </c>
      <c r="H727" s="176" t="n">
        <v>1547.4425202949</v>
      </c>
      <c r="I727" s="177" t="n">
        <v>4624852.41809998</v>
      </c>
      <c r="J727" s="178" t="str">
        <f>IF(I727&gt;0,H727/I727,0)</f>
      </c>
      <c r="K727" s="179" t="str">
        <f>1-EXP(-J727)</f>
      </c>
      <c r="L727" s="180" t="str">
        <f>IF(G727=30,1,M726)</f>
      </c>
      <c r="M727" s="181" t="str">
        <f>L727*(1-K727)</f>
      </c>
    </row>
    <row r="728">
      <c r="A728" t="s">
        <v>164</v>
      </c>
      <c r="B728" t="s">
        <v>115</v>
      </c>
      <c r="C728" s="32" t="s">
        <v>294</v>
      </c>
      <c r="D728" t="s">
        <v>378</v>
      </c>
      <c r="E728" t="s">
        <v>395</v>
      </c>
      <c r="F728" s="174" t="n">
        <v>2043</v>
      </c>
      <c r="G728" s="175" t="n">
        <v>36</v>
      </c>
      <c r="H728" s="176" t="n">
        <v>1797.77180390696</v>
      </c>
      <c r="I728" s="177" t="n">
        <v>4649367.45318998</v>
      </c>
      <c r="J728" s="178" t="str">
        <f>IF(I728&gt;0,H728/I728,0)</f>
      </c>
      <c r="K728" s="179" t="str">
        <f>1-EXP(-J728)</f>
      </c>
      <c r="L728" s="180" t="str">
        <f>IF(G728=30,1,M727)</f>
      </c>
      <c r="M728" s="181" t="str">
        <f>L728*(1-K728)</f>
      </c>
    </row>
    <row r="729">
      <c r="A729" t="s">
        <v>164</v>
      </c>
      <c r="B729" t="s">
        <v>115</v>
      </c>
      <c r="C729" s="32" t="s">
        <v>294</v>
      </c>
      <c r="D729" t="s">
        <v>378</v>
      </c>
      <c r="E729" t="s">
        <v>395</v>
      </c>
      <c r="F729" s="174" t="n">
        <v>2043</v>
      </c>
      <c r="G729" s="175" t="n">
        <v>37</v>
      </c>
      <c r="H729" s="176" t="n">
        <v>1893.03742706738</v>
      </c>
      <c r="I729" s="177" t="n">
        <v>4565487.74324771</v>
      </c>
      <c r="J729" s="178" t="str">
        <f>IF(I729&gt;0,H729/I729,0)</f>
      </c>
      <c r="K729" s="179" t="str">
        <f>1-EXP(-J729)</f>
      </c>
      <c r="L729" s="180" t="str">
        <f>IF(G729=30,1,M728)</f>
      </c>
      <c r="M729" s="181" t="str">
        <f>L729*(1-K729)</f>
      </c>
    </row>
    <row r="730">
      <c r="A730" t="s">
        <v>164</v>
      </c>
      <c r="B730" t="s">
        <v>115</v>
      </c>
      <c r="C730" s="32" t="s">
        <v>294</v>
      </c>
      <c r="D730" t="s">
        <v>378</v>
      </c>
      <c r="E730" t="s">
        <v>395</v>
      </c>
      <c r="F730" s="174" t="n">
        <v>2043</v>
      </c>
      <c r="G730" s="175" t="n">
        <v>38</v>
      </c>
      <c r="H730" s="176" t="n">
        <v>2009.12299007323</v>
      </c>
      <c r="I730" s="177" t="n">
        <v>4503148.73120944</v>
      </c>
      <c r="J730" s="178" t="str">
        <f>IF(I730&gt;0,H730/I730,0)</f>
      </c>
      <c r="K730" s="179" t="str">
        <f>1-EXP(-J730)</f>
      </c>
      <c r="L730" s="180" t="str">
        <f>IF(G730=30,1,M729)</f>
      </c>
      <c r="M730" s="181" t="str">
        <f>L730*(1-K730)</f>
      </c>
    </row>
    <row r="731">
      <c r="A731" t="s">
        <v>164</v>
      </c>
      <c r="B731" t="s">
        <v>115</v>
      </c>
      <c r="C731" s="32" t="s">
        <v>294</v>
      </c>
      <c r="D731" t="s">
        <v>378</v>
      </c>
      <c r="E731" t="s">
        <v>395</v>
      </c>
      <c r="F731" s="174" t="n">
        <v>2043</v>
      </c>
      <c r="G731" s="175" t="n">
        <v>39</v>
      </c>
      <c r="H731" s="176" t="n">
        <v>2114.7219810963</v>
      </c>
      <c r="I731" s="177" t="n">
        <v>4373383.68775925</v>
      </c>
      <c r="J731" s="178" t="str">
        <f>IF(I731&gt;0,H731/I731,0)</f>
      </c>
      <c r="K731" s="179" t="str">
        <f>1-EXP(-J731)</f>
      </c>
      <c r="L731" s="180" t="str">
        <f>IF(G731=30,1,M730)</f>
      </c>
      <c r="M731" s="181" t="str">
        <f>L731*(1-K731)</f>
      </c>
    </row>
    <row r="732">
      <c r="A732" t="s">
        <v>164</v>
      </c>
      <c r="B732" t="s">
        <v>115</v>
      </c>
      <c r="C732" s="32" t="s">
        <v>294</v>
      </c>
      <c r="D732" t="s">
        <v>378</v>
      </c>
      <c r="E732" t="s">
        <v>395</v>
      </c>
      <c r="F732" s="174" t="n">
        <v>2043</v>
      </c>
      <c r="G732" s="175" t="n">
        <v>40</v>
      </c>
      <c r="H732" s="176" t="n">
        <v>2803.6204040168</v>
      </c>
      <c r="I732" s="177" t="n">
        <v>4305830.40263357</v>
      </c>
      <c r="J732" s="178" t="str">
        <f>IF(I732&gt;0,H732/I732,0)</f>
      </c>
      <c r="K732" s="179" t="str">
        <f>1-EXP(-J732)</f>
      </c>
      <c r="L732" s="180" t="str">
        <f>IF(G732=30,1,M731)</f>
      </c>
      <c r="M732" s="181" t="str">
        <f>L732*(1-K732)</f>
      </c>
    </row>
    <row r="733">
      <c r="A733" t="s">
        <v>164</v>
      </c>
      <c r="B733" t="s">
        <v>115</v>
      </c>
      <c r="C733" s="32" t="s">
        <v>294</v>
      </c>
      <c r="D733" t="s">
        <v>378</v>
      </c>
      <c r="E733" t="s">
        <v>395</v>
      </c>
      <c r="F733" s="174" t="n">
        <v>2043</v>
      </c>
      <c r="G733" s="175" t="n">
        <v>41</v>
      </c>
      <c r="H733" s="176" t="n">
        <v>3214.4894821249</v>
      </c>
      <c r="I733" s="177" t="n">
        <v>4279367.10834424</v>
      </c>
      <c r="J733" s="178" t="str">
        <f>IF(I733&gt;0,H733/I733,0)</f>
      </c>
      <c r="K733" s="179" t="str">
        <f>1-EXP(-J733)</f>
      </c>
      <c r="L733" s="180" t="str">
        <f>IF(G733=30,1,M732)</f>
      </c>
      <c r="M733" s="181" t="str">
        <f>L733*(1-K733)</f>
      </c>
    </row>
    <row r="734">
      <c r="A734" t="s">
        <v>164</v>
      </c>
      <c r="B734" t="s">
        <v>115</v>
      </c>
      <c r="C734" s="32" t="s">
        <v>294</v>
      </c>
      <c r="D734" t="s">
        <v>378</v>
      </c>
      <c r="E734" t="s">
        <v>395</v>
      </c>
      <c r="F734" s="174" t="n">
        <v>2043</v>
      </c>
      <c r="G734" s="175" t="n">
        <v>42</v>
      </c>
      <c r="H734" s="176" t="n">
        <v>3471.32301119882</v>
      </c>
      <c r="I734" s="177" t="n">
        <v>4255677.69459857</v>
      </c>
      <c r="J734" s="178" t="str">
        <f>IF(I734&gt;0,H734/I734,0)</f>
      </c>
      <c r="K734" s="179" t="str">
        <f>1-EXP(-J734)</f>
      </c>
      <c r="L734" s="180" t="str">
        <f>IF(G734=30,1,M733)</f>
      </c>
      <c r="M734" s="181" t="str">
        <f>L734*(1-K734)</f>
      </c>
    </row>
    <row r="735">
      <c r="A735" t="s">
        <v>164</v>
      </c>
      <c r="B735" t="s">
        <v>115</v>
      </c>
      <c r="C735" s="32" t="s">
        <v>294</v>
      </c>
      <c r="D735" t="s">
        <v>378</v>
      </c>
      <c r="E735" t="s">
        <v>395</v>
      </c>
      <c r="F735" s="174" t="n">
        <v>2043</v>
      </c>
      <c r="G735" s="175" t="n">
        <v>43</v>
      </c>
      <c r="H735" s="176" t="n">
        <v>3757.26395762973</v>
      </c>
      <c r="I735" s="177" t="n">
        <v>4231200.1878856</v>
      </c>
      <c r="J735" s="178" t="str">
        <f>IF(I735&gt;0,H735/I735,0)</f>
      </c>
      <c r="K735" s="179" t="str">
        <f>1-EXP(-J735)</f>
      </c>
      <c r="L735" s="180" t="str">
        <f>IF(G735=30,1,M734)</f>
      </c>
      <c r="M735" s="181" t="str">
        <f>L735*(1-K735)</f>
      </c>
    </row>
    <row r="736">
      <c r="A736" t="s">
        <v>164</v>
      </c>
      <c r="B736" t="s">
        <v>115</v>
      </c>
      <c r="C736" s="32" t="s">
        <v>294</v>
      </c>
      <c r="D736" t="s">
        <v>378</v>
      </c>
      <c r="E736" t="s">
        <v>395</v>
      </c>
      <c r="F736" s="174" t="n">
        <v>2043</v>
      </c>
      <c r="G736" s="175" t="n">
        <v>44</v>
      </c>
      <c r="H736" s="176" t="n">
        <v>4128.01138794058</v>
      </c>
      <c r="I736" s="177" t="n">
        <v>4245055.000554</v>
      </c>
      <c r="J736" s="178" t="str">
        <f>IF(I736&gt;0,H736/I736,0)</f>
      </c>
      <c r="K736" s="179" t="str">
        <f>1-EXP(-J736)</f>
      </c>
      <c r="L736" s="180" t="str">
        <f>IF(G736=30,1,M735)</f>
      </c>
      <c r="M736" s="181" t="str">
        <f>L736*(1-K736)</f>
      </c>
    </row>
    <row r="737">
      <c r="A737" t="s">
        <v>164</v>
      </c>
      <c r="B737" t="s">
        <v>115</v>
      </c>
      <c r="C737" s="32" t="s">
        <v>294</v>
      </c>
      <c r="D737" t="s">
        <v>378</v>
      </c>
      <c r="E737" t="s">
        <v>395</v>
      </c>
      <c r="F737" s="174" t="n">
        <v>2043</v>
      </c>
      <c r="G737" s="175" t="n">
        <v>45</v>
      </c>
      <c r="H737" s="176" t="n">
        <v>5386.4875738954</v>
      </c>
      <c r="I737" s="177" t="n">
        <v>4296469.31358114</v>
      </c>
      <c r="J737" s="178" t="str">
        <f>IF(I737&gt;0,H737/I737,0)</f>
      </c>
      <c r="K737" s="179" t="str">
        <f>1-EXP(-J737)</f>
      </c>
      <c r="L737" s="180" t="str">
        <f>IF(G737=30,1,M736)</f>
      </c>
      <c r="M737" s="181" t="str">
        <f>L737*(1-K737)</f>
      </c>
    </row>
    <row r="738">
      <c r="A738" t="s">
        <v>164</v>
      </c>
      <c r="B738" t="s">
        <v>115</v>
      </c>
      <c r="C738" s="32" t="s">
        <v>294</v>
      </c>
      <c r="D738" t="s">
        <v>378</v>
      </c>
      <c r="E738" t="s">
        <v>395</v>
      </c>
      <c r="F738" s="174" t="n">
        <v>2043</v>
      </c>
      <c r="G738" s="175" t="n">
        <v>46</v>
      </c>
      <c r="H738" s="176" t="n">
        <v>6201.75394639459</v>
      </c>
      <c r="I738" s="177" t="n">
        <v>4421125.09809266</v>
      </c>
      <c r="J738" s="178" t="str">
        <f>IF(I738&gt;0,H738/I738,0)</f>
      </c>
      <c r="K738" s="179" t="str">
        <f>1-EXP(-J738)</f>
      </c>
      <c r="L738" s="180" t="str">
        <f>IF(G738=30,1,M737)</f>
      </c>
      <c r="M738" s="181" t="str">
        <f>L738*(1-K738)</f>
      </c>
    </row>
    <row r="739">
      <c r="A739" t="s">
        <v>164</v>
      </c>
      <c r="B739" t="s">
        <v>115</v>
      </c>
      <c r="C739" s="32" t="s">
        <v>294</v>
      </c>
      <c r="D739" t="s">
        <v>378</v>
      </c>
      <c r="E739" t="s">
        <v>395</v>
      </c>
      <c r="F739" s="174" t="n">
        <v>2043</v>
      </c>
      <c r="G739" s="175" t="n">
        <v>47</v>
      </c>
      <c r="H739" s="176" t="n">
        <v>6721.46473744903</v>
      </c>
      <c r="I739" s="177" t="n">
        <v>4369947.74920008</v>
      </c>
      <c r="J739" s="178" t="str">
        <f>IF(I739&gt;0,H739/I739,0)</f>
      </c>
      <c r="K739" s="179" t="str">
        <f>1-EXP(-J739)</f>
      </c>
      <c r="L739" s="180" t="str">
        <f>IF(G739=30,1,M738)</f>
      </c>
      <c r="M739" s="181" t="str">
        <f>L739*(1-K739)</f>
      </c>
    </row>
    <row r="740">
      <c r="A740" t="s">
        <v>164</v>
      </c>
      <c r="B740" t="s">
        <v>115</v>
      </c>
      <c r="C740" s="32" t="s">
        <v>294</v>
      </c>
      <c r="D740" t="s">
        <v>378</v>
      </c>
      <c r="E740" t="s">
        <v>395</v>
      </c>
      <c r="F740" s="174" t="n">
        <v>2043</v>
      </c>
      <c r="G740" s="175" t="n">
        <v>48</v>
      </c>
      <c r="H740" s="176" t="n">
        <v>7239.65426330931</v>
      </c>
      <c r="I740" s="177" t="n">
        <v>4288589.31062631</v>
      </c>
      <c r="J740" s="178" t="str">
        <f>IF(I740&gt;0,H740/I740,0)</f>
      </c>
      <c r="K740" s="179" t="str">
        <f>1-EXP(-J740)</f>
      </c>
      <c r="L740" s="180" t="str">
        <f>IF(G740=30,1,M739)</f>
      </c>
      <c r="M740" s="181" t="str">
        <f>L740*(1-K740)</f>
      </c>
    </row>
    <row r="741">
      <c r="A741" t="s">
        <v>164</v>
      </c>
      <c r="B741" t="s">
        <v>115</v>
      </c>
      <c r="C741" s="32" t="s">
        <v>294</v>
      </c>
      <c r="D741" t="s">
        <v>378</v>
      </c>
      <c r="E741" t="s">
        <v>395</v>
      </c>
      <c r="F741" s="174" t="n">
        <v>2043</v>
      </c>
      <c r="G741" s="175" t="n">
        <v>49</v>
      </c>
      <c r="H741" s="176" t="n">
        <v>7843.32679873665</v>
      </c>
      <c r="I741" s="177" t="n">
        <v>4221587.9284758</v>
      </c>
      <c r="J741" s="178" t="str">
        <f>IF(I741&gt;0,H741/I741,0)</f>
      </c>
      <c r="K741" s="179" t="str">
        <f>1-EXP(-J741)</f>
      </c>
      <c r="L741" s="180" t="str">
        <f>IF(G741=30,1,M740)</f>
      </c>
      <c r="M741" s="181" t="str">
        <f>L741*(1-K741)</f>
      </c>
    </row>
    <row r="742">
      <c r="A742" t="s">
        <v>164</v>
      </c>
      <c r="B742" t="s">
        <v>115</v>
      </c>
      <c r="C742" s="32" t="s">
        <v>294</v>
      </c>
      <c r="D742" t="s">
        <v>378</v>
      </c>
      <c r="E742" t="s">
        <v>395</v>
      </c>
      <c r="F742" s="174" t="n">
        <v>2043</v>
      </c>
      <c r="G742" s="175" t="n">
        <v>50</v>
      </c>
      <c r="H742" s="176" t="n">
        <v>8873.24379780239</v>
      </c>
      <c r="I742" s="177" t="n">
        <v>4157004.16706392</v>
      </c>
      <c r="J742" s="178" t="str">
        <f>IF(I742&gt;0,H742/I742,0)</f>
      </c>
      <c r="K742" s="179" t="str">
        <f>1-EXP(-J742)</f>
      </c>
      <c r="L742" s="180" t="str">
        <f>IF(G742=30,1,M741)</f>
      </c>
      <c r="M742" s="181" t="str">
        <f>L742*(1-K742)</f>
      </c>
    </row>
    <row r="743">
      <c r="A743" t="s">
        <v>164</v>
      </c>
      <c r="B743" t="s">
        <v>115</v>
      </c>
      <c r="C743" s="32" t="s">
        <v>294</v>
      </c>
      <c r="D743" t="s">
        <v>378</v>
      </c>
      <c r="E743" t="s">
        <v>395</v>
      </c>
      <c r="F743" s="174" t="n">
        <v>2043</v>
      </c>
      <c r="G743" s="175" t="n">
        <v>51</v>
      </c>
      <c r="H743" s="176" t="n">
        <v>9587.51415016714</v>
      </c>
      <c r="I743" s="177" t="n">
        <v>4178423.60209813</v>
      </c>
      <c r="J743" s="178" t="str">
        <f>IF(I743&gt;0,H743/I743,0)</f>
      </c>
      <c r="K743" s="179" t="str">
        <f>1-EXP(-J743)</f>
      </c>
      <c r="L743" s="180" t="str">
        <f>IF(G743=30,1,M742)</f>
      </c>
      <c r="M743" s="181" t="str">
        <f>L743*(1-K743)</f>
      </c>
    </row>
    <row r="744">
      <c r="A744" t="s">
        <v>164</v>
      </c>
      <c r="B744" t="s">
        <v>115</v>
      </c>
      <c r="C744" s="32" t="s">
        <v>294</v>
      </c>
      <c r="D744" t="s">
        <v>378</v>
      </c>
      <c r="E744" t="s">
        <v>395</v>
      </c>
      <c r="F744" s="174" t="n">
        <v>2043</v>
      </c>
      <c r="G744" s="175" t="n">
        <v>52</v>
      </c>
      <c r="H744" s="176" t="n">
        <v>10502.3559689284</v>
      </c>
      <c r="I744" s="177" t="n">
        <v>4179887.60380636</v>
      </c>
      <c r="J744" s="178" t="str">
        <f>IF(I744&gt;0,H744/I744,0)</f>
      </c>
      <c r="K744" s="179" t="str">
        <f>1-EXP(-J744)</f>
      </c>
      <c r="L744" s="180" t="str">
        <f>IF(G744=30,1,M743)</f>
      </c>
      <c r="M744" s="181" t="str">
        <f>L744*(1-K744)</f>
      </c>
    </row>
    <row r="745">
      <c r="A745" t="s">
        <v>164</v>
      </c>
      <c r="B745" t="s">
        <v>115</v>
      </c>
      <c r="C745" s="32" t="s">
        <v>294</v>
      </c>
      <c r="D745" t="s">
        <v>378</v>
      </c>
      <c r="E745" t="s">
        <v>395</v>
      </c>
      <c r="F745" s="174" t="n">
        <v>2043</v>
      </c>
      <c r="G745" s="175" t="n">
        <v>53</v>
      </c>
      <c r="H745" s="176" t="n">
        <v>15369.4553407531</v>
      </c>
      <c r="I745" s="177" t="n">
        <v>6146262.74780724</v>
      </c>
      <c r="J745" s="178" t="str">
        <f>IF(I745&gt;0,H745/I745,0)</f>
      </c>
      <c r="K745" s="179" t="str">
        <f>1-EXP(-J745)</f>
      </c>
      <c r="L745" s="180" t="str">
        <f>IF(G745=30,1,M744)</f>
      </c>
      <c r="M745" s="181" t="str">
        <f>L745*(1-K745)</f>
      </c>
    </row>
    <row r="746">
      <c r="A746" t="s">
        <v>164</v>
      </c>
      <c r="B746" t="s">
        <v>115</v>
      </c>
      <c r="C746" s="32" t="s">
        <v>294</v>
      </c>
      <c r="D746" t="s">
        <v>378</v>
      </c>
      <c r="E746" t="s">
        <v>395</v>
      </c>
      <c r="F746" s="174" t="n">
        <v>2043</v>
      </c>
      <c r="G746" s="175" t="n">
        <v>54</v>
      </c>
      <c r="H746" s="176" t="n">
        <v>12319.6101899397</v>
      </c>
      <c r="I746" s="177" t="n">
        <v>4104187.55094333</v>
      </c>
      <c r="J746" s="178" t="str">
        <f>IF(I746&gt;0,H746/I746,0)</f>
      </c>
      <c r="K746" s="179" t="str">
        <f>1-EXP(-J746)</f>
      </c>
      <c r="L746" s="180" t="str">
        <f>IF(G746=30,1,M745)</f>
      </c>
      <c r="M746" s="181" t="str">
        <f>L746*(1-K746)</f>
      </c>
    </row>
    <row r="747">
      <c r="A747" t="s">
        <v>164</v>
      </c>
      <c r="B747" t="s">
        <v>115</v>
      </c>
      <c r="C747" s="32" t="s">
        <v>294</v>
      </c>
      <c r="D747" t="s">
        <v>378</v>
      </c>
      <c r="E747" t="s">
        <v>395</v>
      </c>
      <c r="F747" s="174" t="n">
        <v>2043</v>
      </c>
      <c r="G747" s="175" t="n">
        <v>55</v>
      </c>
      <c r="H747" s="176" t="n">
        <v>13177.1566581911</v>
      </c>
      <c r="I747" s="177" t="n">
        <v>4067707.60398092</v>
      </c>
      <c r="J747" s="178" t="str">
        <f>IF(I747&gt;0,H747/I747,0)</f>
      </c>
      <c r="K747" s="179" t="str">
        <f>1-EXP(-J747)</f>
      </c>
      <c r="L747" s="180" t="str">
        <f>IF(G747=30,1,M746)</f>
      </c>
      <c r="M747" s="181" t="str">
        <f>L747*(1-K747)</f>
      </c>
    </row>
    <row r="748">
      <c r="A748" t="s">
        <v>164</v>
      </c>
      <c r="B748" t="s">
        <v>115</v>
      </c>
      <c r="C748" s="32" t="s">
        <v>294</v>
      </c>
      <c r="D748" t="s">
        <v>378</v>
      </c>
      <c r="E748" t="s">
        <v>395</v>
      </c>
      <c r="F748" s="174" t="n">
        <v>2043</v>
      </c>
      <c r="G748" s="175" t="n">
        <v>56</v>
      </c>
      <c r="H748" s="176" t="n">
        <v>13658.3816033345</v>
      </c>
      <c r="I748" s="177" t="n">
        <v>3921013.48033727</v>
      </c>
      <c r="J748" s="178" t="str">
        <f>IF(I748&gt;0,H748/I748,0)</f>
      </c>
      <c r="K748" s="179" t="str">
        <f>1-EXP(-J748)</f>
      </c>
      <c r="L748" s="180" t="str">
        <f>IF(G748=30,1,M747)</f>
      </c>
      <c r="M748" s="181" t="str">
        <f>L748*(1-K748)</f>
      </c>
    </row>
    <row r="749">
      <c r="A749" t="s">
        <v>164</v>
      </c>
      <c r="B749" t="s">
        <v>115</v>
      </c>
      <c r="C749" s="32" t="s">
        <v>294</v>
      </c>
      <c r="D749" t="s">
        <v>378</v>
      </c>
      <c r="E749" t="s">
        <v>395</v>
      </c>
      <c r="F749" s="174" t="n">
        <v>2043</v>
      </c>
      <c r="G749" s="175" t="n">
        <v>57</v>
      </c>
      <c r="H749" s="176" t="n">
        <v>14707.3372393133</v>
      </c>
      <c r="I749" s="177" t="n">
        <v>3865131.39804982</v>
      </c>
      <c r="J749" s="178" t="str">
        <f>IF(I749&gt;0,H749/I749,0)</f>
      </c>
      <c r="K749" s="179" t="str">
        <f>1-EXP(-J749)</f>
      </c>
      <c r="L749" s="180" t="str">
        <f>IF(G749=30,1,M748)</f>
      </c>
      <c r="M749" s="181" t="str">
        <f>L749*(1-K749)</f>
      </c>
    </row>
    <row r="750">
      <c r="A750" t="s">
        <v>164</v>
      </c>
      <c r="B750" t="s">
        <v>115</v>
      </c>
      <c r="C750" s="32" t="s">
        <v>294</v>
      </c>
      <c r="D750" t="s">
        <v>378</v>
      </c>
      <c r="E750" t="s">
        <v>395</v>
      </c>
      <c r="F750" s="174" t="n">
        <v>2043</v>
      </c>
      <c r="G750" s="175" t="n">
        <v>58</v>
      </c>
      <c r="H750" s="176" t="n">
        <v>16208.0060771382</v>
      </c>
      <c r="I750" s="177" t="n">
        <v>3894060.36853214</v>
      </c>
      <c r="J750" s="178" t="str">
        <f>IF(I750&gt;0,H750/I750,0)</f>
      </c>
      <c r="K750" s="179" t="str">
        <f>1-EXP(-J750)</f>
      </c>
      <c r="L750" s="180" t="str">
        <f>IF(G750=30,1,M749)</f>
      </c>
      <c r="M750" s="181" t="str">
        <f>L750*(1-K750)</f>
      </c>
    </row>
    <row r="751">
      <c r="A751" t="s">
        <v>164</v>
      </c>
      <c r="B751" t="s">
        <v>115</v>
      </c>
      <c r="C751" s="32" t="s">
        <v>294</v>
      </c>
      <c r="D751" t="s">
        <v>378</v>
      </c>
      <c r="E751" t="s">
        <v>395</v>
      </c>
      <c r="F751" s="174" t="n">
        <v>2043</v>
      </c>
      <c r="G751" s="175" t="n">
        <v>59</v>
      </c>
      <c r="H751" s="176" t="n">
        <v>17999.3350952485</v>
      </c>
      <c r="I751" s="177" t="n">
        <v>3943120.10223342</v>
      </c>
      <c r="J751" s="178" t="str">
        <f>IF(I751&gt;0,H751/I751,0)</f>
      </c>
      <c r="K751" s="179" t="str">
        <f>1-EXP(-J751)</f>
      </c>
      <c r="L751" s="180" t="str">
        <f>IF(G751=30,1,M750)</f>
      </c>
      <c r="M751" s="181" t="str">
        <f>L751*(1-K751)</f>
      </c>
    </row>
    <row r="752">
      <c r="A752" t="s">
        <v>164</v>
      </c>
      <c r="B752" t="s">
        <v>115</v>
      </c>
      <c r="C752" s="32" t="s">
        <v>294</v>
      </c>
      <c r="D752" t="s">
        <v>378</v>
      </c>
      <c r="E752" t="s">
        <v>395</v>
      </c>
      <c r="F752" s="174" t="n">
        <v>2043</v>
      </c>
      <c r="G752" s="175" t="n">
        <v>60</v>
      </c>
      <c r="H752" s="176" t="n">
        <v>19349.7364384495</v>
      </c>
      <c r="I752" s="177" t="n">
        <v>3889256.07248673</v>
      </c>
      <c r="J752" s="178" t="str">
        <f>IF(I752&gt;0,H752/I752,0)</f>
      </c>
      <c r="K752" s="179" t="str">
        <f>1-EXP(-J752)</f>
      </c>
      <c r="L752" s="180" t="str">
        <f>IF(G752=30,1,M751)</f>
      </c>
      <c r="M752" s="181" t="str">
        <f>L752*(1-K752)</f>
      </c>
    </row>
    <row r="753">
      <c r="A753" t="s">
        <v>164</v>
      </c>
      <c r="B753" t="s">
        <v>115</v>
      </c>
      <c r="C753" s="32" t="s">
        <v>294</v>
      </c>
      <c r="D753" t="s">
        <v>378</v>
      </c>
      <c r="E753" t="s">
        <v>395</v>
      </c>
      <c r="F753" s="174" t="n">
        <v>2043</v>
      </c>
      <c r="G753" s="175" t="n">
        <v>61</v>
      </c>
      <c r="H753" s="176" t="n">
        <v>20116.1998233822</v>
      </c>
      <c r="I753" s="177" t="n">
        <v>3731055.57800181</v>
      </c>
      <c r="J753" s="178" t="str">
        <f>IF(I753&gt;0,H753/I753,0)</f>
      </c>
      <c r="K753" s="179" t="str">
        <f>1-EXP(-J753)</f>
      </c>
      <c r="L753" s="180" t="str">
        <f>IF(G753=30,1,M752)</f>
      </c>
      <c r="M753" s="181" t="str">
        <f>L753*(1-K753)</f>
      </c>
    </row>
    <row r="754">
      <c r="A754" t="s">
        <v>164</v>
      </c>
      <c r="B754" t="s">
        <v>115</v>
      </c>
      <c r="C754" s="32" t="s">
        <v>294</v>
      </c>
      <c r="D754" t="s">
        <v>378</v>
      </c>
      <c r="E754" t="s">
        <v>395</v>
      </c>
      <c r="F754" s="174" t="n">
        <v>2043</v>
      </c>
      <c r="G754" s="175" t="n">
        <v>62</v>
      </c>
      <c r="H754" s="176" t="n">
        <v>21487.6058198946</v>
      </c>
      <c r="I754" s="177" t="n">
        <v>3628541.46601857</v>
      </c>
      <c r="J754" s="178" t="str">
        <f>IF(I754&gt;0,H754/I754,0)</f>
      </c>
      <c r="K754" s="179" t="str">
        <f>1-EXP(-J754)</f>
      </c>
      <c r="L754" s="180" t="str">
        <f>IF(G754=30,1,M753)</f>
      </c>
      <c r="M754" s="181" t="str">
        <f>L754*(1-K754)</f>
      </c>
    </row>
    <row r="755">
      <c r="A755" t="s">
        <v>164</v>
      </c>
      <c r="B755" t="s">
        <v>115</v>
      </c>
      <c r="C755" s="32" t="s">
        <v>294</v>
      </c>
      <c r="D755" t="s">
        <v>378</v>
      </c>
      <c r="E755" t="s">
        <v>395</v>
      </c>
      <c r="F755" s="174" t="n">
        <v>2043</v>
      </c>
      <c r="G755" s="175" t="n">
        <v>63</v>
      </c>
      <c r="H755" s="176" t="n">
        <v>23008.9346303525</v>
      </c>
      <c r="I755" s="177" t="n">
        <v>3538196.87482616</v>
      </c>
      <c r="J755" s="178" t="str">
        <f>IF(I755&gt;0,H755/I755,0)</f>
      </c>
      <c r="K755" s="179" t="str">
        <f>1-EXP(-J755)</f>
      </c>
      <c r="L755" s="180" t="str">
        <f>IF(G755=30,1,M754)</f>
      </c>
      <c r="M755" s="181" t="str">
        <f>L755*(1-K755)</f>
      </c>
    </row>
    <row r="756">
      <c r="A756" t="s">
        <v>164</v>
      </c>
      <c r="B756" t="s">
        <v>115</v>
      </c>
      <c r="C756" s="32" t="s">
        <v>294</v>
      </c>
      <c r="D756" t="s">
        <v>378</v>
      </c>
      <c r="E756" t="s">
        <v>395</v>
      </c>
      <c r="F756" s="174" t="n">
        <v>2043</v>
      </c>
      <c r="G756" s="175" t="n">
        <v>64</v>
      </c>
      <c r="H756" s="176" t="n">
        <v>24601.2296223952</v>
      </c>
      <c r="I756" s="177" t="n">
        <v>3441060.40922723</v>
      </c>
      <c r="J756" s="178" t="str">
        <f>IF(I756&gt;0,H756/I756,0)</f>
      </c>
      <c r="K756" s="179" t="str">
        <f>1-EXP(-J756)</f>
      </c>
      <c r="L756" s="180" t="str">
        <f>IF(G756=30,1,M755)</f>
      </c>
      <c r="M756" s="181" t="str">
        <f>L756*(1-K756)</f>
      </c>
    </row>
    <row r="757">
      <c r="A757" t="s">
        <v>164</v>
      </c>
      <c r="B757" t="s">
        <v>115</v>
      </c>
      <c r="C757" s="32" t="s">
        <v>294</v>
      </c>
      <c r="D757" t="s">
        <v>378</v>
      </c>
      <c r="E757" t="s">
        <v>395</v>
      </c>
      <c r="F757" s="174" t="n">
        <v>2043</v>
      </c>
      <c r="G757" s="175" t="n">
        <v>65</v>
      </c>
      <c r="H757" s="176" t="n">
        <v>24966.5839950313</v>
      </c>
      <c r="I757" s="177" t="n">
        <v>3324923.60080024</v>
      </c>
      <c r="J757" s="178" t="str">
        <f>IF(I757&gt;0,H757/I757,0)</f>
      </c>
      <c r="K757" s="179" t="str">
        <f>1-EXP(-J757)</f>
      </c>
      <c r="L757" s="180" t="str">
        <f>IF(G757=30,1,M756)</f>
      </c>
      <c r="M757" s="181" t="str">
        <f>L757*(1-K757)</f>
      </c>
    </row>
    <row r="758">
      <c r="A758" t="s">
        <v>164</v>
      </c>
      <c r="B758" t="s">
        <v>115</v>
      </c>
      <c r="C758" s="32" t="s">
        <v>294</v>
      </c>
      <c r="D758" t="s">
        <v>378</v>
      </c>
      <c r="E758" t="s">
        <v>395</v>
      </c>
      <c r="F758" s="174" t="n">
        <v>2043</v>
      </c>
      <c r="G758" s="175" t="n">
        <v>66</v>
      </c>
      <c r="H758" s="176" t="n">
        <v>26290.4087309107</v>
      </c>
      <c r="I758" s="177" t="n">
        <v>3221445.77665399</v>
      </c>
      <c r="J758" s="178" t="str">
        <f>IF(I758&gt;0,H758/I758,0)</f>
      </c>
      <c r="K758" s="179" t="str">
        <f>1-EXP(-J758)</f>
      </c>
      <c r="L758" s="180" t="str">
        <f>IF(G758=30,1,M757)</f>
      </c>
      <c r="M758" s="181" t="str">
        <f>L758*(1-K758)</f>
      </c>
    </row>
    <row r="759">
      <c r="A759" t="s">
        <v>164</v>
      </c>
      <c r="B759" t="s">
        <v>115</v>
      </c>
      <c r="C759" s="32" t="s">
        <v>294</v>
      </c>
      <c r="D759" t="s">
        <v>378</v>
      </c>
      <c r="E759" t="s">
        <v>395</v>
      </c>
      <c r="F759" s="174" t="n">
        <v>2043</v>
      </c>
      <c r="G759" s="175" t="n">
        <v>67</v>
      </c>
      <c r="H759" s="176" t="n">
        <v>27853.0147583547</v>
      </c>
      <c r="I759" s="177" t="n">
        <v>3106150.73515903</v>
      </c>
      <c r="J759" s="178" t="str">
        <f>IF(I759&gt;0,H759/I759,0)</f>
      </c>
      <c r="K759" s="179" t="str">
        <f>1-EXP(-J759)</f>
      </c>
      <c r="L759" s="180" t="str">
        <f>IF(G759=30,1,M758)</f>
      </c>
      <c r="M759" s="181" t="str">
        <f>L759*(1-K759)</f>
      </c>
    </row>
    <row r="760">
      <c r="A760" t="s">
        <v>164</v>
      </c>
      <c r="B760" t="s">
        <v>115</v>
      </c>
      <c r="C760" s="32" t="s">
        <v>294</v>
      </c>
      <c r="D760" t="s">
        <v>378</v>
      </c>
      <c r="E760" t="s">
        <v>395</v>
      </c>
      <c r="F760" s="174" t="n">
        <v>2043</v>
      </c>
      <c r="G760" s="175" t="n">
        <v>68</v>
      </c>
      <c r="H760" s="176" t="n">
        <v>29458.3243544561</v>
      </c>
      <c r="I760" s="177" t="n">
        <v>2988345.56124653</v>
      </c>
      <c r="J760" s="178" t="str">
        <f>IF(I760&gt;0,H760/I760,0)</f>
      </c>
      <c r="K760" s="179" t="str">
        <f>1-EXP(-J760)</f>
      </c>
      <c r="L760" s="180" t="str">
        <f>IF(G760=30,1,M759)</f>
      </c>
      <c r="M760" s="181" t="str">
        <f>L760*(1-K760)</f>
      </c>
    </row>
    <row r="761">
      <c r="A761" t="s">
        <v>164</v>
      </c>
      <c r="B761" t="s">
        <v>115</v>
      </c>
      <c r="C761" s="32" t="s">
        <v>294</v>
      </c>
      <c r="D761" t="s">
        <v>378</v>
      </c>
      <c r="E761" t="s">
        <v>395</v>
      </c>
      <c r="F761" s="174" t="n">
        <v>2043</v>
      </c>
      <c r="G761" s="175" t="n">
        <v>69</v>
      </c>
      <c r="H761" s="176" t="n">
        <v>30921.7664367346</v>
      </c>
      <c r="I761" s="177" t="n">
        <v>2846672.81628518</v>
      </c>
      <c r="J761" s="178" t="str">
        <f>IF(I761&gt;0,H761/I761,0)</f>
      </c>
      <c r="K761" s="179" t="str">
        <f>1-EXP(-J761)</f>
      </c>
      <c r="L761" s="180" t="str">
        <f>IF(G761=30,1,M760)</f>
      </c>
      <c r="M761" s="181" t="str">
        <f>L761*(1-K761)</f>
      </c>
    </row>
    <row r="762">
      <c r="A762" t="s">
        <v>164</v>
      </c>
      <c r="B762" t="s">
        <v>115</v>
      </c>
      <c r="C762" s="32" t="s">
        <v>294</v>
      </c>
      <c r="D762" t="s">
        <v>378</v>
      </c>
      <c r="E762" t="s">
        <v>395</v>
      </c>
      <c r="F762" s="174" t="n">
        <v>2044</v>
      </c>
      <c r="G762" s="175" t="n">
        <v>30</v>
      </c>
      <c r="H762" s="176" t="n">
        <v>748.282404471682</v>
      </c>
      <c r="I762" s="177" t="n">
        <v>4714210.17151797</v>
      </c>
      <c r="J762" s="178" t="str">
        <f>IF(I762&gt;0,H762/I762,0)</f>
      </c>
      <c r="K762" s="179" t="str">
        <f>1-EXP(-J762)</f>
      </c>
      <c r="L762" s="180" t="str">
        <f>IF(G762=30,1,M761)</f>
      </c>
      <c r="M762" s="181" t="str">
        <f>L762*(1-K762)</f>
      </c>
    </row>
    <row r="763">
      <c r="A763" t="s">
        <v>164</v>
      </c>
      <c r="B763" t="s">
        <v>115</v>
      </c>
      <c r="C763" s="32" t="s">
        <v>294</v>
      </c>
      <c r="D763" t="s">
        <v>378</v>
      </c>
      <c r="E763" t="s">
        <v>395</v>
      </c>
      <c r="F763" s="174" t="n">
        <v>2044</v>
      </c>
      <c r="G763" s="175" t="n">
        <v>31</v>
      </c>
      <c r="H763" s="176" t="n">
        <v>1004.53158110103</v>
      </c>
      <c r="I763" s="177" t="n">
        <v>4782379.01561608</v>
      </c>
      <c r="J763" s="178" t="str">
        <f>IF(I763&gt;0,H763/I763,0)</f>
      </c>
      <c r="K763" s="179" t="str">
        <f>1-EXP(-J763)</f>
      </c>
      <c r="L763" s="180" t="str">
        <f>IF(G763=30,1,M762)</f>
      </c>
      <c r="M763" s="181" t="str">
        <f>L763*(1-K763)</f>
      </c>
    </row>
    <row r="764">
      <c r="A764" t="s">
        <v>164</v>
      </c>
      <c r="B764" t="s">
        <v>115</v>
      </c>
      <c r="C764" s="32" t="s">
        <v>294</v>
      </c>
      <c r="D764" t="s">
        <v>378</v>
      </c>
      <c r="E764" t="s">
        <v>395</v>
      </c>
      <c r="F764" s="174" t="n">
        <v>2044</v>
      </c>
      <c r="G764" s="175" t="n">
        <v>32</v>
      </c>
      <c r="H764" s="176" t="n">
        <v>1120.65933528525</v>
      </c>
      <c r="I764" s="177" t="n">
        <v>4895285.68651096</v>
      </c>
      <c r="J764" s="178" t="str">
        <f>IF(I764&gt;0,H764/I764,0)</f>
      </c>
      <c r="K764" s="179" t="str">
        <f>1-EXP(-J764)</f>
      </c>
      <c r="L764" s="180" t="str">
        <f>IF(G764=30,1,M763)</f>
      </c>
      <c r="M764" s="181" t="str">
        <f>L764*(1-K764)</f>
      </c>
    </row>
    <row r="765">
      <c r="A765" t="s">
        <v>164</v>
      </c>
      <c r="B765" t="s">
        <v>115</v>
      </c>
      <c r="C765" s="32" t="s">
        <v>294</v>
      </c>
      <c r="D765" t="s">
        <v>378</v>
      </c>
      <c r="E765" t="s">
        <v>395</v>
      </c>
      <c r="F765" s="174" t="n">
        <v>2044</v>
      </c>
      <c r="G765" s="175" t="n">
        <v>33</v>
      </c>
      <c r="H765" s="176" t="n">
        <v>1173.47152300061</v>
      </c>
      <c r="I765" s="177" t="n">
        <v>4867068.15569791</v>
      </c>
      <c r="J765" s="178" t="str">
        <f>IF(I765&gt;0,H765/I765,0)</f>
      </c>
      <c r="K765" s="179" t="str">
        <f>1-EXP(-J765)</f>
      </c>
      <c r="L765" s="180" t="str">
        <f>IF(G765=30,1,M764)</f>
      </c>
      <c r="M765" s="181" t="str">
        <f>L765*(1-K765)</f>
      </c>
    </row>
    <row r="766">
      <c r="A766" t="s">
        <v>164</v>
      </c>
      <c r="B766" t="s">
        <v>115</v>
      </c>
      <c r="C766" s="32" t="s">
        <v>294</v>
      </c>
      <c r="D766" t="s">
        <v>378</v>
      </c>
      <c r="E766" t="s">
        <v>395</v>
      </c>
      <c r="F766" s="174" t="n">
        <v>2044</v>
      </c>
      <c r="G766" s="175" t="n">
        <v>34</v>
      </c>
      <c r="H766" s="176" t="n">
        <v>1209.14767344912</v>
      </c>
      <c r="I766" s="177" t="n">
        <v>4733165.84027925</v>
      </c>
      <c r="J766" s="178" t="str">
        <f>IF(I766&gt;0,H766/I766,0)</f>
      </c>
      <c r="K766" s="179" t="str">
        <f>1-EXP(-J766)</f>
      </c>
      <c r="L766" s="180" t="str">
        <f>IF(G766=30,1,M765)</f>
      </c>
      <c r="M766" s="181" t="str">
        <f>L766*(1-K766)</f>
      </c>
    </row>
    <row r="767">
      <c r="A767" t="s">
        <v>164</v>
      </c>
      <c r="B767" t="s">
        <v>115</v>
      </c>
      <c r="C767" s="32" t="s">
        <v>294</v>
      </c>
      <c r="D767" t="s">
        <v>378</v>
      </c>
      <c r="E767" t="s">
        <v>395</v>
      </c>
      <c r="F767" s="174" t="n">
        <v>2044</v>
      </c>
      <c r="G767" s="175" t="n">
        <v>35</v>
      </c>
      <c r="H767" s="176" t="n">
        <v>1556.52083533653</v>
      </c>
      <c r="I767" s="177" t="n">
        <v>4661940.45461299</v>
      </c>
      <c r="J767" s="178" t="str">
        <f>IF(I767&gt;0,H767/I767,0)</f>
      </c>
      <c r="K767" s="179" t="str">
        <f>1-EXP(-J767)</f>
      </c>
      <c r="L767" s="180" t="str">
        <f>IF(G767=30,1,M766)</f>
      </c>
      <c r="M767" s="181" t="str">
        <f>L767*(1-K767)</f>
      </c>
    </row>
    <row r="768">
      <c r="A768" t="s">
        <v>164</v>
      </c>
      <c r="B768" t="s">
        <v>115</v>
      </c>
      <c r="C768" s="32" t="s">
        <v>294</v>
      </c>
      <c r="D768" t="s">
        <v>378</v>
      </c>
      <c r="E768" t="s">
        <v>395</v>
      </c>
      <c r="F768" s="174" t="n">
        <v>2044</v>
      </c>
      <c r="G768" s="175" t="n">
        <v>36</v>
      </c>
      <c r="H768" s="176" t="n">
        <v>1724.89269745103</v>
      </c>
      <c r="I768" s="177" t="n">
        <v>4618186.47816425</v>
      </c>
      <c r="J768" s="178" t="str">
        <f>IF(I768&gt;0,H768/I768,0)</f>
      </c>
      <c r="K768" s="179" t="str">
        <f>1-EXP(-J768)</f>
      </c>
      <c r="L768" s="180" t="str">
        <f>IF(G768=30,1,M767)</f>
      </c>
      <c r="M768" s="181" t="str">
        <f>L768*(1-K768)</f>
      </c>
    </row>
    <row r="769">
      <c r="A769" t="s">
        <v>164</v>
      </c>
      <c r="B769" t="s">
        <v>115</v>
      </c>
      <c r="C769" s="32" t="s">
        <v>294</v>
      </c>
      <c r="D769" t="s">
        <v>378</v>
      </c>
      <c r="E769" t="s">
        <v>395</v>
      </c>
      <c r="F769" s="174" t="n">
        <v>2044</v>
      </c>
      <c r="G769" s="175" t="n">
        <v>37</v>
      </c>
      <c r="H769" s="176" t="n">
        <v>1918.34865549652</v>
      </c>
      <c r="I769" s="177" t="n">
        <v>4642530.186344</v>
      </c>
      <c r="J769" s="178" t="str">
        <f>IF(I769&gt;0,H769/I769,0)</f>
      </c>
      <c r="K769" s="179" t="str">
        <f>1-EXP(-J769)</f>
      </c>
      <c r="L769" s="180" t="str">
        <f>IF(G769=30,1,M768)</f>
      </c>
      <c r="M769" s="181" t="str">
        <f>L769*(1-K769)</f>
      </c>
    </row>
    <row r="770">
      <c r="A770" t="s">
        <v>164</v>
      </c>
      <c r="B770" t="s">
        <v>115</v>
      </c>
      <c r="C770" s="32" t="s">
        <v>294</v>
      </c>
      <c r="D770" t="s">
        <v>378</v>
      </c>
      <c r="E770" t="s">
        <v>395</v>
      </c>
      <c r="F770" s="174" t="n">
        <v>2044</v>
      </c>
      <c r="G770" s="175" t="n">
        <v>38</v>
      </c>
      <c r="H770" s="176" t="n">
        <v>2025.81167765947</v>
      </c>
      <c r="I770" s="177" t="n">
        <v>4558321.78550441</v>
      </c>
      <c r="J770" s="178" t="str">
        <f>IF(I770&gt;0,H770/I770,0)</f>
      </c>
      <c r="K770" s="179" t="str">
        <f>1-EXP(-J770)</f>
      </c>
      <c r="L770" s="180" t="str">
        <f>IF(G770=30,1,M769)</f>
      </c>
      <c r="M770" s="181" t="str">
        <f>L770*(1-K770)</f>
      </c>
    </row>
    <row r="771">
      <c r="A771" t="s">
        <v>164</v>
      </c>
      <c r="B771" t="s">
        <v>115</v>
      </c>
      <c r="C771" s="32" t="s">
        <v>294</v>
      </c>
      <c r="D771" t="s">
        <v>378</v>
      </c>
      <c r="E771" t="s">
        <v>395</v>
      </c>
      <c r="F771" s="174" t="n">
        <v>2044</v>
      </c>
      <c r="G771" s="175" t="n">
        <v>39</v>
      </c>
      <c r="H771" s="176" t="n">
        <v>2154.9667426032</v>
      </c>
      <c r="I771" s="177" t="n">
        <v>4495577.05737818</v>
      </c>
      <c r="J771" s="178" t="str">
        <f>IF(I771&gt;0,H771/I771,0)</f>
      </c>
      <c r="K771" s="179" t="str">
        <f>1-EXP(-J771)</f>
      </c>
      <c r="L771" s="180" t="str">
        <f>IF(G771=30,1,M770)</f>
      </c>
      <c r="M771" s="181" t="str">
        <f>L771*(1-K771)</f>
      </c>
    </row>
    <row r="772">
      <c r="A772" t="s">
        <v>164</v>
      </c>
      <c r="B772" t="s">
        <v>115</v>
      </c>
      <c r="C772" s="32" t="s">
        <v>294</v>
      </c>
      <c r="D772" t="s">
        <v>378</v>
      </c>
      <c r="E772" t="s">
        <v>395</v>
      </c>
      <c r="F772" s="174" t="n">
        <v>2044</v>
      </c>
      <c r="G772" s="175" t="n">
        <v>40</v>
      </c>
      <c r="H772" s="176" t="n">
        <v>2815.21219332135</v>
      </c>
      <c r="I772" s="177" t="n">
        <v>4365473.51636333</v>
      </c>
      <c r="J772" s="178" t="str">
        <f>IF(I772&gt;0,H772/I772,0)</f>
      </c>
      <c r="K772" s="179" t="str">
        <f>1-EXP(-J772)</f>
      </c>
      <c r="L772" s="180" t="str">
        <f>IF(G772=30,1,M771)</f>
      </c>
      <c r="M772" s="181" t="str">
        <f>L772*(1-K772)</f>
      </c>
    </row>
    <row r="773">
      <c r="A773" t="s">
        <v>164</v>
      </c>
      <c r="B773" t="s">
        <v>115</v>
      </c>
      <c r="C773" s="32" t="s">
        <v>294</v>
      </c>
      <c r="D773" t="s">
        <v>378</v>
      </c>
      <c r="E773" t="s">
        <v>395</v>
      </c>
      <c r="F773" s="174" t="n">
        <v>2044</v>
      </c>
      <c r="G773" s="175" t="n">
        <v>41</v>
      </c>
      <c r="H773" s="176" t="n">
        <v>3055.75887731803</v>
      </c>
      <c r="I773" s="177" t="n">
        <v>4296827.8438303</v>
      </c>
      <c r="J773" s="178" t="str">
        <f>IF(I773&gt;0,H773/I773,0)</f>
      </c>
      <c r="K773" s="179" t="str">
        <f>1-EXP(-J773)</f>
      </c>
      <c r="L773" s="180" t="str">
        <f>IF(G773=30,1,M772)</f>
      </c>
      <c r="M773" s="181" t="str">
        <f>L773*(1-K773)</f>
      </c>
    </row>
    <row r="774">
      <c r="A774" t="s">
        <v>164</v>
      </c>
      <c r="B774" t="s">
        <v>115</v>
      </c>
      <c r="C774" s="32" t="s">
        <v>294</v>
      </c>
      <c r="D774" t="s">
        <v>378</v>
      </c>
      <c r="E774" t="s">
        <v>395</v>
      </c>
      <c r="F774" s="174" t="n">
        <v>2044</v>
      </c>
      <c r="G774" s="175" t="n">
        <v>42</v>
      </c>
      <c r="H774" s="176" t="n">
        <v>3452.18041863371</v>
      </c>
      <c r="I774" s="177" t="n">
        <v>4270210.01490775</v>
      </c>
      <c r="J774" s="178" t="str">
        <f>IF(I774&gt;0,H774/I774,0)</f>
      </c>
      <c r="K774" s="179" t="str">
        <f>1-EXP(-J774)</f>
      </c>
      <c r="L774" s="180" t="str">
        <f>IF(G774=30,1,M773)</f>
      </c>
      <c r="M774" s="181" t="str">
        <f>L774*(1-K774)</f>
      </c>
    </row>
    <row r="775">
      <c r="A775" t="s">
        <v>164</v>
      </c>
      <c r="B775" t="s">
        <v>115</v>
      </c>
      <c r="C775" s="32" t="s">
        <v>294</v>
      </c>
      <c r="D775" t="s">
        <v>378</v>
      </c>
      <c r="E775" t="s">
        <v>395</v>
      </c>
      <c r="F775" s="174" t="n">
        <v>2044</v>
      </c>
      <c r="G775" s="175" t="n">
        <v>43</v>
      </c>
      <c r="H775" s="176" t="n">
        <v>3734.15312974174</v>
      </c>
      <c r="I775" s="177" t="n">
        <v>4245827.71670263</v>
      </c>
      <c r="J775" s="178" t="str">
        <f>IF(I775&gt;0,H775/I775,0)</f>
      </c>
      <c r="K775" s="179" t="str">
        <f>1-EXP(-J775)</f>
      </c>
      <c r="L775" s="180" t="str">
        <f>IF(G775=30,1,M774)</f>
      </c>
      <c r="M775" s="181" t="str">
        <f>L775*(1-K775)</f>
      </c>
    </row>
    <row r="776">
      <c r="A776" t="s">
        <v>164</v>
      </c>
      <c r="B776" t="s">
        <v>115</v>
      </c>
      <c r="C776" s="32" t="s">
        <v>294</v>
      </c>
      <c r="D776" t="s">
        <v>378</v>
      </c>
      <c r="E776" t="s">
        <v>395</v>
      </c>
      <c r="F776" s="174" t="n">
        <v>2044</v>
      </c>
      <c r="G776" s="175" t="n">
        <v>44</v>
      </c>
      <c r="H776" s="176" t="n">
        <v>4048.41822711317</v>
      </c>
      <c r="I776" s="177" t="n">
        <v>4220583.09483092</v>
      </c>
      <c r="J776" s="178" t="str">
        <f>IF(I776&gt;0,H776/I776,0)</f>
      </c>
      <c r="K776" s="179" t="str">
        <f>1-EXP(-J776)</f>
      </c>
      <c r="L776" s="180" t="str">
        <f>IF(G776=30,1,M775)</f>
      </c>
      <c r="M776" s="181" t="str">
        <f>L776*(1-K776)</f>
      </c>
    </row>
    <row r="777">
      <c r="A777" t="s">
        <v>164</v>
      </c>
      <c r="B777" t="s">
        <v>115</v>
      </c>
      <c r="C777" s="32" t="s">
        <v>294</v>
      </c>
      <c r="D777" t="s">
        <v>378</v>
      </c>
      <c r="E777" t="s">
        <v>395</v>
      </c>
      <c r="F777" s="174" t="n">
        <v>2044</v>
      </c>
      <c r="G777" s="175" t="n">
        <v>45</v>
      </c>
      <c r="H777" s="176" t="n">
        <v>5230.92025576076</v>
      </c>
      <c r="I777" s="177" t="n">
        <v>4233464.92006443</v>
      </c>
      <c r="J777" s="178" t="str">
        <f>IF(I777&gt;0,H777/I777,0)</f>
      </c>
      <c r="K777" s="179" t="str">
        <f>1-EXP(-J777)</f>
      </c>
      <c r="L777" s="180" t="str">
        <f>IF(G777=30,1,M776)</f>
      </c>
      <c r="M777" s="181" t="str">
        <f>L777*(1-K777)</f>
      </c>
    </row>
    <row r="778">
      <c r="A778" t="s">
        <v>164</v>
      </c>
      <c r="B778" t="s">
        <v>115</v>
      </c>
      <c r="C778" s="32" t="s">
        <v>294</v>
      </c>
      <c r="D778" t="s">
        <v>378</v>
      </c>
      <c r="E778" t="s">
        <v>395</v>
      </c>
      <c r="F778" s="174" t="n">
        <v>2044</v>
      </c>
      <c r="G778" s="175" t="n">
        <v>46</v>
      </c>
      <c r="H778" s="176" t="n">
        <v>5758.29238720025</v>
      </c>
      <c r="I778" s="177" t="n">
        <v>4282838.88940123</v>
      </c>
      <c r="J778" s="178" t="str">
        <f>IF(I778&gt;0,H778/I778,0)</f>
      </c>
      <c r="K778" s="179" t="str">
        <f>1-EXP(-J778)</f>
      </c>
      <c r="L778" s="180" t="str">
        <f>IF(G778=30,1,M777)</f>
      </c>
      <c r="M778" s="181" t="str">
        <f>L778*(1-K778)</f>
      </c>
    </row>
    <row r="779">
      <c r="A779" t="s">
        <v>164</v>
      </c>
      <c r="B779" t="s">
        <v>115</v>
      </c>
      <c r="C779" s="32" t="s">
        <v>294</v>
      </c>
      <c r="D779" t="s">
        <v>378</v>
      </c>
      <c r="E779" t="s">
        <v>395</v>
      </c>
      <c r="F779" s="174" t="n">
        <v>2044</v>
      </c>
      <c r="G779" s="175" t="n">
        <v>47</v>
      </c>
      <c r="H779" s="176" t="n">
        <v>6696.82587984349</v>
      </c>
      <c r="I779" s="177" t="n">
        <v>4406599.46659198</v>
      </c>
      <c r="J779" s="178" t="str">
        <f>IF(I779&gt;0,H779/I779,0)</f>
      </c>
      <c r="K779" s="179" t="str">
        <f>1-EXP(-J779)</f>
      </c>
      <c r="L779" s="180" t="str">
        <f>IF(G779=30,1,M778)</f>
      </c>
      <c r="M779" s="181" t="str">
        <f>L779*(1-K779)</f>
      </c>
    </row>
    <row r="780">
      <c r="A780" t="s">
        <v>164</v>
      </c>
      <c r="B780" t="s">
        <v>115</v>
      </c>
      <c r="C780" s="32" t="s">
        <v>294</v>
      </c>
      <c r="D780" t="s">
        <v>378</v>
      </c>
      <c r="E780" t="s">
        <v>395</v>
      </c>
      <c r="F780" s="174" t="n">
        <v>2044</v>
      </c>
      <c r="G780" s="175" t="n">
        <v>48</v>
      </c>
      <c r="H780" s="176" t="n">
        <v>7261.70437787516</v>
      </c>
      <c r="I780" s="177" t="n">
        <v>4354248.83215891</v>
      </c>
      <c r="J780" s="178" t="str">
        <f>IF(I780&gt;0,H780/I780,0)</f>
      </c>
      <c r="K780" s="179" t="str">
        <f>1-EXP(-J780)</f>
      </c>
      <c r="L780" s="180" t="str">
        <f>IF(G780=30,1,M779)</f>
      </c>
      <c r="M780" s="181" t="str">
        <f>L780*(1-K780)</f>
      </c>
    </row>
    <row r="781">
      <c r="A781" t="s">
        <v>164</v>
      </c>
      <c r="B781" t="s">
        <v>115</v>
      </c>
      <c r="C781" s="32" t="s">
        <v>294</v>
      </c>
      <c r="D781" t="s">
        <v>378</v>
      </c>
      <c r="E781" t="s">
        <v>395</v>
      </c>
      <c r="F781" s="174" t="n">
        <v>2044</v>
      </c>
      <c r="G781" s="175" t="n">
        <v>49</v>
      </c>
      <c r="H781" s="176" t="n">
        <v>7820.46451338467</v>
      </c>
      <c r="I781" s="177" t="n">
        <v>4271719.97160672</v>
      </c>
      <c r="J781" s="178" t="str">
        <f>IF(I781&gt;0,H781/I781,0)</f>
      </c>
      <c r="K781" s="179" t="str">
        <f>1-EXP(-J781)</f>
      </c>
      <c r="L781" s="180" t="str">
        <f>IF(G781=30,1,M780)</f>
      </c>
      <c r="M781" s="181" t="str">
        <f>L781*(1-K781)</f>
      </c>
    </row>
    <row r="782">
      <c r="A782" t="s">
        <v>164</v>
      </c>
      <c r="B782" t="s">
        <v>115</v>
      </c>
      <c r="C782" s="32" t="s">
        <v>294</v>
      </c>
      <c r="D782" t="s">
        <v>378</v>
      </c>
      <c r="E782" t="s">
        <v>395</v>
      </c>
      <c r="F782" s="174" t="n">
        <v>2044</v>
      </c>
      <c r="G782" s="175" t="n">
        <v>50</v>
      </c>
      <c r="H782" s="176" t="n">
        <v>8831.87039605605</v>
      </c>
      <c r="I782" s="177" t="n">
        <v>4203372.29012475</v>
      </c>
      <c r="J782" s="178" t="str">
        <f>IF(I782&gt;0,H782/I782,0)</f>
      </c>
      <c r="K782" s="179" t="str">
        <f>1-EXP(-J782)</f>
      </c>
      <c r="L782" s="180" t="str">
        <f>IF(G782=30,1,M781)</f>
      </c>
      <c r="M782" s="181" t="str">
        <f>L782*(1-K782)</f>
      </c>
    </row>
    <row r="783">
      <c r="A783" t="s">
        <v>164</v>
      </c>
      <c r="B783" t="s">
        <v>115</v>
      </c>
      <c r="C783" s="32" t="s">
        <v>294</v>
      </c>
      <c r="D783" t="s">
        <v>378</v>
      </c>
      <c r="E783" t="s">
        <v>395</v>
      </c>
      <c r="F783" s="174" t="n">
        <v>2044</v>
      </c>
      <c r="G783" s="175" t="n">
        <v>51</v>
      </c>
      <c r="H783" s="176" t="n">
        <v>9377.08678610719</v>
      </c>
      <c r="I783" s="177" t="n">
        <v>4136719.44820807</v>
      </c>
      <c r="J783" s="178" t="str">
        <f>IF(I783&gt;0,H783/I783,0)</f>
      </c>
      <c r="K783" s="179" t="str">
        <f>1-EXP(-J783)</f>
      </c>
      <c r="L783" s="180" t="str">
        <f>IF(G783=30,1,M782)</f>
      </c>
      <c r="M783" s="181" t="str">
        <f>L783*(1-K783)</f>
      </c>
    </row>
    <row r="784">
      <c r="A784" t="s">
        <v>164</v>
      </c>
      <c r="B784" t="s">
        <v>115</v>
      </c>
      <c r="C784" s="32" t="s">
        <v>294</v>
      </c>
      <c r="D784" t="s">
        <v>378</v>
      </c>
      <c r="E784" t="s">
        <v>395</v>
      </c>
      <c r="F784" s="174" t="n">
        <v>2044</v>
      </c>
      <c r="G784" s="175" t="n">
        <v>52</v>
      </c>
      <c r="H784" s="176" t="n">
        <v>10304.3008140598</v>
      </c>
      <c r="I784" s="177" t="n">
        <v>4156959.07433311</v>
      </c>
      <c r="J784" s="178" t="str">
        <f>IF(I784&gt;0,H784/I784,0)</f>
      </c>
      <c r="K784" s="179" t="str">
        <f>1-EXP(-J784)</f>
      </c>
      <c r="L784" s="180" t="str">
        <f>IF(G784=30,1,M783)</f>
      </c>
      <c r="M784" s="181" t="str">
        <f>L784*(1-K784)</f>
      </c>
    </row>
    <row r="785">
      <c r="A785" t="s">
        <v>164</v>
      </c>
      <c r="B785" t="s">
        <v>115</v>
      </c>
      <c r="C785" s="32" t="s">
        <v>294</v>
      </c>
      <c r="D785" t="s">
        <v>378</v>
      </c>
      <c r="E785" t="s">
        <v>395</v>
      </c>
      <c r="F785" s="174" t="n">
        <v>2044</v>
      </c>
      <c r="G785" s="175" t="n">
        <v>53</v>
      </c>
      <c r="H785" s="176" t="n">
        <v>11257.5208064966</v>
      </c>
      <c r="I785" s="177" t="n">
        <v>4156398.3103664</v>
      </c>
      <c r="J785" s="178" t="str">
        <f>IF(I785&gt;0,H785/I785,0)</f>
      </c>
      <c r="K785" s="179" t="str">
        <f>1-EXP(-J785)</f>
      </c>
      <c r="L785" s="180" t="str">
        <f>IF(G785=30,1,M784)</f>
      </c>
      <c r="M785" s="181" t="str">
        <f>L785*(1-K785)</f>
      </c>
    </row>
    <row r="786">
      <c r="A786" t="s">
        <v>164</v>
      </c>
      <c r="B786" t="s">
        <v>115</v>
      </c>
      <c r="C786" s="32" t="s">
        <v>294</v>
      </c>
      <c r="D786" t="s">
        <v>378</v>
      </c>
      <c r="E786" t="s">
        <v>395</v>
      </c>
      <c r="F786" s="174" t="n">
        <v>2044</v>
      </c>
      <c r="G786" s="175" t="n">
        <v>54</v>
      </c>
      <c r="H786" s="176" t="n">
        <v>16389.543204192</v>
      </c>
      <c r="I786" s="177" t="n">
        <v>6111249.28834698</v>
      </c>
      <c r="J786" s="178" t="str">
        <f>IF(I786&gt;0,H786/I786,0)</f>
      </c>
      <c r="K786" s="179" t="str">
        <f>1-EXP(-J786)</f>
      </c>
      <c r="L786" s="180" t="str">
        <f>IF(G786=30,1,M785)</f>
      </c>
      <c r="M786" s="181" t="str">
        <f>L786*(1-K786)</f>
      </c>
    </row>
    <row r="787">
      <c r="A787" t="s">
        <v>164</v>
      </c>
      <c r="B787" t="s">
        <v>115</v>
      </c>
      <c r="C787" s="32" t="s">
        <v>294</v>
      </c>
      <c r="D787" t="s">
        <v>378</v>
      </c>
      <c r="E787" t="s">
        <v>395</v>
      </c>
      <c r="F787" s="174" t="n">
        <v>2044</v>
      </c>
      <c r="G787" s="175" t="n">
        <v>55</v>
      </c>
      <c r="H787" s="176" t="n">
        <v>12973.7767951866</v>
      </c>
      <c r="I787" s="177" t="n">
        <v>4076698.27911878</v>
      </c>
      <c r="J787" s="178" t="str">
        <f>IF(I787&gt;0,H787/I787,0)</f>
      </c>
      <c r="K787" s="179" t="str">
        <f>1-EXP(-J787)</f>
      </c>
      <c r="L787" s="180" t="str">
        <f>IF(G787=30,1,M786)</f>
      </c>
      <c r="M787" s="181" t="str">
        <f>L787*(1-K787)</f>
      </c>
    </row>
    <row r="788">
      <c r="A788" t="s">
        <v>164</v>
      </c>
      <c r="B788" t="s">
        <v>115</v>
      </c>
      <c r="C788" s="32" t="s">
        <v>294</v>
      </c>
      <c r="D788" t="s">
        <v>378</v>
      </c>
      <c r="E788" t="s">
        <v>395</v>
      </c>
      <c r="F788" s="174" t="n">
        <v>2044</v>
      </c>
      <c r="G788" s="175" t="n">
        <v>56</v>
      </c>
      <c r="H788" s="176" t="n">
        <v>13833.9697804719</v>
      </c>
      <c r="I788" s="177" t="n">
        <v>4037880.53472884</v>
      </c>
      <c r="J788" s="178" t="str">
        <f>IF(I788&gt;0,H788/I788,0)</f>
      </c>
      <c r="K788" s="179" t="str">
        <f>1-EXP(-J788)</f>
      </c>
      <c r="L788" s="180" t="str">
        <f>IF(G788=30,1,M787)</f>
      </c>
      <c r="M788" s="181" t="str">
        <f>L788*(1-K788)</f>
      </c>
    </row>
    <row r="789">
      <c r="A789" t="s">
        <v>164</v>
      </c>
      <c r="B789" t="s">
        <v>115</v>
      </c>
      <c r="C789" s="32" t="s">
        <v>294</v>
      </c>
      <c r="D789" t="s">
        <v>378</v>
      </c>
      <c r="E789" t="s">
        <v>395</v>
      </c>
      <c r="F789" s="174" t="n">
        <v>2044</v>
      </c>
      <c r="G789" s="175" t="n">
        <v>57</v>
      </c>
      <c r="H789" s="176" t="n">
        <v>14563.2449439654</v>
      </c>
      <c r="I789" s="177" t="n">
        <v>3890003.55858528</v>
      </c>
      <c r="J789" s="178" t="str">
        <f>IF(I789&gt;0,H789/I789,0)</f>
      </c>
      <c r="K789" s="179" t="str">
        <f>1-EXP(-J789)</f>
      </c>
      <c r="L789" s="180" t="str">
        <f>IF(G789=30,1,M788)</f>
      </c>
      <c r="M789" s="181" t="str">
        <f>L789*(1-K789)</f>
      </c>
    </row>
    <row r="790">
      <c r="A790" t="s">
        <v>164</v>
      </c>
      <c r="B790" t="s">
        <v>115</v>
      </c>
      <c r="C790" s="32" t="s">
        <v>294</v>
      </c>
      <c r="D790" t="s">
        <v>378</v>
      </c>
      <c r="E790" t="s">
        <v>395</v>
      </c>
      <c r="F790" s="174" t="n">
        <v>2044</v>
      </c>
      <c r="G790" s="175" t="n">
        <v>58</v>
      </c>
      <c r="H790" s="176" t="n">
        <v>15687.2486906409</v>
      </c>
      <c r="I790" s="177" t="n">
        <v>3831799.09099565</v>
      </c>
      <c r="J790" s="178" t="str">
        <f>IF(I790&gt;0,H790/I790,0)</f>
      </c>
      <c r="K790" s="179" t="str">
        <f>1-EXP(-J790)</f>
      </c>
      <c r="L790" s="180" t="str">
        <f>IF(G790=30,1,M789)</f>
      </c>
      <c r="M790" s="181" t="str">
        <f>L790*(1-K790)</f>
      </c>
    </row>
    <row r="791">
      <c r="A791" t="s">
        <v>164</v>
      </c>
      <c r="B791" t="s">
        <v>115</v>
      </c>
      <c r="C791" s="32" t="s">
        <v>294</v>
      </c>
      <c r="D791" t="s">
        <v>378</v>
      </c>
      <c r="E791" t="s">
        <v>395</v>
      </c>
      <c r="F791" s="174" t="n">
        <v>2044</v>
      </c>
      <c r="G791" s="175" t="n">
        <v>59</v>
      </c>
      <c r="H791" s="176" t="n">
        <v>17294.3508248144</v>
      </c>
      <c r="I791" s="177" t="n">
        <v>3857390.83419199</v>
      </c>
      <c r="J791" s="178" t="str">
        <f>IF(I791&gt;0,H791/I791,0)</f>
      </c>
      <c r="K791" s="179" t="str">
        <f>1-EXP(-J791)</f>
      </c>
      <c r="L791" s="180" t="str">
        <f>IF(G791=30,1,M790)</f>
      </c>
      <c r="M791" s="181" t="str">
        <f>L791*(1-K791)</f>
      </c>
    </row>
    <row r="792">
      <c r="A792" t="s">
        <v>164</v>
      </c>
      <c r="B792" t="s">
        <v>115</v>
      </c>
      <c r="C792" s="32" t="s">
        <v>294</v>
      </c>
      <c r="D792" t="s">
        <v>378</v>
      </c>
      <c r="E792" t="s">
        <v>395</v>
      </c>
      <c r="F792" s="174" t="n">
        <v>2044</v>
      </c>
      <c r="G792" s="175" t="n">
        <v>60</v>
      </c>
      <c r="H792" s="176" t="n">
        <v>19041.026544848</v>
      </c>
      <c r="I792" s="177" t="n">
        <v>3902494.31231821</v>
      </c>
      <c r="J792" s="178" t="str">
        <f>IF(I792&gt;0,H792/I792,0)</f>
      </c>
      <c r="K792" s="179" t="str">
        <f>1-EXP(-J792)</f>
      </c>
      <c r="L792" s="180" t="str">
        <f>IF(G792=30,1,M791)</f>
      </c>
      <c r="M792" s="181" t="str">
        <f>L792*(1-K792)</f>
      </c>
    </row>
    <row r="793">
      <c r="A793" t="s">
        <v>164</v>
      </c>
      <c r="B793" t="s">
        <v>115</v>
      </c>
      <c r="C793" s="32" t="s">
        <v>294</v>
      </c>
      <c r="D793" t="s">
        <v>378</v>
      </c>
      <c r="E793" t="s">
        <v>395</v>
      </c>
      <c r="F793" s="174" t="n">
        <v>2044</v>
      </c>
      <c r="G793" s="175" t="n">
        <v>61</v>
      </c>
      <c r="H793" s="176" t="n">
        <v>20352.7434750864</v>
      </c>
      <c r="I793" s="177" t="n">
        <v>3845193.67490955</v>
      </c>
      <c r="J793" s="178" t="str">
        <f>IF(I793&gt;0,H793/I793,0)</f>
      </c>
      <c r="K793" s="179" t="str">
        <f>1-EXP(-J793)</f>
      </c>
      <c r="L793" s="180" t="str">
        <f>IF(G793=30,1,M792)</f>
      </c>
      <c r="M793" s="181" t="str">
        <f>L793*(1-K793)</f>
      </c>
    </row>
    <row r="794">
      <c r="A794" t="s">
        <v>164</v>
      </c>
      <c r="B794" t="s">
        <v>115</v>
      </c>
      <c r="C794" s="32" t="s">
        <v>294</v>
      </c>
      <c r="D794" t="s">
        <v>378</v>
      </c>
      <c r="E794" t="s">
        <v>395</v>
      </c>
      <c r="F794" s="174" t="n">
        <v>2044</v>
      </c>
      <c r="G794" s="175" t="n">
        <v>62</v>
      </c>
      <c r="H794" s="176" t="n">
        <v>21447.6781681534</v>
      </c>
      <c r="I794" s="177" t="n">
        <v>3685098.59914151</v>
      </c>
      <c r="J794" s="178" t="str">
        <f>IF(I794&gt;0,H794/I794,0)</f>
      </c>
      <c r="K794" s="179" t="str">
        <f>1-EXP(-J794)</f>
      </c>
      <c r="L794" s="180" t="str">
        <f>IF(G794=30,1,M793)</f>
      </c>
      <c r="M794" s="181" t="str">
        <f>L794*(1-K794)</f>
      </c>
    </row>
    <row r="795">
      <c r="A795" t="s">
        <v>164</v>
      </c>
      <c r="B795" t="s">
        <v>115</v>
      </c>
      <c r="C795" s="32" t="s">
        <v>294</v>
      </c>
      <c r="D795" t="s">
        <v>378</v>
      </c>
      <c r="E795" t="s">
        <v>395</v>
      </c>
      <c r="F795" s="174" t="n">
        <v>2044</v>
      </c>
      <c r="G795" s="175" t="n">
        <v>63</v>
      </c>
      <c r="H795" s="176" t="n">
        <v>22881.6904734514</v>
      </c>
      <c r="I795" s="177" t="n">
        <v>3579506.18454966</v>
      </c>
      <c r="J795" s="178" t="str">
        <f>IF(I795&gt;0,H795/I795,0)</f>
      </c>
      <c r="K795" s="179" t="str">
        <f>1-EXP(-J795)</f>
      </c>
      <c r="L795" s="180" t="str">
        <f>IF(G795=30,1,M794)</f>
      </c>
      <c r="M795" s="181" t="str">
        <f>L795*(1-K795)</f>
      </c>
    </row>
    <row r="796">
      <c r="A796" t="s">
        <v>164</v>
      </c>
      <c r="B796" t="s">
        <v>115</v>
      </c>
      <c r="C796" s="32" t="s">
        <v>294</v>
      </c>
      <c r="D796" t="s">
        <v>378</v>
      </c>
      <c r="E796" t="s">
        <v>395</v>
      </c>
      <c r="F796" s="174" t="n">
        <v>2044</v>
      </c>
      <c r="G796" s="175" t="n">
        <v>64</v>
      </c>
      <c r="H796" s="176" t="n">
        <v>24462.021266751</v>
      </c>
      <c r="I796" s="177" t="n">
        <v>3485730.93626977</v>
      </c>
      <c r="J796" s="178" t="str">
        <f>IF(I796&gt;0,H796/I796,0)</f>
      </c>
      <c r="K796" s="179" t="str">
        <f>1-EXP(-J796)</f>
      </c>
      <c r="L796" s="180" t="str">
        <f>IF(G796=30,1,M795)</f>
      </c>
      <c r="M796" s="181" t="str">
        <f>L796*(1-K796)</f>
      </c>
    </row>
    <row r="797">
      <c r="A797" t="s">
        <v>164</v>
      </c>
      <c r="B797" t="s">
        <v>115</v>
      </c>
      <c r="C797" s="32" t="s">
        <v>294</v>
      </c>
      <c r="D797" t="s">
        <v>378</v>
      </c>
      <c r="E797" t="s">
        <v>395</v>
      </c>
      <c r="F797" s="174" t="n">
        <v>2044</v>
      </c>
      <c r="G797" s="175" t="n">
        <v>65</v>
      </c>
      <c r="H797" s="176" t="n">
        <v>24930.33189737</v>
      </c>
      <c r="I797" s="177" t="n">
        <v>3385042.30263764</v>
      </c>
      <c r="J797" s="178" t="str">
        <f>IF(I797&gt;0,H797/I797,0)</f>
      </c>
      <c r="K797" s="179" t="str">
        <f>1-EXP(-J797)</f>
      </c>
      <c r="L797" s="180" t="str">
        <f>IF(G797=30,1,M796)</f>
      </c>
      <c r="M797" s="181" t="str">
        <f>L797*(1-K797)</f>
      </c>
    </row>
    <row r="798">
      <c r="A798" t="s">
        <v>164</v>
      </c>
      <c r="B798" t="s">
        <v>115</v>
      </c>
      <c r="C798" s="32" t="s">
        <v>294</v>
      </c>
      <c r="D798" t="s">
        <v>378</v>
      </c>
      <c r="E798" t="s">
        <v>395</v>
      </c>
      <c r="F798" s="174" t="n">
        <v>2044</v>
      </c>
      <c r="G798" s="175" t="n">
        <v>66</v>
      </c>
      <c r="H798" s="176" t="n">
        <v>26165.9304902456</v>
      </c>
      <c r="I798" s="177" t="n">
        <v>3266099.14751768</v>
      </c>
      <c r="J798" s="178" t="str">
        <f>IF(I798&gt;0,H798/I798,0)</f>
      </c>
      <c r="K798" s="179" t="str">
        <f>1-EXP(-J798)</f>
      </c>
      <c r="L798" s="180" t="str">
        <f>IF(G798=30,1,M797)</f>
      </c>
      <c r="M798" s="181" t="str">
        <f>L798*(1-K798)</f>
      </c>
    </row>
    <row r="799">
      <c r="A799" t="s">
        <v>164</v>
      </c>
      <c r="B799" t="s">
        <v>115</v>
      </c>
      <c r="C799" s="32" t="s">
        <v>294</v>
      </c>
      <c r="D799" t="s">
        <v>378</v>
      </c>
      <c r="E799" t="s">
        <v>395</v>
      </c>
      <c r="F799" s="174" t="n">
        <v>2044</v>
      </c>
      <c r="G799" s="175" t="n">
        <v>67</v>
      </c>
      <c r="H799" s="176" t="n">
        <v>27838.5706300025</v>
      </c>
      <c r="I799" s="177" t="n">
        <v>3158509.86158587</v>
      </c>
      <c r="J799" s="178" t="str">
        <f>IF(I799&gt;0,H799/I799,0)</f>
      </c>
      <c r="K799" s="179" t="str">
        <f>1-EXP(-J799)</f>
      </c>
      <c r="L799" s="180" t="str">
        <f>IF(G799=30,1,M798)</f>
      </c>
      <c r="M799" s="181" t="str">
        <f>L799*(1-K799)</f>
      </c>
    </row>
    <row r="800">
      <c r="A800" t="s">
        <v>164</v>
      </c>
      <c r="B800" t="s">
        <v>115</v>
      </c>
      <c r="C800" s="32" t="s">
        <v>294</v>
      </c>
      <c r="D800" t="s">
        <v>378</v>
      </c>
      <c r="E800" t="s">
        <v>395</v>
      </c>
      <c r="F800" s="174" t="n">
        <v>2044</v>
      </c>
      <c r="G800" s="175" t="n">
        <v>68</v>
      </c>
      <c r="H800" s="176" t="n">
        <v>29457.7898456845</v>
      </c>
      <c r="I800" s="177" t="n">
        <v>3039564.64451583</v>
      </c>
      <c r="J800" s="178" t="str">
        <f>IF(I800&gt;0,H800/I800,0)</f>
      </c>
      <c r="K800" s="179" t="str">
        <f>1-EXP(-J800)</f>
      </c>
      <c r="L800" s="180" t="str">
        <f>IF(G800=30,1,M799)</f>
      </c>
      <c r="M800" s="181" t="str">
        <f>L800*(1-K800)</f>
      </c>
    </row>
    <row r="801">
      <c r="A801" t="s">
        <v>164</v>
      </c>
      <c r="B801" t="s">
        <v>115</v>
      </c>
      <c r="C801" s="32" t="s">
        <v>294</v>
      </c>
      <c r="D801" t="s">
        <v>378</v>
      </c>
      <c r="E801" t="s">
        <v>395</v>
      </c>
      <c r="F801" s="174" t="n">
        <v>2044</v>
      </c>
      <c r="G801" s="175" t="n">
        <v>69</v>
      </c>
      <c r="H801" s="176" t="n">
        <v>31118.9008434946</v>
      </c>
      <c r="I801" s="177" t="n">
        <v>2918029.11229964</v>
      </c>
      <c r="J801" s="178" t="str">
        <f>IF(I801&gt;0,H801/I801,0)</f>
      </c>
      <c r="K801" s="179" t="str">
        <f>1-EXP(-J801)</f>
      </c>
      <c r="L801" s="180" t="str">
        <f>IF(G801=30,1,M800)</f>
      </c>
      <c r="M801" s="181" t="str">
        <f>L801*(1-K801)</f>
      </c>
    </row>
    <row r="802">
      <c r="A802" t="s">
        <v>164</v>
      </c>
      <c r="B802" t="s">
        <v>115</v>
      </c>
      <c r="C802" s="32" t="s">
        <v>294</v>
      </c>
      <c r="D802" t="s">
        <v>378</v>
      </c>
      <c r="E802" t="s">
        <v>395</v>
      </c>
      <c r="F802" s="174" t="n">
        <v>2045</v>
      </c>
      <c r="G802" s="175" t="n">
        <v>30</v>
      </c>
      <c r="H802" s="176" t="n">
        <v>738.29098738004</v>
      </c>
      <c r="I802" s="177" t="n">
        <v>4642354.34285148</v>
      </c>
      <c r="J802" s="178" t="str">
        <f>IF(I802&gt;0,H802/I802,0)</f>
      </c>
      <c r="K802" s="179" t="str">
        <f>1-EXP(-J802)</f>
      </c>
      <c r="L802" s="180" t="str">
        <f>IF(G802=30,1,M801)</f>
      </c>
      <c r="M802" s="181" t="str">
        <f>L802*(1-K802)</f>
      </c>
    </row>
    <row r="803">
      <c r="A803" t="s">
        <v>164</v>
      </c>
      <c r="B803" t="s">
        <v>115</v>
      </c>
      <c r="C803" s="32" t="s">
        <v>294</v>
      </c>
      <c r="D803" t="s">
        <v>378</v>
      </c>
      <c r="E803" t="s">
        <v>395</v>
      </c>
      <c r="F803" s="174" t="n">
        <v>2045</v>
      </c>
      <c r="G803" s="175" t="n">
        <v>31</v>
      </c>
      <c r="H803" s="176" t="n">
        <v>990.749721120243</v>
      </c>
      <c r="I803" s="177" t="n">
        <v>4708873.29784367</v>
      </c>
      <c r="J803" s="178" t="str">
        <f>IF(I803&gt;0,H803/I803,0)</f>
      </c>
      <c r="K803" s="179" t="str">
        <f>1-EXP(-J803)</f>
      </c>
      <c r="L803" s="180" t="str">
        <f>IF(G803=30,1,M802)</f>
      </c>
      <c r="M803" s="181" t="str">
        <f>L803*(1-K803)</f>
      </c>
    </row>
    <row r="804">
      <c r="A804" t="s">
        <v>164</v>
      </c>
      <c r="B804" t="s">
        <v>115</v>
      </c>
      <c r="C804" s="32" t="s">
        <v>294</v>
      </c>
      <c r="D804" t="s">
        <v>378</v>
      </c>
      <c r="E804" t="s">
        <v>395</v>
      </c>
      <c r="F804" s="174" t="n">
        <v>2045</v>
      </c>
      <c r="G804" s="175" t="n">
        <v>32</v>
      </c>
      <c r="H804" s="176" t="n">
        <v>1053.79335586394</v>
      </c>
      <c r="I804" s="177" t="n">
        <v>4777042.67115297</v>
      </c>
      <c r="J804" s="178" t="str">
        <f>IF(I804&gt;0,H804/I804,0)</f>
      </c>
      <c r="K804" s="179" t="str">
        <f>1-EXP(-J804)</f>
      </c>
      <c r="L804" s="180" t="str">
        <f>IF(G804=30,1,M803)</f>
      </c>
      <c r="M804" s="181" t="str">
        <f>L804*(1-K804)</f>
      </c>
    </row>
    <row r="805">
      <c r="A805" t="s">
        <v>164</v>
      </c>
      <c r="B805" t="s">
        <v>115</v>
      </c>
      <c r="C805" s="32" t="s">
        <v>294</v>
      </c>
      <c r="D805" t="s">
        <v>378</v>
      </c>
      <c r="E805" t="s">
        <v>395</v>
      </c>
      <c r="F805" s="174" t="n">
        <v>2045</v>
      </c>
      <c r="G805" s="175" t="n">
        <v>33</v>
      </c>
      <c r="H805" s="176" t="n">
        <v>1180.33084922393</v>
      </c>
      <c r="I805" s="177" t="n">
        <v>4889560.43780393</v>
      </c>
      <c r="J805" s="178" t="str">
        <f>IF(I805&gt;0,H805/I805,0)</f>
      </c>
      <c r="K805" s="179" t="str">
        <f>1-EXP(-J805)</f>
      </c>
      <c r="L805" s="180" t="str">
        <f>IF(G805=30,1,M804)</f>
      </c>
      <c r="M805" s="181" t="str">
        <f>L805*(1-K805)</f>
      </c>
    </row>
    <row r="806">
      <c r="A806" t="s">
        <v>164</v>
      </c>
      <c r="B806" t="s">
        <v>115</v>
      </c>
      <c r="C806" s="32" t="s">
        <v>294</v>
      </c>
      <c r="D806" t="s">
        <v>378</v>
      </c>
      <c r="E806" t="s">
        <v>395</v>
      </c>
      <c r="F806" s="174" t="n">
        <v>2045</v>
      </c>
      <c r="G806" s="175" t="n">
        <v>34</v>
      </c>
      <c r="H806" s="176" t="n">
        <v>1243.05190712538</v>
      </c>
      <c r="I806" s="177" t="n">
        <v>4861118.68405131</v>
      </c>
      <c r="J806" s="178" t="str">
        <f>IF(I806&gt;0,H806/I806,0)</f>
      </c>
      <c r="K806" s="179" t="str">
        <f>1-EXP(-J806)</f>
      </c>
      <c r="L806" s="180" t="str">
        <f>IF(G806=30,1,M805)</f>
      </c>
      <c r="M806" s="181" t="str">
        <f>L806*(1-K806)</f>
      </c>
    </row>
    <row r="807">
      <c r="A807" t="s">
        <v>164</v>
      </c>
      <c r="B807" t="s">
        <v>115</v>
      </c>
      <c r="C807" s="32" t="s">
        <v>294</v>
      </c>
      <c r="D807" t="s">
        <v>378</v>
      </c>
      <c r="E807" t="s">
        <v>395</v>
      </c>
      <c r="F807" s="174" t="n">
        <v>2045</v>
      </c>
      <c r="G807" s="175" t="n">
        <v>35</v>
      </c>
      <c r="H807" s="176" t="n">
        <v>1575.28814212099</v>
      </c>
      <c r="I807" s="177" t="n">
        <v>4727084.96468357</v>
      </c>
      <c r="J807" s="178" t="str">
        <f>IF(I807&gt;0,H807/I807,0)</f>
      </c>
      <c r="K807" s="179" t="str">
        <f>1-EXP(-J807)</f>
      </c>
      <c r="L807" s="180" t="str">
        <f>IF(G807=30,1,M806)</f>
      </c>
      <c r="M807" s="181" t="str">
        <f>L807*(1-K807)</f>
      </c>
    </row>
    <row r="808">
      <c r="A808" t="s">
        <v>164</v>
      </c>
      <c r="B808" t="s">
        <v>115</v>
      </c>
      <c r="C808" s="32" t="s">
        <v>294</v>
      </c>
      <c r="D808" t="s">
        <v>378</v>
      </c>
      <c r="E808" t="s">
        <v>395</v>
      </c>
      <c r="F808" s="174" t="n">
        <v>2045</v>
      </c>
      <c r="G808" s="175" t="n">
        <v>36</v>
      </c>
      <c r="H808" s="176" t="n">
        <v>1734.02939553239</v>
      </c>
      <c r="I808" s="177" t="n">
        <v>4655290.23319163</v>
      </c>
      <c r="J808" s="178" t="str">
        <f>IF(I808&gt;0,H808/I808,0)</f>
      </c>
      <c r="K808" s="179" t="str">
        <f>1-EXP(-J808)</f>
      </c>
      <c r="L808" s="180" t="str">
        <f>IF(G808=30,1,M807)</f>
      </c>
      <c r="M808" s="181" t="str">
        <f>L808*(1-K808)</f>
      </c>
    </row>
    <row r="809">
      <c r="A809" t="s">
        <v>164</v>
      </c>
      <c r="B809" t="s">
        <v>115</v>
      </c>
      <c r="C809" s="32" t="s">
        <v>294</v>
      </c>
      <c r="D809" t="s">
        <v>378</v>
      </c>
      <c r="E809" t="s">
        <v>395</v>
      </c>
      <c r="F809" s="174" t="n">
        <v>2045</v>
      </c>
      <c r="G809" s="175" t="n">
        <v>37</v>
      </c>
      <c r="H809" s="176" t="n">
        <v>1842.05826542215</v>
      </c>
      <c r="I809" s="177" t="n">
        <v>4611521.5781097</v>
      </c>
      <c r="J809" s="178" t="str">
        <f>IF(I809&gt;0,H809/I809,0)</f>
      </c>
      <c r="K809" s="179" t="str">
        <f>1-EXP(-J809)</f>
      </c>
      <c r="L809" s="180" t="str">
        <f>IF(G809=30,1,M808)</f>
      </c>
      <c r="M809" s="181" t="str">
        <f>L809*(1-K809)</f>
      </c>
    </row>
    <row r="810">
      <c r="A810" t="s">
        <v>164</v>
      </c>
      <c r="B810" t="s">
        <v>115</v>
      </c>
      <c r="C810" s="32" t="s">
        <v>294</v>
      </c>
      <c r="D810" t="s">
        <v>378</v>
      </c>
      <c r="E810" t="s">
        <v>395</v>
      </c>
      <c r="F810" s="174" t="n">
        <v>2045</v>
      </c>
      <c r="G810" s="175" t="n">
        <v>38</v>
      </c>
      <c r="H810" s="176" t="n">
        <v>2052.27074785942</v>
      </c>
      <c r="I810" s="177" t="n">
        <v>4635321.50162629</v>
      </c>
      <c r="J810" s="178" t="str">
        <f>IF(I810&gt;0,H810/I810,0)</f>
      </c>
      <c r="K810" s="179" t="str">
        <f>1-EXP(-J810)</f>
      </c>
      <c r="L810" s="180" t="str">
        <f>IF(G810=30,1,M809)</f>
      </c>
      <c r="M810" s="181" t="str">
        <f>L810*(1-K810)</f>
      </c>
    </row>
    <row r="811">
      <c r="A811" t="s">
        <v>164</v>
      </c>
      <c r="B811" t="s">
        <v>115</v>
      </c>
      <c r="C811" s="32" t="s">
        <v>294</v>
      </c>
      <c r="D811" t="s">
        <v>378</v>
      </c>
      <c r="E811" t="s">
        <v>395</v>
      </c>
      <c r="F811" s="174" t="n">
        <v>2045</v>
      </c>
      <c r="G811" s="175" t="n">
        <v>39</v>
      </c>
      <c r="H811" s="176" t="n">
        <v>2172.40799160815</v>
      </c>
      <c r="I811" s="177" t="n">
        <v>4550741.80351625</v>
      </c>
      <c r="J811" s="178" t="str">
        <f>IF(I811&gt;0,H811/I811,0)</f>
      </c>
      <c r="K811" s="179" t="str">
        <f>1-EXP(-J811)</f>
      </c>
      <c r="L811" s="180" t="str">
        <f>IF(G811=30,1,M810)</f>
      </c>
      <c r="M811" s="181" t="str">
        <f>L811*(1-K811)</f>
      </c>
    </row>
    <row r="812">
      <c r="A812" t="s">
        <v>164</v>
      </c>
      <c r="B812" t="s">
        <v>115</v>
      </c>
      <c r="C812" s="32" t="s">
        <v>294</v>
      </c>
      <c r="D812" t="s">
        <v>378</v>
      </c>
      <c r="E812" t="s">
        <v>395</v>
      </c>
      <c r="F812" s="174" t="n">
        <v>2045</v>
      </c>
      <c r="G812" s="175" t="n">
        <v>40</v>
      </c>
      <c r="H812" s="176" t="n">
        <v>2866.96691178541</v>
      </c>
      <c r="I812" s="177" t="n">
        <v>4487546.8795278</v>
      </c>
      <c r="J812" s="178" t="str">
        <f>IF(I812&gt;0,H812/I812,0)</f>
      </c>
      <c r="K812" s="179" t="str">
        <f>1-EXP(-J812)</f>
      </c>
      <c r="L812" s="180" t="str">
        <f>IF(G812=30,1,M811)</f>
      </c>
      <c r="M812" s="181" t="str">
        <f>L812*(1-K812)</f>
      </c>
    </row>
    <row r="813">
      <c r="A813" t="s">
        <v>164</v>
      </c>
      <c r="B813" t="s">
        <v>115</v>
      </c>
      <c r="C813" s="32" t="s">
        <v>294</v>
      </c>
      <c r="D813" t="s">
        <v>378</v>
      </c>
      <c r="E813" t="s">
        <v>395</v>
      </c>
      <c r="F813" s="174" t="n">
        <v>2045</v>
      </c>
      <c r="G813" s="175" t="n">
        <v>41</v>
      </c>
      <c r="H813" s="176" t="n">
        <v>3073.62478487717</v>
      </c>
      <c r="I813" s="177" t="n">
        <v>4356460.65746813</v>
      </c>
      <c r="J813" s="178" t="str">
        <f>IF(I813&gt;0,H813/I813,0)</f>
      </c>
      <c r="K813" s="179" t="str">
        <f>1-EXP(-J813)</f>
      </c>
      <c r="L813" s="180" t="str">
        <f>IF(G813=30,1,M812)</f>
      </c>
      <c r="M813" s="181" t="str">
        <f>L813*(1-K813)</f>
      </c>
    </row>
    <row r="814">
      <c r="A814" t="s">
        <v>164</v>
      </c>
      <c r="B814" t="s">
        <v>115</v>
      </c>
      <c r="C814" s="32" t="s">
        <v>294</v>
      </c>
      <c r="D814" t="s">
        <v>378</v>
      </c>
      <c r="E814" t="s">
        <v>395</v>
      </c>
      <c r="F814" s="174" t="n">
        <v>2045</v>
      </c>
      <c r="G814" s="175" t="n">
        <v>42</v>
      </c>
      <c r="H814" s="176" t="n">
        <v>3287.54883846051</v>
      </c>
      <c r="I814" s="177" t="n">
        <v>4287918.74333799</v>
      </c>
      <c r="J814" s="178" t="str">
        <f>IF(I814&gt;0,H814/I814,0)</f>
      </c>
      <c r="K814" s="179" t="str">
        <f>1-EXP(-J814)</f>
      </c>
      <c r="L814" s="180" t="str">
        <f>IF(G814=30,1,M813)</f>
      </c>
      <c r="M814" s="181" t="str">
        <f>L814*(1-K814)</f>
      </c>
    </row>
    <row r="815">
      <c r="A815" t="s">
        <v>164</v>
      </c>
      <c r="B815" t="s">
        <v>115</v>
      </c>
      <c r="C815" s="32" t="s">
        <v>294</v>
      </c>
      <c r="D815" t="s">
        <v>378</v>
      </c>
      <c r="E815" t="s">
        <v>395</v>
      </c>
      <c r="F815" s="174" t="n">
        <v>2045</v>
      </c>
      <c r="G815" s="175" t="n">
        <v>43</v>
      </c>
      <c r="H815" s="176" t="n">
        <v>3713.1454317844</v>
      </c>
      <c r="I815" s="177" t="n">
        <v>4260452.91326163</v>
      </c>
      <c r="J815" s="178" t="str">
        <f>IF(I815&gt;0,H815/I815,0)</f>
      </c>
      <c r="K815" s="179" t="str">
        <f>1-EXP(-J815)</f>
      </c>
      <c r="L815" s="180" t="str">
        <f>IF(G815=30,1,M814)</f>
      </c>
      <c r="M815" s="181" t="str">
        <f>L815*(1-K815)</f>
      </c>
    </row>
    <row r="816">
      <c r="A816" t="s">
        <v>164</v>
      </c>
      <c r="B816" t="s">
        <v>115</v>
      </c>
      <c r="C816" s="32" t="s">
        <v>294</v>
      </c>
      <c r="D816" t="s">
        <v>378</v>
      </c>
      <c r="E816" t="s">
        <v>395</v>
      </c>
      <c r="F816" s="174" t="n">
        <v>2045</v>
      </c>
      <c r="G816" s="175" t="n">
        <v>44</v>
      </c>
      <c r="H816" s="176" t="n">
        <v>4023.13789648528</v>
      </c>
      <c r="I816" s="177" t="n">
        <v>4235314.49229167</v>
      </c>
      <c r="J816" s="178" t="str">
        <f>IF(I816&gt;0,H816/I816,0)</f>
      </c>
      <c r="K816" s="179" t="str">
        <f>1-EXP(-J816)</f>
      </c>
      <c r="L816" s="180" t="str">
        <f>IF(G816=30,1,M815)</f>
      </c>
      <c r="M816" s="181" t="str">
        <f>L816*(1-K816)</f>
      </c>
    </row>
    <row r="817">
      <c r="A817" t="s">
        <v>164</v>
      </c>
      <c r="B817" t="s">
        <v>115</v>
      </c>
      <c r="C817" s="32" t="s">
        <v>294</v>
      </c>
      <c r="D817" t="s">
        <v>378</v>
      </c>
      <c r="E817" t="s">
        <v>395</v>
      </c>
      <c r="F817" s="174" t="n">
        <v>2045</v>
      </c>
      <c r="G817" s="175" t="n">
        <v>45</v>
      </c>
      <c r="H817" s="176" t="n">
        <v>5128.17673709739</v>
      </c>
      <c r="I817" s="177" t="n">
        <v>4209231.12783422</v>
      </c>
      <c r="J817" s="178" t="str">
        <f>IF(I817&gt;0,H817/I817,0)</f>
      </c>
      <c r="K817" s="179" t="str">
        <f>1-EXP(-J817)</f>
      </c>
      <c r="L817" s="180" t="str">
        <f>IF(G817=30,1,M816)</f>
      </c>
      <c r="M817" s="181" t="str">
        <f>L817*(1-K817)</f>
      </c>
    </row>
    <row r="818">
      <c r="A818" t="s">
        <v>164</v>
      </c>
      <c r="B818" t="s">
        <v>115</v>
      </c>
      <c r="C818" s="32" t="s">
        <v>294</v>
      </c>
      <c r="D818" t="s">
        <v>378</v>
      </c>
      <c r="E818" t="s">
        <v>395</v>
      </c>
      <c r="F818" s="174" t="n">
        <v>2045</v>
      </c>
      <c r="G818" s="175" t="n">
        <v>46</v>
      </c>
      <c r="H818" s="176" t="n">
        <v>5607.34483840566</v>
      </c>
      <c r="I818" s="177" t="n">
        <v>4220241.26067726</v>
      </c>
      <c r="J818" s="178" t="str">
        <f>IF(I818&gt;0,H818/I818,0)</f>
      </c>
      <c r="K818" s="179" t="str">
        <f>1-EXP(-J818)</f>
      </c>
      <c r="L818" s="180" t="str">
        <f>IF(G818=30,1,M817)</f>
      </c>
      <c r="M818" s="181" t="str">
        <f>L818*(1-K818)</f>
      </c>
    </row>
    <row r="819">
      <c r="A819" t="s">
        <v>164</v>
      </c>
      <c r="B819" t="s">
        <v>115</v>
      </c>
      <c r="C819" s="32" t="s">
        <v>294</v>
      </c>
      <c r="D819" t="s">
        <v>378</v>
      </c>
      <c r="E819" t="s">
        <v>395</v>
      </c>
      <c r="F819" s="174" t="n">
        <v>2045</v>
      </c>
      <c r="G819" s="175" t="n">
        <v>47</v>
      </c>
      <c r="H819" s="176" t="n">
        <v>6229.35116897491</v>
      </c>
      <c r="I819" s="177" t="n">
        <v>4269189.99518116</v>
      </c>
      <c r="J819" s="178" t="str">
        <f>IF(I819&gt;0,H819/I819,0)</f>
      </c>
      <c r="K819" s="179" t="str">
        <f>1-EXP(-J819)</f>
      </c>
      <c r="L819" s="180" t="str">
        <f>IF(G819=30,1,M818)</f>
      </c>
      <c r="M819" s="181" t="str">
        <f>L819*(1-K819)</f>
      </c>
    </row>
    <row r="820">
      <c r="A820" t="s">
        <v>164</v>
      </c>
      <c r="B820" t="s">
        <v>115</v>
      </c>
      <c r="C820" s="32" t="s">
        <v>294</v>
      </c>
      <c r="D820" t="s">
        <v>378</v>
      </c>
      <c r="E820" t="s">
        <v>395</v>
      </c>
      <c r="F820" s="174" t="n">
        <v>2045</v>
      </c>
      <c r="G820" s="175" t="n">
        <v>48</v>
      </c>
      <c r="H820" s="176" t="n">
        <v>7238.20144911735</v>
      </c>
      <c r="I820" s="177" t="n">
        <v>4391006.399437</v>
      </c>
      <c r="J820" s="178" t="str">
        <f>IF(I820&gt;0,H820/I820,0)</f>
      </c>
      <c r="K820" s="179" t="str">
        <f>1-EXP(-J820)</f>
      </c>
      <c r="L820" s="180" t="str">
        <f>IF(G820=30,1,M819)</f>
      </c>
      <c r="M820" s="181" t="str">
        <f>L820*(1-K820)</f>
      </c>
    </row>
    <row r="821">
      <c r="A821" t="s">
        <v>164</v>
      </c>
      <c r="B821" t="s">
        <v>115</v>
      </c>
      <c r="C821" s="32" t="s">
        <v>294</v>
      </c>
      <c r="D821" t="s">
        <v>378</v>
      </c>
      <c r="E821" t="s">
        <v>395</v>
      </c>
      <c r="F821" s="174" t="n">
        <v>2045</v>
      </c>
      <c r="G821" s="175" t="n">
        <v>49</v>
      </c>
      <c r="H821" s="176" t="n">
        <v>7848.84601309173</v>
      </c>
      <c r="I821" s="177" t="n">
        <v>4337381.27189036</v>
      </c>
      <c r="J821" s="178" t="str">
        <f>IF(I821&gt;0,H821/I821,0)</f>
      </c>
      <c r="K821" s="179" t="str">
        <f>1-EXP(-J821)</f>
      </c>
      <c r="L821" s="180" t="str">
        <f>IF(G821=30,1,M820)</f>
      </c>
      <c r="M821" s="181" t="str">
        <f>L821*(1-K821)</f>
      </c>
    </row>
    <row r="822">
      <c r="A822" t="s">
        <v>164</v>
      </c>
      <c r="B822" t="s">
        <v>115</v>
      </c>
      <c r="C822" s="32" t="s">
        <v>294</v>
      </c>
      <c r="D822" t="s">
        <v>378</v>
      </c>
      <c r="E822" t="s">
        <v>395</v>
      </c>
      <c r="F822" s="174" t="n">
        <v>2045</v>
      </c>
      <c r="G822" s="175" t="n">
        <v>50</v>
      </c>
      <c r="H822" s="176" t="n">
        <v>8803.15335717842</v>
      </c>
      <c r="I822" s="177" t="n">
        <v>4253588.91307165</v>
      </c>
      <c r="J822" s="178" t="str">
        <f>IF(I822&gt;0,H822/I822,0)</f>
      </c>
      <c r="K822" s="179" t="str">
        <f>1-EXP(-J822)</f>
      </c>
      <c r="L822" s="180" t="str">
        <f>IF(G822=30,1,M821)</f>
      </c>
      <c r="M822" s="181" t="str">
        <f>L822*(1-K822)</f>
      </c>
    </row>
    <row r="823">
      <c r="A823" t="s">
        <v>164</v>
      </c>
      <c r="B823" t="s">
        <v>115</v>
      </c>
      <c r="C823" s="32" t="s">
        <v>294</v>
      </c>
      <c r="D823" t="s">
        <v>378</v>
      </c>
      <c r="E823" t="s">
        <v>395</v>
      </c>
      <c r="F823" s="174" t="n">
        <v>2045</v>
      </c>
      <c r="G823" s="175" t="n">
        <v>51</v>
      </c>
      <c r="H823" s="176" t="n">
        <v>9359.72334168466</v>
      </c>
      <c r="I823" s="177" t="n">
        <v>4183202.88181718</v>
      </c>
      <c r="J823" s="178" t="str">
        <f>IF(I823&gt;0,H823/I823,0)</f>
      </c>
      <c r="K823" s="179" t="str">
        <f>1-EXP(-J823)</f>
      </c>
      <c r="L823" s="180" t="str">
        <f>IF(G823=30,1,M822)</f>
      </c>
      <c r="M823" s="181" t="str">
        <f>L823*(1-K823)</f>
      </c>
    </row>
    <row r="824">
      <c r="A824" t="s">
        <v>164</v>
      </c>
      <c r="B824" t="s">
        <v>115</v>
      </c>
      <c r="C824" s="32" t="s">
        <v>294</v>
      </c>
      <c r="D824" t="s">
        <v>378</v>
      </c>
      <c r="E824" t="s">
        <v>395</v>
      </c>
      <c r="F824" s="174" t="n">
        <v>2045</v>
      </c>
      <c r="G824" s="175" t="n">
        <v>52</v>
      </c>
      <c r="H824" s="176" t="n">
        <v>10085.5862496765</v>
      </c>
      <c r="I824" s="177" t="n">
        <v>4115773.12573721</v>
      </c>
      <c r="J824" s="178" t="str">
        <f>IF(I824&gt;0,H824/I824,0)</f>
      </c>
      <c r="K824" s="179" t="str">
        <f>1-EXP(-J824)</f>
      </c>
      <c r="L824" s="180" t="str">
        <f>IF(G824=30,1,M823)</f>
      </c>
      <c r="M824" s="181" t="str">
        <f>L824*(1-K824)</f>
      </c>
    </row>
    <row r="825">
      <c r="A825" t="s">
        <v>164</v>
      </c>
      <c r="B825" t="s">
        <v>115</v>
      </c>
      <c r="C825" s="32" t="s">
        <v>294</v>
      </c>
      <c r="D825" t="s">
        <v>378</v>
      </c>
      <c r="E825" t="s">
        <v>395</v>
      </c>
      <c r="F825" s="174" t="n">
        <v>2045</v>
      </c>
      <c r="G825" s="175" t="n">
        <v>53</v>
      </c>
      <c r="H825" s="176" t="n">
        <v>11052.1184297636</v>
      </c>
      <c r="I825" s="177" t="n">
        <v>4133956.80258616</v>
      </c>
      <c r="J825" s="178" t="str">
        <f>IF(I825&gt;0,H825/I825,0)</f>
      </c>
      <c r="K825" s="179" t="str">
        <f>1-EXP(-J825)</f>
      </c>
      <c r="L825" s="180" t="str">
        <f>IF(G825=30,1,M824)</f>
      </c>
      <c r="M825" s="181" t="str">
        <f>L825*(1-K825)</f>
      </c>
    </row>
    <row r="826">
      <c r="A826" t="s">
        <v>164</v>
      </c>
      <c r="B826" t="s">
        <v>115</v>
      </c>
      <c r="C826" s="32" t="s">
        <v>294</v>
      </c>
      <c r="D826" t="s">
        <v>378</v>
      </c>
      <c r="E826" t="s">
        <v>395</v>
      </c>
      <c r="F826" s="174" t="n">
        <v>2045</v>
      </c>
      <c r="G826" s="175" t="n">
        <v>54</v>
      </c>
      <c r="H826" s="176" t="n">
        <v>12044.149881451</v>
      </c>
      <c r="I826" s="177" t="n">
        <v>4131282.98069297</v>
      </c>
      <c r="J826" s="178" t="str">
        <f>IF(I826&gt;0,H826/I826,0)</f>
      </c>
      <c r="K826" s="179" t="str">
        <f>1-EXP(-J826)</f>
      </c>
      <c r="L826" s="180" t="str">
        <f>IF(G826=30,1,M825)</f>
      </c>
      <c r="M826" s="181" t="str">
        <f>L826*(1-K826)</f>
      </c>
    </row>
    <row r="827">
      <c r="A827" t="s">
        <v>164</v>
      </c>
      <c r="B827" t="s">
        <v>115</v>
      </c>
      <c r="C827" s="32" t="s">
        <v>294</v>
      </c>
      <c r="D827" t="s">
        <v>378</v>
      </c>
      <c r="E827" t="s">
        <v>395</v>
      </c>
      <c r="F827" s="174" t="n">
        <v>2045</v>
      </c>
      <c r="G827" s="175" t="n">
        <v>55</v>
      </c>
      <c r="H827" s="176" t="n">
        <v>17412.9475089305</v>
      </c>
      <c r="I827" s="177" t="n">
        <v>6073988.97122359</v>
      </c>
      <c r="J827" s="178" t="str">
        <f>IF(I827&gt;0,H827/I827,0)</f>
      </c>
      <c r="K827" s="179" t="str">
        <f>1-EXP(-J827)</f>
      </c>
      <c r="L827" s="180" t="str">
        <f>IF(G827=30,1,M826)</f>
      </c>
      <c r="M827" s="181" t="str">
        <f>L827*(1-K827)</f>
      </c>
    </row>
    <row r="828">
      <c r="A828" t="s">
        <v>164</v>
      </c>
      <c r="B828" t="s">
        <v>115</v>
      </c>
      <c r="C828" s="32" t="s">
        <v>294</v>
      </c>
      <c r="D828" t="s">
        <v>378</v>
      </c>
      <c r="E828" t="s">
        <v>395</v>
      </c>
      <c r="F828" s="174" t="n">
        <v>2045</v>
      </c>
      <c r="G828" s="175" t="n">
        <v>56</v>
      </c>
      <c r="H828" s="176" t="n">
        <v>13653.4529925836</v>
      </c>
      <c r="I828" s="177" t="n">
        <v>4047325.11650687</v>
      </c>
      <c r="J828" s="178" t="str">
        <f>IF(I828&gt;0,H828/I828,0)</f>
      </c>
      <c r="K828" s="179" t="str">
        <f>1-EXP(-J828)</f>
      </c>
      <c r="L828" s="180" t="str">
        <f>IF(G828=30,1,M827)</f>
      </c>
      <c r="M828" s="181" t="str">
        <f>L828*(1-K828)</f>
      </c>
    </row>
    <row r="829">
      <c r="A829" t="s">
        <v>164</v>
      </c>
      <c r="B829" t="s">
        <v>115</v>
      </c>
      <c r="C829" s="32" t="s">
        <v>294</v>
      </c>
      <c r="D829" t="s">
        <v>378</v>
      </c>
      <c r="E829" t="s">
        <v>395</v>
      </c>
      <c r="F829" s="174" t="n">
        <v>2045</v>
      </c>
      <c r="G829" s="175" t="n">
        <v>57</v>
      </c>
      <c r="H829" s="176" t="n">
        <v>14762.0368447614</v>
      </c>
      <c r="I829" s="177" t="n">
        <v>4006476.67214627</v>
      </c>
      <c r="J829" s="178" t="str">
        <f>IF(I829&gt;0,H829/I829,0)</f>
      </c>
      <c r="K829" s="179" t="str">
        <f>1-EXP(-J829)</f>
      </c>
      <c r="L829" s="180" t="str">
        <f>IF(G829=30,1,M828)</f>
      </c>
      <c r="M829" s="181" t="str">
        <f>L829*(1-K829)</f>
      </c>
    </row>
    <row r="830">
      <c r="A830" t="s">
        <v>164</v>
      </c>
      <c r="B830" t="s">
        <v>115</v>
      </c>
      <c r="C830" s="32" t="s">
        <v>294</v>
      </c>
      <c r="D830" t="s">
        <v>378</v>
      </c>
      <c r="E830" t="s">
        <v>395</v>
      </c>
      <c r="F830" s="174" t="n">
        <v>2045</v>
      </c>
      <c r="G830" s="175" t="n">
        <v>58</v>
      </c>
      <c r="H830" s="176" t="n">
        <v>15548.4930733918</v>
      </c>
      <c r="I830" s="177" t="n">
        <v>3857005.60133611</v>
      </c>
      <c r="J830" s="178" t="str">
        <f>IF(I830&gt;0,H830/I830,0)</f>
      </c>
      <c r="K830" s="179" t="str">
        <f>1-EXP(-J830)</f>
      </c>
      <c r="L830" s="180" t="str">
        <f>IF(G830=30,1,M829)</f>
      </c>
      <c r="M830" s="181" t="str">
        <f>L830*(1-K830)</f>
      </c>
    </row>
    <row r="831">
      <c r="A831" t="s">
        <v>164</v>
      </c>
      <c r="B831" t="s">
        <v>115</v>
      </c>
      <c r="C831" s="32" t="s">
        <v>294</v>
      </c>
      <c r="D831" t="s">
        <v>378</v>
      </c>
      <c r="E831" t="s">
        <v>395</v>
      </c>
      <c r="F831" s="174" t="n">
        <v>2045</v>
      </c>
      <c r="G831" s="175" t="n">
        <v>59</v>
      </c>
      <c r="H831" s="176" t="n">
        <v>16757.5884824259</v>
      </c>
      <c r="I831" s="177" t="n">
        <v>3796317.7485818</v>
      </c>
      <c r="J831" s="178" t="str">
        <f>IF(I831&gt;0,H831/I831,0)</f>
      </c>
      <c r="K831" s="179" t="str">
        <f>1-EXP(-J831)</f>
      </c>
      <c r="L831" s="180" t="str">
        <f>IF(G831=30,1,M830)</f>
      </c>
      <c r="M831" s="181" t="str">
        <f>L831*(1-K831)</f>
      </c>
    </row>
    <row r="832">
      <c r="A832" t="s">
        <v>164</v>
      </c>
      <c r="B832" t="s">
        <v>115</v>
      </c>
      <c r="C832" s="32" t="s">
        <v>294</v>
      </c>
      <c r="D832" t="s">
        <v>378</v>
      </c>
      <c r="E832" t="s">
        <v>395</v>
      </c>
      <c r="F832" s="174" t="n">
        <v>2045</v>
      </c>
      <c r="G832" s="175" t="n">
        <v>60</v>
      </c>
      <c r="H832" s="176" t="n">
        <v>18287.2743535963</v>
      </c>
      <c r="I832" s="177" t="n">
        <v>3818336.00367131</v>
      </c>
      <c r="J832" s="178" t="str">
        <f>IF(I832&gt;0,H832/I832,0)</f>
      </c>
      <c r="K832" s="179" t="str">
        <f>1-EXP(-J832)</f>
      </c>
      <c r="L832" s="180" t="str">
        <f>IF(G832=30,1,M831)</f>
      </c>
      <c r="M832" s="181" t="str">
        <f>L832*(1-K832)</f>
      </c>
    </row>
    <row r="833">
      <c r="A833" t="s">
        <v>164</v>
      </c>
      <c r="B833" t="s">
        <v>115</v>
      </c>
      <c r="C833" s="32" t="s">
        <v>294</v>
      </c>
      <c r="D833" t="s">
        <v>378</v>
      </c>
      <c r="E833" t="s">
        <v>395</v>
      </c>
      <c r="F833" s="174" t="n">
        <v>2045</v>
      </c>
      <c r="G833" s="175" t="n">
        <v>61</v>
      </c>
      <c r="H833" s="176" t="n">
        <v>20088.1809777709</v>
      </c>
      <c r="I833" s="177" t="n">
        <v>3859066.79194553</v>
      </c>
      <c r="J833" s="178" t="str">
        <f>IF(I833&gt;0,H833/I833,0)</f>
      </c>
      <c r="K833" s="179" t="str">
        <f>1-EXP(-J833)</f>
      </c>
      <c r="L833" s="180" t="str">
        <f>IF(G833=30,1,M832)</f>
      </c>
      <c r="M833" s="181" t="str">
        <f>L833*(1-K833)</f>
      </c>
    </row>
    <row r="834">
      <c r="A834" t="s">
        <v>164</v>
      </c>
      <c r="B834" t="s">
        <v>115</v>
      </c>
      <c r="C834" s="32" t="s">
        <v>294</v>
      </c>
      <c r="D834" t="s">
        <v>378</v>
      </c>
      <c r="E834" t="s">
        <v>395</v>
      </c>
      <c r="F834" s="174" t="n">
        <v>2045</v>
      </c>
      <c r="G834" s="175" t="n">
        <v>62</v>
      </c>
      <c r="H834" s="176" t="n">
        <v>21729.4892072833</v>
      </c>
      <c r="I834" s="177" t="n">
        <v>3798641.67396648</v>
      </c>
      <c r="J834" s="178" t="str">
        <f>IF(I834&gt;0,H834/I834,0)</f>
      </c>
      <c r="K834" s="179" t="str">
        <f>1-EXP(-J834)</f>
      </c>
      <c r="L834" s="180" t="str">
        <f>IF(G834=30,1,M833)</f>
      </c>
      <c r="M834" s="181" t="str">
        <f>L834*(1-K834)</f>
      </c>
    </row>
    <row r="835">
      <c r="A835" t="s">
        <v>164</v>
      </c>
      <c r="B835" t="s">
        <v>115</v>
      </c>
      <c r="C835" s="32" t="s">
        <v>294</v>
      </c>
      <c r="D835" t="s">
        <v>378</v>
      </c>
      <c r="E835" t="s">
        <v>395</v>
      </c>
      <c r="F835" s="174" t="n">
        <v>2045</v>
      </c>
      <c r="G835" s="175" t="n">
        <v>63</v>
      </c>
      <c r="H835" s="176" t="n">
        <v>22871.2702691228</v>
      </c>
      <c r="I835" s="177" t="n">
        <v>3636095.26692767</v>
      </c>
      <c r="J835" s="178" t="str">
        <f>IF(I835&gt;0,H835/I835,0)</f>
      </c>
      <c r="K835" s="179" t="str">
        <f>1-EXP(-J835)</f>
      </c>
      <c r="L835" s="180" t="str">
        <f>IF(G835=30,1,M834)</f>
      </c>
      <c r="M835" s="181" t="str">
        <f>L835*(1-K835)</f>
      </c>
    </row>
    <row r="836">
      <c r="A836" t="s">
        <v>164</v>
      </c>
      <c r="B836" t="s">
        <v>115</v>
      </c>
      <c r="C836" s="32" t="s">
        <v>294</v>
      </c>
      <c r="D836" t="s">
        <v>378</v>
      </c>
      <c r="E836" t="s">
        <v>395</v>
      </c>
      <c r="F836" s="174" t="n">
        <v>2045</v>
      </c>
      <c r="G836" s="175" t="n">
        <v>64</v>
      </c>
      <c r="H836" s="176" t="n">
        <v>24361.5661521837</v>
      </c>
      <c r="I836" s="177" t="n">
        <v>3527267.68175554</v>
      </c>
      <c r="J836" s="178" t="str">
        <f>IF(I836&gt;0,H836/I836,0)</f>
      </c>
      <c r="K836" s="179" t="str">
        <f>1-EXP(-J836)</f>
      </c>
      <c r="L836" s="180" t="str">
        <f>IF(G836=30,1,M835)</f>
      </c>
      <c r="M836" s="181" t="str">
        <f>L836*(1-K836)</f>
      </c>
    </row>
    <row r="837">
      <c r="A837" t="s">
        <v>164</v>
      </c>
      <c r="B837" t="s">
        <v>115</v>
      </c>
      <c r="C837" s="32" t="s">
        <v>294</v>
      </c>
      <c r="D837" t="s">
        <v>378</v>
      </c>
      <c r="E837" t="s">
        <v>395</v>
      </c>
      <c r="F837" s="174" t="n">
        <v>2045</v>
      </c>
      <c r="G837" s="175" t="n">
        <v>65</v>
      </c>
      <c r="H837" s="176" t="n">
        <v>24802.2573040735</v>
      </c>
      <c r="I837" s="177" t="n">
        <v>3429913.8817669</v>
      </c>
      <c r="J837" s="178" t="str">
        <f>IF(I837&gt;0,H837/I837,0)</f>
      </c>
      <c r="K837" s="179" t="str">
        <f>1-EXP(-J837)</f>
      </c>
      <c r="L837" s="180" t="str">
        <f>IF(G837=30,1,M836)</f>
      </c>
      <c r="M837" s="181" t="str">
        <f>L837*(1-K837)</f>
      </c>
    </row>
    <row r="838">
      <c r="A838" t="s">
        <v>164</v>
      </c>
      <c r="B838" t="s">
        <v>115</v>
      </c>
      <c r="C838" s="32" t="s">
        <v>294</v>
      </c>
      <c r="D838" t="s">
        <v>378</v>
      </c>
      <c r="E838" t="s">
        <v>395</v>
      </c>
      <c r="F838" s="174" t="n">
        <v>2045</v>
      </c>
      <c r="G838" s="175" t="n">
        <v>66</v>
      </c>
      <c r="H838" s="176" t="n">
        <v>26207.4557009029</v>
      </c>
      <c r="I838" s="177" t="n">
        <v>3326140.13344266</v>
      </c>
      <c r="J838" s="178" t="str">
        <f>IF(I838&gt;0,H838/I838,0)</f>
      </c>
      <c r="K838" s="179" t="str">
        <f>1-EXP(-J838)</f>
      </c>
      <c r="L838" s="180" t="str">
        <f>IF(G838=30,1,M837)</f>
      </c>
      <c r="M838" s="181" t="str">
        <f>L838*(1-K838)</f>
      </c>
    </row>
    <row r="839">
      <c r="A839" t="s">
        <v>164</v>
      </c>
      <c r="B839" t="s">
        <v>115</v>
      </c>
      <c r="C839" s="32" t="s">
        <v>294</v>
      </c>
      <c r="D839" t="s">
        <v>378</v>
      </c>
      <c r="E839" t="s">
        <v>395</v>
      </c>
      <c r="F839" s="174" t="n">
        <v>2045</v>
      </c>
      <c r="G839" s="175" t="n">
        <v>67</v>
      </c>
      <c r="H839" s="176" t="n">
        <v>27749.7918466443</v>
      </c>
      <c r="I839" s="177" t="n">
        <v>3203337.18830609</v>
      </c>
      <c r="J839" s="178" t="str">
        <f>IF(I839&gt;0,H839/I839,0)</f>
      </c>
      <c r="K839" s="179" t="str">
        <f>1-EXP(-J839)</f>
      </c>
      <c r="L839" s="180" t="str">
        <f>IF(G839=30,1,M838)</f>
      </c>
      <c r="M839" s="181" t="str">
        <f>L839*(1-K839)</f>
      </c>
    </row>
    <row r="840">
      <c r="A840" t="s">
        <v>164</v>
      </c>
      <c r="B840" t="s">
        <v>115</v>
      </c>
      <c r="C840" s="32" t="s">
        <v>294</v>
      </c>
      <c r="D840" t="s">
        <v>378</v>
      </c>
      <c r="E840" t="s">
        <v>395</v>
      </c>
      <c r="F840" s="174" t="n">
        <v>2045</v>
      </c>
      <c r="G840" s="175" t="n">
        <v>68</v>
      </c>
      <c r="H840" s="176" t="n">
        <v>29487.6315882732</v>
      </c>
      <c r="I840" s="177" t="n">
        <v>3091810.43305067</v>
      </c>
      <c r="J840" s="178" t="str">
        <f>IF(I840&gt;0,H840/I840,0)</f>
      </c>
      <c r="K840" s="179" t="str">
        <f>1-EXP(-J840)</f>
      </c>
      <c r="L840" s="180" t="str">
        <f>IF(G840=30,1,M839)</f>
      </c>
      <c r="M840" s="181" t="str">
        <f>L840*(1-K840)</f>
      </c>
    </row>
    <row r="841">
      <c r="A841" t="s">
        <v>164</v>
      </c>
      <c r="B841" t="s">
        <v>115</v>
      </c>
      <c r="C841" s="32" t="s">
        <v>294</v>
      </c>
      <c r="D841" t="s">
        <v>378</v>
      </c>
      <c r="E841" t="s">
        <v>395</v>
      </c>
      <c r="F841" s="174" t="n">
        <v>2045</v>
      </c>
      <c r="G841" s="175" t="n">
        <v>69</v>
      </c>
      <c r="H841" s="176" t="n">
        <v>31167.0860048047</v>
      </c>
      <c r="I841" s="177" t="n">
        <v>2969097.41546334</v>
      </c>
      <c r="J841" s="178" t="str">
        <f>IF(I841&gt;0,H841/I841,0)</f>
      </c>
      <c r="K841" s="179" t="str">
        <f>1-EXP(-J841)</f>
      </c>
      <c r="L841" s="180" t="str">
        <f>IF(G841=30,1,M840)</f>
      </c>
      <c r="M841" s="181" t="str">
        <f>L841*(1-K841)</f>
      </c>
    </row>
    <row r="842">
      <c r="A842" t="s">
        <v>164</v>
      </c>
      <c r="B842" t="s">
        <v>115</v>
      </c>
      <c r="C842" s="32" t="s">
        <v>294</v>
      </c>
      <c r="D842" t="s">
        <v>378</v>
      </c>
      <c r="E842" t="s">
        <v>395</v>
      </c>
      <c r="F842" s="174" t="n">
        <v>2046</v>
      </c>
      <c r="G842" s="175" t="n">
        <v>30</v>
      </c>
      <c r="H842" s="176" t="n">
        <v>691.855183158732</v>
      </c>
      <c r="I842" s="177" t="n">
        <v>4588342.4157471</v>
      </c>
      <c r="J842" s="178" t="str">
        <f>IF(I842&gt;0,H842/I842,0)</f>
      </c>
      <c r="K842" s="179" t="str">
        <f>1-EXP(-J842)</f>
      </c>
      <c r="L842" s="180" t="str">
        <f>IF(G842=30,1,M841)</f>
      </c>
      <c r="M842" s="181" t="str">
        <f>L842*(1-K842)</f>
      </c>
    </row>
    <row r="843">
      <c r="A843" t="s">
        <v>164</v>
      </c>
      <c r="B843" t="s">
        <v>115</v>
      </c>
      <c r="C843" s="32" t="s">
        <v>294</v>
      </c>
      <c r="D843" t="s">
        <v>378</v>
      </c>
      <c r="E843" t="s">
        <v>395</v>
      </c>
      <c r="F843" s="174" t="n">
        <v>2046</v>
      </c>
      <c r="G843" s="175" t="n">
        <v>31</v>
      </c>
      <c r="H843" s="176" t="n">
        <v>977.396539672864</v>
      </c>
      <c r="I843" s="177" t="n">
        <v>4637146.91971645</v>
      </c>
      <c r="J843" s="178" t="str">
        <f>IF(I843&gt;0,H843/I843,0)</f>
      </c>
      <c r="K843" s="179" t="str">
        <f>1-EXP(-J843)</f>
      </c>
      <c r="L843" s="180" t="str">
        <f>IF(G843=30,1,M842)</f>
      </c>
      <c r="M843" s="181" t="str">
        <f>L843*(1-K843)</f>
      </c>
    </row>
    <row r="844">
      <c r="A844" t="s">
        <v>164</v>
      </c>
      <c r="B844" t="s">
        <v>115</v>
      </c>
      <c r="C844" s="32" t="s">
        <v>294</v>
      </c>
      <c r="D844" t="s">
        <v>378</v>
      </c>
      <c r="E844" t="s">
        <v>395</v>
      </c>
      <c r="F844" s="174" t="n">
        <v>2046</v>
      </c>
      <c r="G844" s="175" t="n">
        <v>32</v>
      </c>
      <c r="H844" s="176" t="n">
        <v>1039.30659747305</v>
      </c>
      <c r="I844" s="177" t="n">
        <v>4703668.67670239</v>
      </c>
      <c r="J844" s="178" t="str">
        <f>IF(I844&gt;0,H844/I844,0)</f>
      </c>
      <c r="K844" s="179" t="str">
        <f>1-EXP(-J844)</f>
      </c>
      <c r="L844" s="180" t="str">
        <f>IF(G844=30,1,M843)</f>
      </c>
      <c r="M844" s="181" t="str">
        <f>L844*(1-K844)</f>
      </c>
    </row>
    <row r="845">
      <c r="A845" t="s">
        <v>164</v>
      </c>
      <c r="B845" t="s">
        <v>115</v>
      </c>
      <c r="C845" s="32" t="s">
        <v>294</v>
      </c>
      <c r="D845" t="s">
        <v>378</v>
      </c>
      <c r="E845" t="s">
        <v>395</v>
      </c>
      <c r="F845" s="174" t="n">
        <v>2046</v>
      </c>
      <c r="G845" s="175" t="n">
        <v>33</v>
      </c>
      <c r="H845" s="176" t="n">
        <v>1111.23637419538</v>
      </c>
      <c r="I845" s="177" t="n">
        <v>4771550.525556</v>
      </c>
      <c r="J845" s="178" t="str">
        <f>IF(I845&gt;0,H845/I845,0)</f>
      </c>
      <c r="K845" s="179" t="str">
        <f>1-EXP(-J845)</f>
      </c>
      <c r="L845" s="180" t="str">
        <f>IF(G845=30,1,M844)</f>
      </c>
      <c r="M845" s="181" t="str">
        <f>L845*(1-K845)</f>
      </c>
    </row>
    <row r="846">
      <c r="A846" t="s">
        <v>164</v>
      </c>
      <c r="B846" t="s">
        <v>115</v>
      </c>
      <c r="C846" s="32" t="s">
        <v>294</v>
      </c>
      <c r="D846" t="s">
        <v>378</v>
      </c>
      <c r="E846" t="s">
        <v>395</v>
      </c>
      <c r="F846" s="174" t="n">
        <v>2046</v>
      </c>
      <c r="G846" s="175" t="n">
        <v>34</v>
      </c>
      <c r="H846" s="176" t="n">
        <v>1250.1337011738</v>
      </c>
      <c r="I846" s="177" t="n">
        <v>4883641.16782088</v>
      </c>
      <c r="J846" s="178" t="str">
        <f>IF(I846&gt;0,H846/I846,0)</f>
      </c>
      <c r="K846" s="179" t="str">
        <f>1-EXP(-J846)</f>
      </c>
      <c r="L846" s="180" t="str">
        <f>IF(G846=30,1,M845)</f>
      </c>
      <c r="M846" s="181" t="str">
        <f>L846*(1-K846)</f>
      </c>
    </row>
    <row r="847">
      <c r="A847" t="s">
        <v>164</v>
      </c>
      <c r="B847" t="s">
        <v>115</v>
      </c>
      <c r="C847" s="32" t="s">
        <v>294</v>
      </c>
      <c r="D847" t="s">
        <v>378</v>
      </c>
      <c r="E847" t="s">
        <v>395</v>
      </c>
      <c r="F847" s="174" t="n">
        <v>2046</v>
      </c>
      <c r="G847" s="175" t="n">
        <v>35</v>
      </c>
      <c r="H847" s="176" t="n">
        <v>1615.17380517793</v>
      </c>
      <c r="I847" s="177" t="n">
        <v>4854934.86619567</v>
      </c>
      <c r="J847" s="178" t="str">
        <f>IF(I847&gt;0,H847/I847,0)</f>
      </c>
      <c r="K847" s="179" t="str">
        <f>1-EXP(-J847)</f>
      </c>
      <c r="L847" s="180" t="str">
        <f>IF(G847=30,1,M846)</f>
      </c>
      <c r="M847" s="181" t="str">
        <f>L847*(1-K847)</f>
      </c>
    </row>
    <row r="848">
      <c r="A848" t="s">
        <v>164</v>
      </c>
      <c r="B848" t="s">
        <v>115</v>
      </c>
      <c r="C848" s="32" t="s">
        <v>294</v>
      </c>
      <c r="D848" t="s">
        <v>378</v>
      </c>
      <c r="E848" t="s">
        <v>395</v>
      </c>
      <c r="F848" s="174" t="n">
        <v>2046</v>
      </c>
      <c r="G848" s="175" t="n">
        <v>36</v>
      </c>
      <c r="H848" s="176" t="n">
        <v>1754.36981907545</v>
      </c>
      <c r="I848" s="177" t="n">
        <v>4720410.83913363</v>
      </c>
      <c r="J848" s="178" t="str">
        <f>IF(I848&gt;0,H848/I848,0)</f>
      </c>
      <c r="K848" s="179" t="str">
        <f>1-EXP(-J848)</f>
      </c>
      <c r="L848" s="180" t="str">
        <f>IF(G848=30,1,M847)</f>
      </c>
      <c r="M848" s="181" t="str">
        <f>L848*(1-K848)</f>
      </c>
    </row>
    <row r="849">
      <c r="A849" t="s">
        <v>164</v>
      </c>
      <c r="B849" t="s">
        <v>115</v>
      </c>
      <c r="C849" s="32" t="s">
        <v>294</v>
      </c>
      <c r="D849" t="s">
        <v>378</v>
      </c>
      <c r="E849" t="s">
        <v>395</v>
      </c>
      <c r="F849" s="174" t="n">
        <v>2046</v>
      </c>
      <c r="G849" s="175" t="n">
        <v>37</v>
      </c>
      <c r="H849" s="176" t="n">
        <v>1851.67582572077</v>
      </c>
      <c r="I849" s="177" t="n">
        <v>4648641.34611056</v>
      </c>
      <c r="J849" s="178" t="str">
        <f>IF(I849&gt;0,H849/I849,0)</f>
      </c>
      <c r="K849" s="179" t="str">
        <f>1-EXP(-J849)</f>
      </c>
      <c r="L849" s="180" t="str">
        <f>IF(G849=30,1,M848)</f>
      </c>
      <c r="M849" s="181" t="str">
        <f>L849*(1-K849)</f>
      </c>
    </row>
    <row r="850">
      <c r="A850" t="s">
        <v>164</v>
      </c>
      <c r="B850" t="s">
        <v>115</v>
      </c>
      <c r="C850" s="32" t="s">
        <v>294</v>
      </c>
      <c r="D850" t="s">
        <v>378</v>
      </c>
      <c r="E850" t="s">
        <v>395</v>
      </c>
      <c r="F850" s="174" t="n">
        <v>2046</v>
      </c>
      <c r="G850" s="175" t="n">
        <v>38</v>
      </c>
      <c r="H850" s="176" t="n">
        <v>1973.14394015812</v>
      </c>
      <c r="I850" s="177" t="n">
        <v>4604495.20483585</v>
      </c>
      <c r="J850" s="178" t="str">
        <f>IF(I850&gt;0,H850/I850,0)</f>
      </c>
      <c r="K850" s="179" t="str">
        <f>1-EXP(-J850)</f>
      </c>
      <c r="L850" s="180" t="str">
        <f>IF(G850=30,1,M849)</f>
      </c>
      <c r="M850" s="181" t="str">
        <f>L850*(1-K850)</f>
      </c>
    </row>
    <row r="851">
      <c r="A851" t="s">
        <v>164</v>
      </c>
      <c r="B851" t="s">
        <v>115</v>
      </c>
      <c r="C851" s="32" t="s">
        <v>294</v>
      </c>
      <c r="D851" t="s">
        <v>378</v>
      </c>
      <c r="E851" t="s">
        <v>395</v>
      </c>
      <c r="F851" s="174" t="n">
        <v>2046</v>
      </c>
      <c r="G851" s="175" t="n">
        <v>39</v>
      </c>
      <c r="H851" s="176" t="n">
        <v>2200.95419617023</v>
      </c>
      <c r="I851" s="177" t="n">
        <v>4627697.88414863</v>
      </c>
      <c r="J851" s="178" t="str">
        <f>IF(I851&gt;0,H851/I851,0)</f>
      </c>
      <c r="K851" s="179" t="str">
        <f>1-EXP(-J851)</f>
      </c>
      <c r="L851" s="180" t="str">
        <f>IF(G851=30,1,M850)</f>
      </c>
      <c r="M851" s="181" t="str">
        <f>L851*(1-K851)</f>
      </c>
    </row>
    <row r="852">
      <c r="A852" t="s">
        <v>164</v>
      </c>
      <c r="B852" t="s">
        <v>115</v>
      </c>
      <c r="C852" s="32" t="s">
        <v>294</v>
      </c>
      <c r="D852" t="s">
        <v>378</v>
      </c>
      <c r="E852" t="s">
        <v>395</v>
      </c>
      <c r="F852" s="174" t="n">
        <v>2046</v>
      </c>
      <c r="G852" s="175" t="n">
        <v>40</v>
      </c>
      <c r="H852" s="176" t="n">
        <v>2888.85571107849</v>
      </c>
      <c r="I852" s="177" t="n">
        <v>4542703.68796325</v>
      </c>
      <c r="J852" s="178" t="str">
        <f>IF(I852&gt;0,H852/I852,0)</f>
      </c>
      <c r="K852" s="179" t="str">
        <f>1-EXP(-J852)</f>
      </c>
      <c r="L852" s="180" t="str">
        <f>IF(G852=30,1,M851)</f>
      </c>
      <c r="M852" s="181" t="str">
        <f>L852*(1-K852)</f>
      </c>
    </row>
    <row r="853">
      <c r="A853" t="s">
        <v>164</v>
      </c>
      <c r="B853" t="s">
        <v>115</v>
      </c>
      <c r="C853" s="32" t="s">
        <v>294</v>
      </c>
      <c r="D853" t="s">
        <v>378</v>
      </c>
      <c r="E853" t="s">
        <v>395</v>
      </c>
      <c r="F853" s="174" t="n">
        <v>2046</v>
      </c>
      <c r="G853" s="175" t="n">
        <v>41</v>
      </c>
      <c r="H853" s="176" t="n">
        <v>3135.87352960779</v>
      </c>
      <c r="I853" s="177" t="n">
        <v>4478396.93531906</v>
      </c>
      <c r="J853" s="178" t="str">
        <f>IF(I853&gt;0,H853/I853,0)</f>
      </c>
      <c r="K853" s="179" t="str">
        <f>1-EXP(-J853)</f>
      </c>
      <c r="L853" s="180" t="str">
        <f>IF(G853=30,1,M852)</f>
      </c>
      <c r="M853" s="181" t="str">
        <f>L853*(1-K853)</f>
      </c>
    </row>
    <row r="854">
      <c r="A854" t="s">
        <v>164</v>
      </c>
      <c r="B854" t="s">
        <v>115</v>
      </c>
      <c r="C854" s="32" t="s">
        <v>294</v>
      </c>
      <c r="D854" t="s">
        <v>378</v>
      </c>
      <c r="E854" t="s">
        <v>395</v>
      </c>
      <c r="F854" s="174" t="n">
        <v>2046</v>
      </c>
      <c r="G854" s="175" t="n">
        <v>42</v>
      </c>
      <c r="H854" s="176" t="n">
        <v>3307.09946029315</v>
      </c>
      <c r="I854" s="177" t="n">
        <v>4347539.70000018</v>
      </c>
      <c r="J854" s="178" t="str">
        <f>IF(I854&gt;0,H854/I854,0)</f>
      </c>
      <c r="K854" s="179" t="str">
        <f>1-EXP(-J854)</f>
      </c>
      <c r="L854" s="180" t="str">
        <f>IF(G854=30,1,M853)</f>
      </c>
      <c r="M854" s="181" t="str">
        <f>L854*(1-K854)</f>
      </c>
    </row>
    <row r="855">
      <c r="A855" t="s">
        <v>164</v>
      </c>
      <c r="B855" t="s">
        <v>115</v>
      </c>
      <c r="C855" s="32" t="s">
        <v>294</v>
      </c>
      <c r="D855" t="s">
        <v>378</v>
      </c>
      <c r="E855" t="s">
        <v>395</v>
      </c>
      <c r="F855" s="174" t="n">
        <v>2046</v>
      </c>
      <c r="G855" s="175" t="n">
        <v>43</v>
      </c>
      <c r="H855" s="176" t="n">
        <v>3543.05067584518</v>
      </c>
      <c r="I855" s="177" t="n">
        <v>4278420.96453306</v>
      </c>
      <c r="J855" s="178" t="str">
        <f>IF(I855&gt;0,H855/I855,0)</f>
      </c>
      <c r="K855" s="179" t="str">
        <f>1-EXP(-J855)</f>
      </c>
      <c r="L855" s="180" t="str">
        <f>IF(G855=30,1,M854)</f>
      </c>
      <c r="M855" s="181" t="str">
        <f>L855*(1-K855)</f>
      </c>
    </row>
    <row r="856">
      <c r="A856" t="s">
        <v>164</v>
      </c>
      <c r="B856" t="s">
        <v>115</v>
      </c>
      <c r="C856" s="32" t="s">
        <v>294</v>
      </c>
      <c r="D856" t="s">
        <v>378</v>
      </c>
      <c r="E856" t="s">
        <v>395</v>
      </c>
      <c r="F856" s="174" t="n">
        <v>2046</v>
      </c>
      <c r="G856" s="175" t="n">
        <v>44</v>
      </c>
      <c r="H856" s="176" t="n">
        <v>4000.49300245272</v>
      </c>
      <c r="I856" s="177" t="n">
        <v>4250039.49628015</v>
      </c>
      <c r="J856" s="178" t="str">
        <f>IF(I856&gt;0,H856/I856,0)</f>
      </c>
      <c r="K856" s="179" t="str">
        <f>1-EXP(-J856)</f>
      </c>
      <c r="L856" s="180" t="str">
        <f>IF(G856=30,1,M855)</f>
      </c>
      <c r="M856" s="181" t="str">
        <f>L856*(1-K856)</f>
      </c>
    </row>
    <row r="857">
      <c r="A857" t="s">
        <v>164</v>
      </c>
      <c r="B857" t="s">
        <v>115</v>
      </c>
      <c r="C857" s="32" t="s">
        <v>294</v>
      </c>
      <c r="D857" t="s">
        <v>378</v>
      </c>
      <c r="E857" t="s">
        <v>395</v>
      </c>
      <c r="F857" s="174" t="n">
        <v>2046</v>
      </c>
      <c r="G857" s="175" t="n">
        <v>45</v>
      </c>
      <c r="H857" s="176" t="n">
        <v>5093.83868165527</v>
      </c>
      <c r="I857" s="177" t="n">
        <v>4224074.60526471</v>
      </c>
      <c r="J857" s="178" t="str">
        <f>IF(I857&gt;0,H857/I857,0)</f>
      </c>
      <c r="K857" s="179" t="str">
        <f>1-EXP(-J857)</f>
      </c>
      <c r="L857" s="180" t="str">
        <f>IF(G857=30,1,M856)</f>
      </c>
      <c r="M857" s="181" t="str">
        <f>L857*(1-K857)</f>
      </c>
    </row>
    <row r="858">
      <c r="A858" t="s">
        <v>164</v>
      </c>
      <c r="B858" t="s">
        <v>115</v>
      </c>
      <c r="C858" s="32" t="s">
        <v>294</v>
      </c>
      <c r="D858" t="s">
        <v>378</v>
      </c>
      <c r="E858" t="s">
        <v>395</v>
      </c>
      <c r="F858" s="174" t="n">
        <v>2046</v>
      </c>
      <c r="G858" s="175" t="n">
        <v>46</v>
      </c>
      <c r="H858" s="176" t="n">
        <v>5511.47477665568</v>
      </c>
      <c r="I858" s="177" t="n">
        <v>4196281.62185167</v>
      </c>
      <c r="J858" s="178" t="str">
        <f>IF(I858&gt;0,H858/I858,0)</f>
      </c>
      <c r="K858" s="179" t="str">
        <f>1-EXP(-J858)</f>
      </c>
      <c r="L858" s="180" t="str">
        <f>IF(G858=30,1,M857)</f>
      </c>
      <c r="M858" s="181" t="str">
        <f>L858*(1-K858)</f>
      </c>
    </row>
    <row r="859">
      <c r="A859" t="s">
        <v>164</v>
      </c>
      <c r="B859" t="s">
        <v>115</v>
      </c>
      <c r="C859" s="32" t="s">
        <v>294</v>
      </c>
      <c r="D859" t="s">
        <v>378</v>
      </c>
      <c r="E859" t="s">
        <v>395</v>
      </c>
      <c r="F859" s="174" t="n">
        <v>2046</v>
      </c>
      <c r="G859" s="175" t="n">
        <v>47</v>
      </c>
      <c r="H859" s="176" t="n">
        <v>6067.37658969999</v>
      </c>
      <c r="I859" s="177" t="n">
        <v>4206989.72212145</v>
      </c>
      <c r="J859" s="178" t="str">
        <f>IF(I859&gt;0,H859/I859,0)</f>
      </c>
      <c r="K859" s="179" t="str">
        <f>1-EXP(-J859)</f>
      </c>
      <c r="L859" s="180" t="str">
        <f>IF(G859=30,1,M858)</f>
      </c>
      <c r="M859" s="181" t="str">
        <f>L859*(1-K859)</f>
      </c>
    </row>
    <row r="860">
      <c r="A860" t="s">
        <v>164</v>
      </c>
      <c r="B860" t="s">
        <v>115</v>
      </c>
      <c r="C860" s="32" t="s">
        <v>294</v>
      </c>
      <c r="D860" t="s">
        <v>378</v>
      </c>
      <c r="E860" t="s">
        <v>395</v>
      </c>
      <c r="F860" s="174" t="n">
        <v>2046</v>
      </c>
      <c r="G860" s="175" t="n">
        <v>48</v>
      </c>
      <c r="H860" s="176" t="n">
        <v>6746.23597930356</v>
      </c>
      <c r="I860" s="177" t="n">
        <v>4254526.76007494</v>
      </c>
      <c r="J860" s="178" t="str">
        <f>IF(I860&gt;0,H860/I860,0)</f>
      </c>
      <c r="K860" s="179" t="str">
        <f>1-EXP(-J860)</f>
      </c>
      <c r="L860" s="180" t="str">
        <f>IF(G860=30,1,M859)</f>
      </c>
      <c r="M860" s="181" t="str">
        <f>L860*(1-K860)</f>
      </c>
    </row>
    <row r="861">
      <c r="A861" t="s">
        <v>164</v>
      </c>
      <c r="B861" t="s">
        <v>115</v>
      </c>
      <c r="C861" s="32" t="s">
        <v>294</v>
      </c>
      <c r="D861" t="s">
        <v>378</v>
      </c>
      <c r="E861" t="s">
        <v>395</v>
      </c>
      <c r="F861" s="174" t="n">
        <v>2046</v>
      </c>
      <c r="G861" s="175" t="n">
        <v>49</v>
      </c>
      <c r="H861" s="176" t="n">
        <v>7827.12834279146</v>
      </c>
      <c r="I861" s="177" t="n">
        <v>4374247.81138521</v>
      </c>
      <c r="J861" s="178" t="str">
        <f>IF(I861&gt;0,H861/I861,0)</f>
      </c>
      <c r="K861" s="179" t="str">
        <f>1-EXP(-J861)</f>
      </c>
      <c r="L861" s="180" t="str">
        <f>IF(G861=30,1,M860)</f>
      </c>
      <c r="M861" s="181" t="str">
        <f>L861*(1-K861)</f>
      </c>
    </row>
    <row r="862">
      <c r="A862" t="s">
        <v>164</v>
      </c>
      <c r="B862" t="s">
        <v>115</v>
      </c>
      <c r="C862" s="32" t="s">
        <v>294</v>
      </c>
      <c r="D862" t="s">
        <v>378</v>
      </c>
      <c r="E862" t="s">
        <v>395</v>
      </c>
      <c r="F862" s="174" t="n">
        <v>2046</v>
      </c>
      <c r="G862" s="175" t="n">
        <v>50</v>
      </c>
      <c r="H862" s="176" t="n">
        <v>8829.77863750532</v>
      </c>
      <c r="I862" s="177" t="n">
        <v>4319244.36653986</v>
      </c>
      <c r="J862" s="178" t="str">
        <f>IF(I862&gt;0,H862/I862,0)</f>
      </c>
      <c r="K862" s="179" t="str">
        <f>1-EXP(-J862)</f>
      </c>
      <c r="L862" s="180" t="str">
        <f>IF(G862=30,1,M861)</f>
      </c>
      <c r="M862" s="181" t="str">
        <f>L862*(1-K862)</f>
      </c>
    </row>
    <row r="863">
      <c r="A863" t="s">
        <v>164</v>
      </c>
      <c r="B863" t="s">
        <v>115</v>
      </c>
      <c r="C863" s="32" t="s">
        <v>294</v>
      </c>
      <c r="D863" t="s">
        <v>378</v>
      </c>
      <c r="E863" t="s">
        <v>395</v>
      </c>
      <c r="F863" s="174" t="n">
        <v>2046</v>
      </c>
      <c r="G863" s="175" t="n">
        <v>51</v>
      </c>
      <c r="H863" s="176" t="n">
        <v>9353.36822012816</v>
      </c>
      <c r="I863" s="177" t="n">
        <v>4233508.92589708</v>
      </c>
      <c r="J863" s="178" t="str">
        <f>IF(I863&gt;0,H863/I863,0)</f>
      </c>
      <c r="K863" s="179" t="str">
        <f>1-EXP(-J863)</f>
      </c>
      <c r="L863" s="180" t="str">
        <f>IF(G863=30,1,M862)</f>
      </c>
      <c r="M863" s="181" t="str">
        <f>L863*(1-K863)</f>
      </c>
    </row>
    <row r="864">
      <c r="A864" t="s">
        <v>164</v>
      </c>
      <c r="B864" t="s">
        <v>115</v>
      </c>
      <c r="C864" s="32" t="s">
        <v>294</v>
      </c>
      <c r="D864" t="s">
        <v>378</v>
      </c>
      <c r="E864" t="s">
        <v>395</v>
      </c>
      <c r="F864" s="174" t="n">
        <v>2046</v>
      </c>
      <c r="G864" s="175" t="n">
        <v>52</v>
      </c>
      <c r="H864" s="176" t="n">
        <v>10072.0255824216</v>
      </c>
      <c r="I864" s="177" t="n">
        <v>4162338.39300711</v>
      </c>
      <c r="J864" s="178" t="str">
        <f>IF(I864&gt;0,H864/I864,0)</f>
      </c>
      <c r="K864" s="179" t="str">
        <f>1-EXP(-J864)</f>
      </c>
      <c r="L864" s="180" t="str">
        <f>IF(G864=30,1,M863)</f>
      </c>
      <c r="M864" s="181" t="str">
        <f>L864*(1-K864)</f>
      </c>
    </row>
    <row r="865">
      <c r="A865" t="s">
        <v>164</v>
      </c>
      <c r="B865" t="s">
        <v>115</v>
      </c>
      <c r="C865" s="32" t="s">
        <v>294</v>
      </c>
      <c r="D865" t="s">
        <v>378</v>
      </c>
      <c r="E865" t="s">
        <v>395</v>
      </c>
      <c r="F865" s="174" t="n">
        <v>2046</v>
      </c>
      <c r="G865" s="175" t="n">
        <v>53</v>
      </c>
      <c r="H865" s="176" t="n">
        <v>10822.4489692887</v>
      </c>
      <c r="I865" s="177" t="n">
        <v>4093312.03393813</v>
      </c>
      <c r="J865" s="178" t="str">
        <f>IF(I865&gt;0,H865/I865,0)</f>
      </c>
      <c r="K865" s="179" t="str">
        <f>1-EXP(-J865)</f>
      </c>
      <c r="L865" s="180" t="str">
        <f>IF(G865=30,1,M864)</f>
      </c>
      <c r="M865" s="181" t="str">
        <f>L865*(1-K865)</f>
      </c>
    </row>
    <row r="866">
      <c r="A866" t="s">
        <v>164</v>
      </c>
      <c r="B866" t="s">
        <v>115</v>
      </c>
      <c r="C866" s="32" t="s">
        <v>294</v>
      </c>
      <c r="D866" t="s">
        <v>378</v>
      </c>
      <c r="E866" t="s">
        <v>395</v>
      </c>
      <c r="F866" s="174" t="n">
        <v>2046</v>
      </c>
      <c r="G866" s="175" t="n">
        <v>54</v>
      </c>
      <c r="H866" s="176" t="n">
        <v>11828.1301305698</v>
      </c>
      <c r="I866" s="177" t="n">
        <v>4109349.53628298</v>
      </c>
      <c r="J866" s="178" t="str">
        <f>IF(I866&gt;0,H866/I866,0)</f>
      </c>
      <c r="K866" s="179" t="str">
        <f>1-EXP(-J866)</f>
      </c>
      <c r="L866" s="180" t="str">
        <f>IF(G866=30,1,M865)</f>
      </c>
      <c r="M866" s="181" t="str">
        <f>L866*(1-K866)</f>
      </c>
    </row>
    <row r="867">
      <c r="A867" t="s">
        <v>164</v>
      </c>
      <c r="B867" t="s">
        <v>115</v>
      </c>
      <c r="C867" s="32" t="s">
        <v>294</v>
      </c>
      <c r="D867" t="s">
        <v>378</v>
      </c>
      <c r="E867" t="s">
        <v>395</v>
      </c>
      <c r="F867" s="174" t="n">
        <v>2046</v>
      </c>
      <c r="G867" s="175" t="n">
        <v>55</v>
      </c>
      <c r="H867" s="176" t="n">
        <v>12659.9738822064</v>
      </c>
      <c r="I867" s="177" t="n">
        <v>4104479.35636696</v>
      </c>
      <c r="J867" s="178" t="str">
        <f>IF(I867&gt;0,H867/I867,0)</f>
      </c>
      <c r="K867" s="179" t="str">
        <f>1-EXP(-J867)</f>
      </c>
      <c r="L867" s="180" t="str">
        <f>IF(G867=30,1,M866)</f>
      </c>
      <c r="M867" s="181" t="str">
        <f>L867*(1-K867)</f>
      </c>
    </row>
    <row r="868">
      <c r="A868" t="s">
        <v>164</v>
      </c>
      <c r="B868" t="s">
        <v>115</v>
      </c>
      <c r="C868" s="32" t="s">
        <v>294</v>
      </c>
      <c r="D868" t="s">
        <v>378</v>
      </c>
      <c r="E868" t="s">
        <v>395</v>
      </c>
      <c r="F868" s="174" t="n">
        <v>2046</v>
      </c>
      <c r="G868" s="175" t="n">
        <v>56</v>
      </c>
      <c r="H868" s="176" t="n">
        <v>18326.6455766508</v>
      </c>
      <c r="I868" s="177" t="n">
        <v>6034040.08693492</v>
      </c>
      <c r="J868" s="178" t="str">
        <f>IF(I868&gt;0,H868/I868,0)</f>
      </c>
      <c r="K868" s="179" t="str">
        <f>1-EXP(-J868)</f>
      </c>
      <c r="L868" s="180" t="str">
        <f>IF(G868=30,1,M867)</f>
      </c>
      <c r="M868" s="181" t="str">
        <f>L868*(1-K868)</f>
      </c>
    </row>
    <row r="869">
      <c r="A869" t="s">
        <v>164</v>
      </c>
      <c r="B869" t="s">
        <v>115</v>
      </c>
      <c r="C869" s="32" t="s">
        <v>294</v>
      </c>
      <c r="D869" t="s">
        <v>378</v>
      </c>
      <c r="E869" t="s">
        <v>395</v>
      </c>
      <c r="F869" s="174" t="n">
        <v>2046</v>
      </c>
      <c r="G869" s="175" t="n">
        <v>57</v>
      </c>
      <c r="H869" s="176" t="n">
        <v>14575.4137393495</v>
      </c>
      <c r="I869" s="177" t="n">
        <v>4016343.19321867</v>
      </c>
      <c r="J869" s="178" t="str">
        <f>IF(I869&gt;0,H869/I869,0)</f>
      </c>
      <c r="K869" s="179" t="str">
        <f>1-EXP(-J869)</f>
      </c>
      <c r="L869" s="180" t="str">
        <f>IF(G869=30,1,M868)</f>
      </c>
      <c r="M869" s="181" t="str">
        <f>L869*(1-K869)</f>
      </c>
    </row>
    <row r="870">
      <c r="A870" t="s">
        <v>164</v>
      </c>
      <c r="B870" t="s">
        <v>115</v>
      </c>
      <c r="C870" s="32" t="s">
        <v>294</v>
      </c>
      <c r="D870" t="s">
        <v>378</v>
      </c>
      <c r="E870" t="s">
        <v>395</v>
      </c>
      <c r="F870" s="174" t="n">
        <v>2046</v>
      </c>
      <c r="G870" s="175" t="n">
        <v>58</v>
      </c>
      <c r="H870" s="176" t="n">
        <v>15769.294006886</v>
      </c>
      <c r="I870" s="177" t="n">
        <v>3973042.70638967</v>
      </c>
      <c r="J870" s="178" t="str">
        <f>IF(I870&gt;0,H870/I870,0)</f>
      </c>
      <c r="K870" s="179" t="str">
        <f>1-EXP(-J870)</f>
      </c>
      <c r="L870" s="180" t="str">
        <f>IF(G870=30,1,M869)</f>
      </c>
      <c r="M870" s="181" t="str">
        <f>L870*(1-K870)</f>
      </c>
    </row>
    <row r="871">
      <c r="A871" t="s">
        <v>164</v>
      </c>
      <c r="B871" t="s">
        <v>115</v>
      </c>
      <c r="C871" s="32" t="s">
        <v>294</v>
      </c>
      <c r="D871" t="s">
        <v>378</v>
      </c>
      <c r="E871" t="s">
        <v>395</v>
      </c>
      <c r="F871" s="174" t="n">
        <v>2046</v>
      </c>
      <c r="G871" s="175" t="n">
        <v>59</v>
      </c>
      <c r="H871" s="176" t="n">
        <v>16621.0030907875</v>
      </c>
      <c r="I871" s="177" t="n">
        <v>3821857.6642064</v>
      </c>
      <c r="J871" s="178" t="str">
        <f>IF(I871&gt;0,H871/I871,0)</f>
      </c>
      <c r="K871" s="179" t="str">
        <f>1-EXP(-J871)</f>
      </c>
      <c r="L871" s="180" t="str">
        <f>IF(G871=30,1,M870)</f>
      </c>
      <c r="M871" s="181" t="str">
        <f>L871*(1-K871)</f>
      </c>
    </row>
    <row r="872">
      <c r="A872" t="s">
        <v>164</v>
      </c>
      <c r="B872" t="s">
        <v>115</v>
      </c>
      <c r="C872" s="32" t="s">
        <v>294</v>
      </c>
      <c r="D872" t="s">
        <v>378</v>
      </c>
      <c r="E872" t="s">
        <v>395</v>
      </c>
      <c r="F872" s="174" t="n">
        <v>2046</v>
      </c>
      <c r="G872" s="175" t="n">
        <v>60</v>
      </c>
      <c r="H872" s="176" t="n">
        <v>17703.6181729618</v>
      </c>
      <c r="I872" s="177" t="n">
        <v>3758498.86290253</v>
      </c>
      <c r="J872" s="178" t="str">
        <f>IF(I872&gt;0,H872/I872,0)</f>
      </c>
      <c r="K872" s="179" t="str">
        <f>1-EXP(-J872)</f>
      </c>
      <c r="L872" s="180" t="str">
        <f>IF(G872=30,1,M871)</f>
      </c>
      <c r="M872" s="181" t="str">
        <f>L872*(1-K872)</f>
      </c>
    </row>
    <row r="873">
      <c r="A873" t="s">
        <v>164</v>
      </c>
      <c r="B873" t="s">
        <v>115</v>
      </c>
      <c r="C873" s="32" t="s">
        <v>294</v>
      </c>
      <c r="D873" t="s">
        <v>378</v>
      </c>
      <c r="E873" t="s">
        <v>395</v>
      </c>
      <c r="F873" s="174" t="n">
        <v>2046</v>
      </c>
      <c r="G873" s="175" t="n">
        <v>61</v>
      </c>
      <c r="H873" s="176" t="n">
        <v>19340.8319570622</v>
      </c>
      <c r="I873" s="177" t="n">
        <v>3776573.72503516</v>
      </c>
      <c r="J873" s="178" t="str">
        <f>IF(I873&gt;0,H873/I873,0)</f>
      </c>
      <c r="K873" s="179" t="str">
        <f>1-EXP(-J873)</f>
      </c>
      <c r="L873" s="180" t="str">
        <f>IF(G873=30,1,M872)</f>
      </c>
      <c r="M873" s="181" t="str">
        <f>L873*(1-K873)</f>
      </c>
    </row>
    <row r="874">
      <c r="A874" t="s">
        <v>164</v>
      </c>
      <c r="B874" t="s">
        <v>115</v>
      </c>
      <c r="C874" s="32" t="s">
        <v>294</v>
      </c>
      <c r="D874" t="s">
        <v>378</v>
      </c>
      <c r="E874" t="s">
        <v>395</v>
      </c>
      <c r="F874" s="174" t="n">
        <v>2046</v>
      </c>
      <c r="G874" s="175" t="n">
        <v>62</v>
      </c>
      <c r="H874" s="176" t="n">
        <v>21466.9902252974</v>
      </c>
      <c r="I874" s="177" t="n">
        <v>3813075.38595085</v>
      </c>
      <c r="J874" s="178" t="str">
        <f>IF(I874&gt;0,H874/I874,0)</f>
      </c>
      <c r="K874" s="179" t="str">
        <f>1-EXP(-J874)</f>
      </c>
      <c r="L874" s="180" t="str">
        <f>IF(G874=30,1,M873)</f>
      </c>
      <c r="M874" s="181" t="str">
        <f>L874*(1-K874)</f>
      </c>
    </row>
    <row r="875">
      <c r="A875" t="s">
        <v>164</v>
      </c>
      <c r="B875" t="s">
        <v>115</v>
      </c>
      <c r="C875" s="32" t="s">
        <v>294</v>
      </c>
      <c r="D875" t="s">
        <v>378</v>
      </c>
      <c r="E875" t="s">
        <v>395</v>
      </c>
      <c r="F875" s="174" t="n">
        <v>2046</v>
      </c>
      <c r="G875" s="175" t="n">
        <v>63</v>
      </c>
      <c r="H875" s="176" t="n">
        <v>23194.2157475085</v>
      </c>
      <c r="I875" s="177" t="n">
        <v>3748951.18524391</v>
      </c>
      <c r="J875" s="178" t="str">
        <f>IF(I875&gt;0,H875/I875,0)</f>
      </c>
      <c r="K875" s="179" t="str">
        <f>1-EXP(-J875)</f>
      </c>
      <c r="L875" s="180" t="str">
        <f>IF(G875=30,1,M874)</f>
      </c>
      <c r="M875" s="181" t="str">
        <f>L875*(1-K875)</f>
      </c>
    </row>
    <row r="876">
      <c r="A876" t="s">
        <v>164</v>
      </c>
      <c r="B876" t="s">
        <v>115</v>
      </c>
      <c r="C876" s="32" t="s">
        <v>294</v>
      </c>
      <c r="D876" t="s">
        <v>378</v>
      </c>
      <c r="E876" t="s">
        <v>395</v>
      </c>
      <c r="F876" s="174" t="n">
        <v>2046</v>
      </c>
      <c r="G876" s="175" t="n">
        <v>64</v>
      </c>
      <c r="H876" s="176" t="n">
        <v>24374.0841630825</v>
      </c>
      <c r="I876" s="177" t="n">
        <v>3583833.56745716</v>
      </c>
      <c r="J876" s="178" t="str">
        <f>IF(I876&gt;0,H876/I876,0)</f>
      </c>
      <c r="K876" s="179" t="str">
        <f>1-EXP(-J876)</f>
      </c>
      <c r="L876" s="180" t="str">
        <f>IF(G876=30,1,M875)</f>
      </c>
      <c r="M876" s="181" t="str">
        <f>L876*(1-K876)</f>
      </c>
    </row>
    <row r="877">
      <c r="A877" t="s">
        <v>164</v>
      </c>
      <c r="B877" t="s">
        <v>115</v>
      </c>
      <c r="C877" s="32" t="s">
        <v>294</v>
      </c>
      <c r="D877" t="s">
        <v>378</v>
      </c>
      <c r="E877" t="s">
        <v>395</v>
      </c>
      <c r="F877" s="174" t="n">
        <v>2046</v>
      </c>
      <c r="G877" s="175" t="n">
        <v>65</v>
      </c>
      <c r="H877" s="176" t="n">
        <v>24698.6689636329</v>
      </c>
      <c r="I877" s="177" t="n">
        <v>3471631.1887453</v>
      </c>
      <c r="J877" s="178" t="str">
        <f>IF(I877&gt;0,H877/I877,0)</f>
      </c>
      <c r="K877" s="179" t="str">
        <f>1-EXP(-J877)</f>
      </c>
      <c r="L877" s="180" t="str">
        <f>IF(G877=30,1,M876)</f>
      </c>
      <c r="M877" s="181" t="str">
        <f>L877*(1-K877)</f>
      </c>
    </row>
    <row r="878">
      <c r="A878" t="s">
        <v>164</v>
      </c>
      <c r="B878" t="s">
        <v>115</v>
      </c>
      <c r="C878" s="32" t="s">
        <v>294</v>
      </c>
      <c r="D878" t="s">
        <v>378</v>
      </c>
      <c r="E878" t="s">
        <v>395</v>
      </c>
      <c r="F878" s="174" t="n">
        <v>2046</v>
      </c>
      <c r="G878" s="175" t="n">
        <v>66</v>
      </c>
      <c r="H878" s="176" t="n">
        <v>26137.6436060802</v>
      </c>
      <c r="I878" s="177" t="n">
        <v>3371170.65198668</v>
      </c>
      <c r="J878" s="178" t="str">
        <f>IF(I878&gt;0,H878/I878,0)</f>
      </c>
      <c r="K878" s="179" t="str">
        <f>1-EXP(-J878)</f>
      </c>
      <c r="L878" s="180" t="str">
        <f>IF(G878=30,1,M877)</f>
      </c>
      <c r="M878" s="181" t="str">
        <f>L878*(1-K878)</f>
      </c>
    </row>
    <row r="879">
      <c r="A879" t="s">
        <v>164</v>
      </c>
      <c r="B879" t="s">
        <v>115</v>
      </c>
      <c r="C879" s="32" t="s">
        <v>294</v>
      </c>
      <c r="D879" t="s">
        <v>378</v>
      </c>
      <c r="E879" t="s">
        <v>395</v>
      </c>
      <c r="F879" s="174" t="n">
        <v>2046</v>
      </c>
      <c r="G879" s="175" t="n">
        <v>67</v>
      </c>
      <c r="H879" s="176" t="n">
        <v>27822.2906131426</v>
      </c>
      <c r="I879" s="177" t="n">
        <v>3263157.43884715</v>
      </c>
      <c r="J879" s="178" t="str">
        <f>IF(I879&gt;0,H879/I879,0)</f>
      </c>
      <c r="K879" s="179" t="str">
        <f>1-EXP(-J879)</f>
      </c>
      <c r="L879" s="180" t="str">
        <f>IF(G879=30,1,M878)</f>
      </c>
      <c r="M879" s="181" t="str">
        <f>L879*(1-K879)</f>
      </c>
    </row>
    <row r="880">
      <c r="A880" t="s">
        <v>164</v>
      </c>
      <c r="B880" t="s">
        <v>115</v>
      </c>
      <c r="C880" s="32" t="s">
        <v>294</v>
      </c>
      <c r="D880" t="s">
        <v>378</v>
      </c>
      <c r="E880" t="s">
        <v>395</v>
      </c>
      <c r="F880" s="174" t="n">
        <v>2046</v>
      </c>
      <c r="G880" s="175" t="n">
        <v>68</v>
      </c>
      <c r="H880" s="176" t="n">
        <v>29426.0877992699</v>
      </c>
      <c r="I880" s="177" t="n">
        <v>3136744.38594803</v>
      </c>
      <c r="J880" s="178" t="str">
        <f>IF(I880&gt;0,H880/I880,0)</f>
      </c>
      <c r="K880" s="179" t="str">
        <f>1-EXP(-J880)</f>
      </c>
      <c r="L880" s="180" t="str">
        <f>IF(G880=30,1,M879)</f>
      </c>
      <c r="M880" s="181" t="str">
        <f>L880*(1-K880)</f>
      </c>
    </row>
    <row r="881">
      <c r="A881" t="s">
        <v>164</v>
      </c>
      <c r="B881" t="s">
        <v>115</v>
      </c>
      <c r="C881" s="32" t="s">
        <v>294</v>
      </c>
      <c r="D881" t="s">
        <v>378</v>
      </c>
      <c r="E881" t="s">
        <v>395</v>
      </c>
      <c r="F881" s="174" t="n">
        <v>2046</v>
      </c>
      <c r="G881" s="175" t="n">
        <v>69</v>
      </c>
      <c r="H881" s="176" t="n">
        <v>31232.3963051114</v>
      </c>
      <c r="I881" s="177" t="n">
        <v>3021142.33170274</v>
      </c>
      <c r="J881" s="178" t="str">
        <f>IF(I881&gt;0,H881/I881,0)</f>
      </c>
      <c r="K881" s="179" t="str">
        <f>1-EXP(-J881)</f>
      </c>
      <c r="L881" s="180" t="str">
        <f>IF(G881=30,1,M880)</f>
      </c>
      <c r="M881" s="181" t="str">
        <f>L881*(1-K881)</f>
      </c>
    </row>
    <row r="882">
      <c r="A882" t="s">
        <v>164</v>
      </c>
      <c r="B882" t="s">
        <v>115</v>
      </c>
      <c r="C882" s="32" t="s">
        <v>294</v>
      </c>
      <c r="D882" t="s">
        <v>378</v>
      </c>
      <c r="E882" t="s">
        <v>395</v>
      </c>
      <c r="F882" s="174" t="n">
        <v>2047</v>
      </c>
      <c r="G882" s="175" t="n">
        <v>30</v>
      </c>
      <c r="H882" s="176" t="n">
        <v>617.717358471236</v>
      </c>
      <c r="I882" s="177" t="n">
        <v>4320521.40466629</v>
      </c>
      <c r="J882" s="178" t="str">
        <f>IF(I882&gt;0,H882/I882,0)</f>
      </c>
      <c r="K882" s="179" t="str">
        <f>1-EXP(-J882)</f>
      </c>
      <c r="L882" s="180" t="str">
        <f>IF(G882=30,1,M881)</f>
      </c>
      <c r="M882" s="181" t="str">
        <f>L882*(1-K882)</f>
      </c>
    </row>
    <row r="883">
      <c r="A883" t="s">
        <v>164</v>
      </c>
      <c r="B883" t="s">
        <v>115</v>
      </c>
      <c r="C883" s="32" t="s">
        <v>294</v>
      </c>
      <c r="D883" t="s">
        <v>378</v>
      </c>
      <c r="E883" t="s">
        <v>395</v>
      </c>
      <c r="F883" s="174" t="n">
        <v>2047</v>
      </c>
      <c r="G883" s="175" t="n">
        <v>31</v>
      </c>
      <c r="H883" s="176" t="n">
        <v>935.282192959346</v>
      </c>
      <c r="I883" s="177" t="n">
        <v>4583279.66075108</v>
      </c>
      <c r="J883" s="178" t="str">
        <f>IF(I883&gt;0,H883/I883,0)</f>
      </c>
      <c r="K883" s="179" t="str">
        <f>1-EXP(-J883)</f>
      </c>
      <c r="L883" s="180" t="str">
        <f>IF(G883=30,1,M882)</f>
      </c>
      <c r="M883" s="181" t="str">
        <f>L883*(1-K883)</f>
      </c>
    </row>
    <row r="884">
      <c r="A884" t="s">
        <v>164</v>
      </c>
      <c r="B884" t="s">
        <v>115</v>
      </c>
      <c r="C884" s="32" t="s">
        <v>294</v>
      </c>
      <c r="D884" t="s">
        <v>378</v>
      </c>
      <c r="E884" t="s">
        <v>395</v>
      </c>
      <c r="F884" s="174" t="n">
        <v>2047</v>
      </c>
      <c r="G884" s="175" t="n">
        <v>32</v>
      </c>
      <c r="H884" s="176" t="n">
        <v>1024.40830466723</v>
      </c>
      <c r="I884" s="177" t="n">
        <v>4632068.1463269</v>
      </c>
      <c r="J884" s="178" t="str">
        <f>IF(I884&gt;0,H884/I884,0)</f>
      </c>
      <c r="K884" s="179" t="str">
        <f>1-EXP(-J884)</f>
      </c>
      <c r="L884" s="180" t="str">
        <f>IF(G884=30,1,M883)</f>
      </c>
      <c r="M884" s="181" t="str">
        <f>L884*(1-K884)</f>
      </c>
    </row>
    <row r="885">
      <c r="A885" t="s">
        <v>164</v>
      </c>
      <c r="B885" t="s">
        <v>115</v>
      </c>
      <c r="C885" s="32" t="s">
        <v>294</v>
      </c>
      <c r="D885" t="s">
        <v>378</v>
      </c>
      <c r="E885" t="s">
        <v>395</v>
      </c>
      <c r="F885" s="174" t="n">
        <v>2047</v>
      </c>
      <c r="G885" s="175" t="n">
        <v>33</v>
      </c>
      <c r="H885" s="176" t="n">
        <v>1094.95482024653</v>
      </c>
      <c r="I885" s="177" t="n">
        <v>4698310.53874719</v>
      </c>
      <c r="J885" s="178" t="str">
        <f>IF(I885&gt;0,H885/I885,0)</f>
      </c>
      <c r="K885" s="179" t="str">
        <f>1-EXP(-J885)</f>
      </c>
      <c r="L885" s="180" t="str">
        <f>IF(G885=30,1,M884)</f>
      </c>
      <c r="M885" s="181" t="str">
        <f>L885*(1-K885)</f>
      </c>
    </row>
    <row r="886">
      <c r="A886" t="s">
        <v>164</v>
      </c>
      <c r="B886" t="s">
        <v>115</v>
      </c>
      <c r="C886" s="32" t="s">
        <v>294</v>
      </c>
      <c r="D886" t="s">
        <v>378</v>
      </c>
      <c r="E886" t="s">
        <v>395</v>
      </c>
      <c r="F886" s="174" t="n">
        <v>2047</v>
      </c>
      <c r="G886" s="175" t="n">
        <v>34</v>
      </c>
      <c r="H886" s="176" t="n">
        <v>1177.10382486569</v>
      </c>
      <c r="I886" s="177" t="n">
        <v>4765870.32324194</v>
      </c>
      <c r="J886" s="178" t="str">
        <f>IF(I886&gt;0,H886/I886,0)</f>
      </c>
      <c r="K886" s="179" t="str">
        <f>1-EXP(-J886)</f>
      </c>
      <c r="L886" s="180" t="str">
        <f>IF(G886=30,1,M885)</f>
      </c>
      <c r="M886" s="181" t="str">
        <f>L886*(1-K886)</f>
      </c>
    </row>
    <row r="887">
      <c r="A887" t="s">
        <v>164</v>
      </c>
      <c r="B887" t="s">
        <v>115</v>
      </c>
      <c r="C887" s="32" t="s">
        <v>294</v>
      </c>
      <c r="D887" t="s">
        <v>378</v>
      </c>
      <c r="E887" t="s">
        <v>395</v>
      </c>
      <c r="F887" s="174" t="n">
        <v>2047</v>
      </c>
      <c r="G887" s="175" t="n">
        <v>35</v>
      </c>
      <c r="H887" s="176" t="n">
        <v>1618.97531996486</v>
      </c>
      <c r="I887" s="177" t="n">
        <v>4877487.84474389</v>
      </c>
      <c r="J887" s="178" t="str">
        <f>IF(I887&gt;0,H887/I887,0)</f>
      </c>
      <c r="K887" s="179" t="str">
        <f>1-EXP(-J887)</f>
      </c>
      <c r="L887" s="180" t="str">
        <f>IF(G887=30,1,M886)</f>
      </c>
      <c r="M887" s="181" t="str">
        <f>L887*(1-K887)</f>
      </c>
    </row>
    <row r="888">
      <c r="A888" t="s">
        <v>164</v>
      </c>
      <c r="B888" t="s">
        <v>115</v>
      </c>
      <c r="C888" s="32" t="s">
        <v>294</v>
      </c>
      <c r="D888" t="s">
        <v>378</v>
      </c>
      <c r="E888" t="s">
        <v>395</v>
      </c>
      <c r="F888" s="174" t="n">
        <v>2047</v>
      </c>
      <c r="G888" s="175" t="n">
        <v>36</v>
      </c>
      <c r="H888" s="176" t="n">
        <v>1796.98481146323</v>
      </c>
      <c r="I888" s="177" t="n">
        <v>4848147.74179601</v>
      </c>
      <c r="J888" s="178" t="str">
        <f>IF(I888&gt;0,H888/I888,0)</f>
      </c>
      <c r="K888" s="179" t="str">
        <f>1-EXP(-J888)</f>
      </c>
      <c r="L888" s="180" t="str">
        <f>IF(G888=30,1,M887)</f>
      </c>
      <c r="M888" s="181" t="str">
        <f>L888*(1-K888)</f>
      </c>
    </row>
    <row r="889">
      <c r="A889" t="s">
        <v>164</v>
      </c>
      <c r="B889" t="s">
        <v>115</v>
      </c>
      <c r="C889" s="32" t="s">
        <v>294</v>
      </c>
      <c r="D889" t="s">
        <v>378</v>
      </c>
      <c r="E889" t="s">
        <v>395</v>
      </c>
      <c r="F889" s="174" t="n">
        <v>2047</v>
      </c>
      <c r="G889" s="175" t="n">
        <v>37</v>
      </c>
      <c r="H889" s="176" t="n">
        <v>1872.0263751393</v>
      </c>
      <c r="I889" s="177" t="n">
        <v>4713735.7207498</v>
      </c>
      <c r="J889" s="178" t="str">
        <f>IF(I889&gt;0,H889/I889,0)</f>
      </c>
      <c r="K889" s="179" t="str">
        <f>1-EXP(-J889)</f>
      </c>
      <c r="L889" s="180" t="str">
        <f>IF(G889=30,1,M888)</f>
      </c>
      <c r="M889" s="181" t="str">
        <f>L889*(1-K889)</f>
      </c>
    </row>
    <row r="890">
      <c r="A890" t="s">
        <v>164</v>
      </c>
      <c r="B890" t="s">
        <v>115</v>
      </c>
      <c r="C890" s="32" t="s">
        <v>294</v>
      </c>
      <c r="D890" t="s">
        <v>378</v>
      </c>
      <c r="E890" t="s">
        <v>395</v>
      </c>
      <c r="F890" s="174" t="n">
        <v>2047</v>
      </c>
      <c r="G890" s="175" t="n">
        <v>38</v>
      </c>
      <c r="H890" s="176" t="n">
        <v>1982.19570013464</v>
      </c>
      <c r="I890" s="177" t="n">
        <v>4641631.44613437</v>
      </c>
      <c r="J890" s="178" t="str">
        <f>IF(I890&gt;0,H890/I890,0)</f>
      </c>
      <c r="K890" s="179" t="str">
        <f>1-EXP(-J890)</f>
      </c>
      <c r="L890" s="180" t="str">
        <f>IF(G890=30,1,M889)</f>
      </c>
      <c r="M890" s="181" t="str">
        <f>L890*(1-K890)</f>
      </c>
    </row>
    <row r="891">
      <c r="A891" t="s">
        <v>164</v>
      </c>
      <c r="B891" t="s">
        <v>115</v>
      </c>
      <c r="C891" s="32" t="s">
        <v>294</v>
      </c>
      <c r="D891" t="s">
        <v>378</v>
      </c>
      <c r="E891" t="s">
        <v>395</v>
      </c>
      <c r="F891" s="174" t="n">
        <v>2047</v>
      </c>
      <c r="G891" s="175" t="n">
        <v>39</v>
      </c>
      <c r="H891" s="176" t="n">
        <v>2117.64807900944</v>
      </c>
      <c r="I891" s="177" t="n">
        <v>4597061.64976302</v>
      </c>
      <c r="J891" s="178" t="str">
        <f>IF(I891&gt;0,H891/I891,0)</f>
      </c>
      <c r="K891" s="179" t="str">
        <f>1-EXP(-J891)</f>
      </c>
      <c r="L891" s="180" t="str">
        <f>IF(G891=30,1,M890)</f>
      </c>
      <c r="M891" s="181" t="str">
        <f>L891*(1-K891)</f>
      </c>
    </row>
    <row r="892">
      <c r="A892" t="s">
        <v>164</v>
      </c>
      <c r="B892" t="s">
        <v>115</v>
      </c>
      <c r="C892" s="32" t="s">
        <v>294</v>
      </c>
      <c r="D892" t="s">
        <v>378</v>
      </c>
      <c r="E892" t="s">
        <v>395</v>
      </c>
      <c r="F892" s="174" t="n">
        <v>2047</v>
      </c>
      <c r="G892" s="175" t="n">
        <v>40</v>
      </c>
      <c r="H892" s="176" t="n">
        <v>2923.73062175753</v>
      </c>
      <c r="I892" s="177" t="n">
        <v>4619611.94486703</v>
      </c>
      <c r="J892" s="178" t="str">
        <f>IF(I892&gt;0,H892/I892,0)</f>
      </c>
      <c r="K892" s="179" t="str">
        <f>1-EXP(-J892)</f>
      </c>
      <c r="L892" s="180" t="str">
        <f>IF(G892=30,1,M891)</f>
      </c>
      <c r="M892" s="181" t="str">
        <f>L892*(1-K892)</f>
      </c>
    </row>
    <row r="893">
      <c r="A893" t="s">
        <v>164</v>
      </c>
      <c r="B893" t="s">
        <v>115</v>
      </c>
      <c r="C893" s="32" t="s">
        <v>294</v>
      </c>
      <c r="D893" t="s">
        <v>378</v>
      </c>
      <c r="E893" t="s">
        <v>395</v>
      </c>
      <c r="F893" s="174" t="n">
        <v>2047</v>
      </c>
      <c r="G893" s="175" t="n">
        <v>41</v>
      </c>
      <c r="H893" s="176" t="n">
        <v>3158.77408634741</v>
      </c>
      <c r="I893" s="177" t="n">
        <v>4533540.25234237</v>
      </c>
      <c r="J893" s="178" t="str">
        <f>IF(I893&gt;0,H893/I893,0)</f>
      </c>
      <c r="K893" s="179" t="str">
        <f>1-EXP(-J893)</f>
      </c>
      <c r="L893" s="180" t="str">
        <f>IF(G893=30,1,M892)</f>
      </c>
      <c r="M893" s="181" t="str">
        <f>L893*(1-K893)</f>
      </c>
    </row>
    <row r="894">
      <c r="A894" t="s">
        <v>164</v>
      </c>
      <c r="B894" t="s">
        <v>115</v>
      </c>
      <c r="C894" s="32" t="s">
        <v>294</v>
      </c>
      <c r="D894" t="s">
        <v>378</v>
      </c>
      <c r="E894" t="s">
        <v>395</v>
      </c>
      <c r="F894" s="174" t="n">
        <v>2047</v>
      </c>
      <c r="G894" s="175" t="n">
        <v>42</v>
      </c>
      <c r="H894" s="176" t="n">
        <v>3372.45898792871</v>
      </c>
      <c r="I894" s="177" t="n">
        <v>4469336.52237245</v>
      </c>
      <c r="J894" s="178" t="str">
        <f>IF(I894&gt;0,H894/I894,0)</f>
      </c>
      <c r="K894" s="179" t="str">
        <f>1-EXP(-J894)</f>
      </c>
      <c r="L894" s="180" t="str">
        <f>IF(G894=30,1,M893)</f>
      </c>
      <c r="M894" s="181" t="str">
        <f>L894*(1-K894)</f>
      </c>
    </row>
    <row r="895">
      <c r="A895" t="s">
        <v>164</v>
      </c>
      <c r="B895" t="s">
        <v>115</v>
      </c>
      <c r="C895" s="32" t="s">
        <v>294</v>
      </c>
      <c r="D895" t="s">
        <v>378</v>
      </c>
      <c r="E895" t="s">
        <v>395</v>
      </c>
      <c r="F895" s="174" t="n">
        <v>2047</v>
      </c>
      <c r="G895" s="175" t="n">
        <v>43</v>
      </c>
      <c r="H895" s="176" t="n">
        <v>3562.29014480474</v>
      </c>
      <c r="I895" s="177" t="n">
        <v>4338027.49009792</v>
      </c>
      <c r="J895" s="178" t="str">
        <f>IF(I895&gt;0,H895/I895,0)</f>
      </c>
      <c r="K895" s="179" t="str">
        <f>1-EXP(-J895)</f>
      </c>
      <c r="L895" s="180" t="str">
        <f>IF(G895=30,1,M894)</f>
      </c>
      <c r="M895" s="181" t="str">
        <f>L895*(1-K895)</f>
      </c>
    </row>
    <row r="896">
      <c r="A896" t="s">
        <v>164</v>
      </c>
      <c r="B896" t="s">
        <v>115</v>
      </c>
      <c r="C896" s="32" t="s">
        <v>294</v>
      </c>
      <c r="D896" t="s">
        <v>378</v>
      </c>
      <c r="E896" t="s">
        <v>395</v>
      </c>
      <c r="F896" s="174" t="n">
        <v>2047</v>
      </c>
      <c r="G896" s="175" t="n">
        <v>44</v>
      </c>
      <c r="H896" s="176" t="n">
        <v>3822.92304096096</v>
      </c>
      <c r="I896" s="177" t="n">
        <v>4268277.28459291</v>
      </c>
      <c r="J896" s="178" t="str">
        <f>IF(I896&gt;0,H896/I896,0)</f>
      </c>
      <c r="K896" s="179" t="str">
        <f>1-EXP(-J896)</f>
      </c>
      <c r="L896" s="180" t="str">
        <f>IF(G896=30,1,M895)</f>
      </c>
      <c r="M896" s="181" t="str">
        <f>L896*(1-K896)</f>
      </c>
    </row>
    <row r="897">
      <c r="A897" t="s">
        <v>164</v>
      </c>
      <c r="B897" t="s">
        <v>115</v>
      </c>
      <c r="C897" s="32" t="s">
        <v>294</v>
      </c>
      <c r="D897" t="s">
        <v>378</v>
      </c>
      <c r="E897" t="s">
        <v>395</v>
      </c>
      <c r="F897" s="174" t="n">
        <v>2047</v>
      </c>
      <c r="G897" s="175" t="n">
        <v>45</v>
      </c>
      <c r="H897" s="176" t="n">
        <v>5060.70337290401</v>
      </c>
      <c r="I897" s="177" t="n">
        <v>4238905.92386208</v>
      </c>
      <c r="J897" s="178" t="str">
        <f>IF(I897&gt;0,H897/I897,0)</f>
      </c>
      <c r="K897" s="179" t="str">
        <f>1-EXP(-J897)</f>
      </c>
      <c r="L897" s="180" t="str">
        <f>IF(G897=30,1,M896)</f>
      </c>
      <c r="M897" s="181" t="str">
        <f>L897*(1-K897)</f>
      </c>
    </row>
    <row r="898">
      <c r="A898" t="s">
        <v>164</v>
      </c>
      <c r="B898" t="s">
        <v>115</v>
      </c>
      <c r="C898" s="32" t="s">
        <v>294</v>
      </c>
      <c r="D898" t="s">
        <v>378</v>
      </c>
      <c r="E898" t="s">
        <v>395</v>
      </c>
      <c r="F898" s="174" t="n">
        <v>2047</v>
      </c>
      <c r="G898" s="175" t="n">
        <v>46</v>
      </c>
      <c r="H898" s="176" t="n">
        <v>5479.64395867917</v>
      </c>
      <c r="I898" s="177" t="n">
        <v>4211253.32829407</v>
      </c>
      <c r="J898" s="178" t="str">
        <f>IF(I898&gt;0,H898/I898,0)</f>
      </c>
      <c r="K898" s="179" t="str">
        <f>1-EXP(-J898)</f>
      </c>
      <c r="L898" s="180" t="str">
        <f>IF(G898=30,1,M897)</f>
      </c>
      <c r="M898" s="181" t="str">
        <f>L898*(1-K898)</f>
      </c>
    </row>
    <row r="899">
      <c r="A899" t="s">
        <v>164</v>
      </c>
      <c r="B899" t="s">
        <v>115</v>
      </c>
      <c r="C899" s="32" t="s">
        <v>294</v>
      </c>
      <c r="D899" t="s">
        <v>378</v>
      </c>
      <c r="E899" t="s">
        <v>395</v>
      </c>
      <c r="F899" s="174" t="n">
        <v>2047</v>
      </c>
      <c r="G899" s="175" t="n">
        <v>47</v>
      </c>
      <c r="H899" s="176" t="n">
        <v>5963.05850103535</v>
      </c>
      <c r="I899" s="177" t="n">
        <v>4183295.53373188</v>
      </c>
      <c r="J899" s="178" t="str">
        <f>IF(I899&gt;0,H899/I899,0)</f>
      </c>
      <c r="K899" s="179" t="str">
        <f>1-EXP(-J899)</f>
      </c>
      <c r="L899" s="180" t="str">
        <f>IF(G899=30,1,M898)</f>
      </c>
      <c r="M899" s="181" t="str">
        <f>L899*(1-K899)</f>
      </c>
    </row>
    <row r="900">
      <c r="A900" t="s">
        <v>164</v>
      </c>
      <c r="B900" t="s">
        <v>115</v>
      </c>
      <c r="C900" s="32" t="s">
        <v>294</v>
      </c>
      <c r="D900" t="s">
        <v>378</v>
      </c>
      <c r="E900" t="s">
        <v>395</v>
      </c>
      <c r="F900" s="174" t="n">
        <v>2047</v>
      </c>
      <c r="G900" s="175" t="n">
        <v>48</v>
      </c>
      <c r="H900" s="176" t="n">
        <v>6571.26379509021</v>
      </c>
      <c r="I900" s="177" t="n">
        <v>4192751.98530707</v>
      </c>
      <c r="J900" s="178" t="str">
        <f>IF(I900&gt;0,H900/I900,0)</f>
      </c>
      <c r="K900" s="179" t="str">
        <f>1-EXP(-J900)</f>
      </c>
      <c r="L900" s="180" t="str">
        <f>IF(G900=30,1,M899)</f>
      </c>
      <c r="M900" s="181" t="str">
        <f>L900*(1-K900)</f>
      </c>
    </row>
    <row r="901">
      <c r="A901" t="s">
        <v>164</v>
      </c>
      <c r="B901" t="s">
        <v>115</v>
      </c>
      <c r="C901" s="32" t="s">
        <v>294</v>
      </c>
      <c r="D901" t="s">
        <v>378</v>
      </c>
      <c r="E901" t="s">
        <v>395</v>
      </c>
      <c r="F901" s="174" t="n">
        <v>2047</v>
      </c>
      <c r="G901" s="175" t="n">
        <v>49</v>
      </c>
      <c r="H901" s="176" t="n">
        <v>7308.7809787539</v>
      </c>
      <c r="I901" s="177" t="n">
        <v>4238753.605806</v>
      </c>
      <c r="J901" s="178" t="str">
        <f>IF(I901&gt;0,H901/I901,0)</f>
      </c>
      <c r="K901" s="179" t="str">
        <f>1-EXP(-J901)</f>
      </c>
      <c r="L901" s="180" t="str">
        <f>IF(G901=30,1,M900)</f>
      </c>
      <c r="M901" s="181" t="str">
        <f>L901*(1-K901)</f>
      </c>
    </row>
    <row r="902">
      <c r="A902" t="s">
        <v>164</v>
      </c>
      <c r="B902" t="s">
        <v>115</v>
      </c>
      <c r="C902" s="32" t="s">
        <v>294</v>
      </c>
      <c r="D902" t="s">
        <v>378</v>
      </c>
      <c r="E902" t="s">
        <v>395</v>
      </c>
      <c r="F902" s="174" t="n">
        <v>2047</v>
      </c>
      <c r="G902" s="175" t="n">
        <v>50</v>
      </c>
      <c r="H902" s="176" t="n">
        <v>8797.99606855201</v>
      </c>
      <c r="I902" s="177" t="n">
        <v>4356222.35876418</v>
      </c>
      <c r="J902" s="178" t="str">
        <f>IF(I902&gt;0,H902/I902,0)</f>
      </c>
      <c r="K902" s="179" t="str">
        <f>1-EXP(-J902)</f>
      </c>
      <c r="L902" s="180" t="str">
        <f>IF(G902=30,1,M901)</f>
      </c>
      <c r="M902" s="181" t="str">
        <f>L902*(1-K902)</f>
      </c>
    </row>
    <row r="903">
      <c r="A903" t="s">
        <v>164</v>
      </c>
      <c r="B903" t="s">
        <v>115</v>
      </c>
      <c r="C903" s="32" t="s">
        <v>294</v>
      </c>
      <c r="D903" t="s">
        <v>378</v>
      </c>
      <c r="E903" t="s">
        <v>395</v>
      </c>
      <c r="F903" s="174" t="n">
        <v>2047</v>
      </c>
      <c r="G903" s="175" t="n">
        <v>51</v>
      </c>
      <c r="H903" s="176" t="n">
        <v>9395.60461769007</v>
      </c>
      <c r="I903" s="177" t="n">
        <v>4299157.23394054</v>
      </c>
      <c r="J903" s="178" t="str">
        <f>IF(I903&gt;0,H903/I903,0)</f>
      </c>
      <c r="K903" s="179" t="str">
        <f>1-EXP(-J903)</f>
      </c>
      <c r="L903" s="180" t="str">
        <f>IF(G903=30,1,M902)</f>
      </c>
      <c r="M903" s="181" t="str">
        <f>L903*(1-K903)</f>
      </c>
    </row>
    <row r="904">
      <c r="A904" t="s">
        <v>164</v>
      </c>
      <c r="B904" t="s">
        <v>115</v>
      </c>
      <c r="C904" s="32" t="s">
        <v>294</v>
      </c>
      <c r="D904" t="s">
        <v>378</v>
      </c>
      <c r="E904" t="s">
        <v>395</v>
      </c>
      <c r="F904" s="174" t="n">
        <v>2047</v>
      </c>
      <c r="G904" s="175" t="n">
        <v>52</v>
      </c>
      <c r="H904" s="176" t="n">
        <v>10067.8648548688</v>
      </c>
      <c r="I904" s="177" t="n">
        <v>4212703.62065108</v>
      </c>
      <c r="J904" s="178" t="str">
        <f>IF(I904&gt;0,H904/I904,0)</f>
      </c>
      <c r="K904" s="179" t="str">
        <f>1-EXP(-J904)</f>
      </c>
      <c r="L904" s="180" t="str">
        <f>IF(G904=30,1,M903)</f>
      </c>
      <c r="M904" s="181" t="str">
        <f>L904*(1-K904)</f>
      </c>
    </row>
    <row r="905">
      <c r="A905" t="s">
        <v>164</v>
      </c>
      <c r="B905" t="s">
        <v>115</v>
      </c>
      <c r="C905" s="32" t="s">
        <v>294</v>
      </c>
      <c r="D905" t="s">
        <v>378</v>
      </c>
      <c r="E905" t="s">
        <v>395</v>
      </c>
      <c r="F905" s="174" t="n">
        <v>2047</v>
      </c>
      <c r="G905" s="175" t="n">
        <v>53</v>
      </c>
      <c r="H905" s="176" t="n">
        <v>10809.8004691378</v>
      </c>
      <c r="I905" s="177" t="n">
        <v>4139955.75767082</v>
      </c>
      <c r="J905" s="178" t="str">
        <f>IF(I905&gt;0,H905/I905,0)</f>
      </c>
      <c r="K905" s="179" t="str">
        <f>1-EXP(-J905)</f>
      </c>
      <c r="L905" s="180" t="str">
        <f>IF(G905=30,1,M904)</f>
      </c>
      <c r="M905" s="181" t="str">
        <f>L905*(1-K905)</f>
      </c>
    </row>
    <row r="906">
      <c r="A906" t="s">
        <v>164</v>
      </c>
      <c r="B906" t="s">
        <v>115</v>
      </c>
      <c r="C906" s="32" t="s">
        <v>294</v>
      </c>
      <c r="D906" t="s">
        <v>378</v>
      </c>
      <c r="E906" t="s">
        <v>395</v>
      </c>
      <c r="F906" s="174" t="n">
        <v>2047</v>
      </c>
      <c r="G906" s="175" t="n">
        <v>54</v>
      </c>
      <c r="H906" s="176" t="n">
        <v>11584.0250945611</v>
      </c>
      <c r="I906" s="177" t="n">
        <v>4069274.95909918</v>
      </c>
      <c r="J906" s="178" t="str">
        <f>IF(I906&gt;0,H906/I906,0)</f>
      </c>
      <c r="K906" s="179" t="str">
        <f>1-EXP(-J906)</f>
      </c>
      <c r="L906" s="180" t="str">
        <f>IF(G906=30,1,M905)</f>
      </c>
      <c r="M906" s="181" t="str">
        <f>L906*(1-K906)</f>
      </c>
    </row>
    <row r="907">
      <c r="A907" t="s">
        <v>164</v>
      </c>
      <c r="B907" t="s">
        <v>115</v>
      </c>
      <c r="C907" s="32" t="s">
        <v>294</v>
      </c>
      <c r="D907" t="s">
        <v>378</v>
      </c>
      <c r="E907" t="s">
        <v>395</v>
      </c>
      <c r="F907" s="174" t="n">
        <v>2047</v>
      </c>
      <c r="G907" s="175" t="n">
        <v>55</v>
      </c>
      <c r="H907" s="176" t="n">
        <v>12416.9286868297</v>
      </c>
      <c r="I907" s="177" t="n">
        <v>4083082.59850469</v>
      </c>
      <c r="J907" s="178" t="str">
        <f>IF(I907&gt;0,H907/I907,0)</f>
      </c>
      <c r="K907" s="179" t="str">
        <f>1-EXP(-J907)</f>
      </c>
      <c r="L907" s="180" t="str">
        <f>IF(G907=30,1,M906)</f>
      </c>
      <c r="M907" s="181" t="str">
        <f>L907*(1-K907)</f>
      </c>
    </row>
    <row r="908">
      <c r="A908" t="s">
        <v>164</v>
      </c>
      <c r="B908" t="s">
        <v>115</v>
      </c>
      <c r="C908" s="32" t="s">
        <v>294</v>
      </c>
      <c r="D908" t="s">
        <v>378</v>
      </c>
      <c r="E908" t="s">
        <v>395</v>
      </c>
      <c r="F908" s="174" t="n">
        <v>2047</v>
      </c>
      <c r="G908" s="175" t="n">
        <v>56</v>
      </c>
      <c r="H908" s="176" t="n">
        <v>13366.2740345666</v>
      </c>
      <c r="I908" s="177" t="n">
        <v>4075854.26720722</v>
      </c>
      <c r="J908" s="178" t="str">
        <f>IF(I908&gt;0,H908/I908,0)</f>
      </c>
      <c r="K908" s="179" t="str">
        <f>1-EXP(-J908)</f>
      </c>
      <c r="L908" s="180" t="str">
        <f>IF(G908=30,1,M907)</f>
      </c>
      <c r="M908" s="181" t="str">
        <f>L908*(1-K908)</f>
      </c>
    </row>
    <row r="909">
      <c r="A909" t="s">
        <v>164</v>
      </c>
      <c r="B909" t="s">
        <v>115</v>
      </c>
      <c r="C909" s="32" t="s">
        <v>294</v>
      </c>
      <c r="D909" t="s">
        <v>378</v>
      </c>
      <c r="E909" t="s">
        <v>395</v>
      </c>
      <c r="F909" s="174" t="n">
        <v>2047</v>
      </c>
      <c r="G909" s="175" t="n">
        <v>57</v>
      </c>
      <c r="H909" s="176" t="n">
        <v>19533.3823094062</v>
      </c>
      <c r="I909" s="177" t="n">
        <v>5992157.68887375</v>
      </c>
      <c r="J909" s="178" t="str">
        <f>IF(I909&gt;0,H909/I909,0)</f>
      </c>
      <c r="K909" s="179" t="str">
        <f>1-EXP(-J909)</f>
      </c>
      <c r="L909" s="180" t="str">
        <f>IF(G909=30,1,M908)</f>
      </c>
      <c r="M909" s="181" t="str">
        <f>L909*(1-K909)</f>
      </c>
    </row>
    <row r="910">
      <c r="A910" t="s">
        <v>164</v>
      </c>
      <c r="B910" t="s">
        <v>115</v>
      </c>
      <c r="C910" s="32" t="s">
        <v>294</v>
      </c>
      <c r="D910" t="s">
        <v>378</v>
      </c>
      <c r="E910" t="s">
        <v>395</v>
      </c>
      <c r="F910" s="174" t="n">
        <v>2047</v>
      </c>
      <c r="G910" s="175" t="n">
        <v>58</v>
      </c>
      <c r="H910" s="176" t="n">
        <v>15576.9290673976</v>
      </c>
      <c r="I910" s="177" t="n">
        <v>3983352.59768398</v>
      </c>
      <c r="J910" s="178" t="str">
        <f>IF(I910&gt;0,H910/I910,0)</f>
      </c>
      <c r="K910" s="179" t="str">
        <f>1-EXP(-J910)</f>
      </c>
      <c r="L910" s="180" t="str">
        <f>IF(G910=30,1,M909)</f>
      </c>
      <c r="M910" s="181" t="str">
        <f>L910*(1-K910)</f>
      </c>
    </row>
    <row r="911">
      <c r="A911" t="s">
        <v>164</v>
      </c>
      <c r="B911" t="s">
        <v>115</v>
      </c>
      <c r="C911" s="32" t="s">
        <v>294</v>
      </c>
      <c r="D911" t="s">
        <v>378</v>
      </c>
      <c r="E911" t="s">
        <v>395</v>
      </c>
      <c r="F911" s="174" t="n">
        <v>2047</v>
      </c>
      <c r="G911" s="175" t="n">
        <v>59</v>
      </c>
      <c r="H911" s="176" t="n">
        <v>16867.0242614039</v>
      </c>
      <c r="I911" s="177" t="n">
        <v>3937420.66639363</v>
      </c>
      <c r="J911" s="178" t="str">
        <f>IF(I911&gt;0,H911/I911,0)</f>
      </c>
      <c r="K911" s="179" t="str">
        <f>1-EXP(-J911)</f>
      </c>
      <c r="L911" s="180" t="str">
        <f>IF(G911=30,1,M910)</f>
      </c>
      <c r="M911" s="181" t="str">
        <f>L911*(1-K911)</f>
      </c>
    </row>
    <row r="912">
      <c r="A912" t="s">
        <v>164</v>
      </c>
      <c r="B912" t="s">
        <v>115</v>
      </c>
      <c r="C912" s="32" t="s">
        <v>294</v>
      </c>
      <c r="D912" t="s">
        <v>378</v>
      </c>
      <c r="E912" t="s">
        <v>395</v>
      </c>
      <c r="F912" s="174" t="n">
        <v>2047</v>
      </c>
      <c r="G912" s="175" t="n">
        <v>60</v>
      </c>
      <c r="H912" s="176" t="n">
        <v>17541.4816668062</v>
      </c>
      <c r="I912" s="177" t="n">
        <v>3784378.93700703</v>
      </c>
      <c r="J912" s="178" t="str">
        <f>IF(I912&gt;0,H912/I912,0)</f>
      </c>
      <c r="K912" s="179" t="str">
        <f>1-EXP(-J912)</f>
      </c>
      <c r="L912" s="180" t="str">
        <f>IF(G912=30,1,M911)</f>
      </c>
      <c r="M912" s="181" t="str">
        <f>L912*(1-K912)</f>
      </c>
    </row>
    <row r="913">
      <c r="A913" t="s">
        <v>164</v>
      </c>
      <c r="B913" t="s">
        <v>115</v>
      </c>
      <c r="C913" s="32" t="s">
        <v>294</v>
      </c>
      <c r="D913" t="s">
        <v>378</v>
      </c>
      <c r="E913" t="s">
        <v>395</v>
      </c>
      <c r="F913" s="174" t="n">
        <v>2047</v>
      </c>
      <c r="G913" s="175" t="n">
        <v>61</v>
      </c>
      <c r="H913" s="176" t="n">
        <v>18758.1417664613</v>
      </c>
      <c r="I913" s="177" t="n">
        <v>3718061.47934511</v>
      </c>
      <c r="J913" s="178" t="str">
        <f>IF(I913&gt;0,H913/I913,0)</f>
      </c>
      <c r="K913" s="179" t="str">
        <f>1-EXP(-J913)</f>
      </c>
      <c r="L913" s="180" t="str">
        <f>IF(G913=30,1,M912)</f>
      </c>
      <c r="M913" s="181" t="str">
        <f>L913*(1-K913)</f>
      </c>
    </row>
    <row r="914">
      <c r="A914" t="s">
        <v>164</v>
      </c>
      <c r="B914" t="s">
        <v>115</v>
      </c>
      <c r="C914" s="32" t="s">
        <v>294</v>
      </c>
      <c r="D914" t="s">
        <v>378</v>
      </c>
      <c r="E914" t="s">
        <v>395</v>
      </c>
      <c r="F914" s="174" t="n">
        <v>2047</v>
      </c>
      <c r="G914" s="175" t="n">
        <v>62</v>
      </c>
      <c r="H914" s="176" t="n">
        <v>20685.1027358171</v>
      </c>
      <c r="I914" s="177" t="n">
        <v>3732258.9545398</v>
      </c>
      <c r="J914" s="178" t="str">
        <f>IF(I914&gt;0,H914/I914,0)</f>
      </c>
      <c r="K914" s="179" t="str">
        <f>1-EXP(-J914)</f>
      </c>
      <c r="L914" s="180" t="str">
        <f>IF(G914=30,1,M913)</f>
      </c>
      <c r="M914" s="181" t="str">
        <f>L914*(1-K914)</f>
      </c>
    </row>
    <row r="915">
      <c r="A915" t="s">
        <v>164</v>
      </c>
      <c r="B915" t="s">
        <v>115</v>
      </c>
      <c r="C915" s="32" t="s">
        <v>294</v>
      </c>
      <c r="D915" t="s">
        <v>378</v>
      </c>
      <c r="E915" t="s">
        <v>395</v>
      </c>
      <c r="F915" s="174" t="n">
        <v>2047</v>
      </c>
      <c r="G915" s="175" t="n">
        <v>63</v>
      </c>
      <c r="H915" s="176" t="n">
        <v>22932.6736070561</v>
      </c>
      <c r="I915" s="177" t="n">
        <v>3763949.60851634</v>
      </c>
      <c r="J915" s="178" t="str">
        <f>IF(I915&gt;0,H915/I915,0)</f>
      </c>
      <c r="K915" s="179" t="str">
        <f>1-EXP(-J915)</f>
      </c>
      <c r="L915" s="180" t="str">
        <f>IF(G915=30,1,M914)</f>
      </c>
      <c r="M915" s="181" t="str">
        <f>L915*(1-K915)</f>
      </c>
    </row>
    <row r="916">
      <c r="A916" t="s">
        <v>164</v>
      </c>
      <c r="B916" t="s">
        <v>115</v>
      </c>
      <c r="C916" s="32" t="s">
        <v>294</v>
      </c>
      <c r="D916" t="s">
        <v>378</v>
      </c>
      <c r="E916" t="s">
        <v>395</v>
      </c>
      <c r="F916" s="174" t="n">
        <v>2047</v>
      </c>
      <c r="G916" s="175" t="n">
        <v>64</v>
      </c>
      <c r="H916" s="176" t="n">
        <v>24738.3478806071</v>
      </c>
      <c r="I916" s="177" t="n">
        <v>3695918.5481496</v>
      </c>
      <c r="J916" s="178" t="str">
        <f>IF(I916&gt;0,H916/I916,0)</f>
      </c>
      <c r="K916" s="179" t="str">
        <f>1-EXP(-J916)</f>
      </c>
      <c r="L916" s="180" t="str">
        <f>IF(G916=30,1,M915)</f>
      </c>
      <c r="M916" s="181" t="str">
        <f>L916*(1-K916)</f>
      </c>
    </row>
    <row r="917">
      <c r="A917" t="s">
        <v>164</v>
      </c>
      <c r="B917" t="s">
        <v>115</v>
      </c>
      <c r="C917" s="32" t="s">
        <v>294</v>
      </c>
      <c r="D917" t="s">
        <v>378</v>
      </c>
      <c r="E917" t="s">
        <v>395</v>
      </c>
      <c r="F917" s="174" t="n">
        <v>2047</v>
      </c>
      <c r="G917" s="175" t="n">
        <v>65</v>
      </c>
      <c r="H917" s="176" t="n">
        <v>24705.3398503457</v>
      </c>
      <c r="I917" s="177" t="n">
        <v>3528132.33330808</v>
      </c>
      <c r="J917" s="178" t="str">
        <f>IF(I917&gt;0,H917/I917,0)</f>
      </c>
      <c r="K917" s="179" t="str">
        <f>1-EXP(-J917)</f>
      </c>
      <c r="L917" s="180" t="str">
        <f>IF(G917=30,1,M916)</f>
      </c>
      <c r="M917" s="181" t="str">
        <f>L917*(1-K917)</f>
      </c>
    </row>
    <row r="918">
      <c r="A918" t="s">
        <v>164</v>
      </c>
      <c r="B918" t="s">
        <v>115</v>
      </c>
      <c r="C918" s="32" t="s">
        <v>294</v>
      </c>
      <c r="D918" t="s">
        <v>378</v>
      </c>
      <c r="E918" t="s">
        <v>395</v>
      </c>
      <c r="F918" s="174" t="n">
        <v>2047</v>
      </c>
      <c r="G918" s="175" t="n">
        <v>66</v>
      </c>
      <c r="H918" s="176" t="n">
        <v>26072.6762338879</v>
      </c>
      <c r="I918" s="177" t="n">
        <v>3413053.78744616</v>
      </c>
      <c r="J918" s="178" t="str">
        <f>IF(I918&gt;0,H918/I918,0)</f>
      </c>
      <c r="K918" s="179" t="str">
        <f>1-EXP(-J918)</f>
      </c>
      <c r="L918" s="180" t="str">
        <f>IF(G918=30,1,M917)</f>
      </c>
      <c r="M918" s="181" t="str">
        <f>L918*(1-K918)</f>
      </c>
    </row>
    <row r="919">
      <c r="A919" t="s">
        <v>164</v>
      </c>
      <c r="B919" t="s">
        <v>115</v>
      </c>
      <c r="C919" s="32" t="s">
        <v>294</v>
      </c>
      <c r="D919" t="s">
        <v>378</v>
      </c>
      <c r="E919" t="s">
        <v>395</v>
      </c>
      <c r="F919" s="174" t="n">
        <v>2047</v>
      </c>
      <c r="G919" s="175" t="n">
        <v>67</v>
      </c>
      <c r="H919" s="176" t="n">
        <v>27770.8006655152</v>
      </c>
      <c r="I919" s="177" t="n">
        <v>3308247.35012255</v>
      </c>
      <c r="J919" s="178" t="str">
        <f>IF(I919&gt;0,H919/I919,0)</f>
      </c>
      <c r="K919" s="179" t="str">
        <f>1-EXP(-J919)</f>
      </c>
      <c r="L919" s="180" t="str">
        <f>IF(G919=30,1,M918)</f>
      </c>
      <c r="M919" s="181" t="str">
        <f>L919*(1-K919)</f>
      </c>
    </row>
    <row r="920">
      <c r="A920" t="s">
        <v>164</v>
      </c>
      <c r="B920" t="s">
        <v>115</v>
      </c>
      <c r="C920" s="32" t="s">
        <v>294</v>
      </c>
      <c r="D920" t="s">
        <v>378</v>
      </c>
      <c r="E920" t="s">
        <v>395</v>
      </c>
      <c r="F920" s="174" t="n">
        <v>2047</v>
      </c>
      <c r="G920" s="175" t="n">
        <v>68</v>
      </c>
      <c r="H920" s="176" t="n">
        <v>29527.3146061209</v>
      </c>
      <c r="I920" s="177" t="n">
        <v>3196280.7569239</v>
      </c>
      <c r="J920" s="178" t="str">
        <f>IF(I920&gt;0,H920/I920,0)</f>
      </c>
      <c r="K920" s="179" t="str">
        <f>1-EXP(-J920)</f>
      </c>
      <c r="L920" s="180" t="str">
        <f>IF(G920=30,1,M919)</f>
      </c>
      <c r="M920" s="181" t="str">
        <f>L920*(1-K920)</f>
      </c>
    </row>
    <row r="921">
      <c r="A921" t="s">
        <v>164</v>
      </c>
      <c r="B921" t="s">
        <v>115</v>
      </c>
      <c r="C921" s="32" t="s">
        <v>294</v>
      </c>
      <c r="D921" t="s">
        <v>378</v>
      </c>
      <c r="E921" t="s">
        <v>395</v>
      </c>
      <c r="F921" s="174" t="n">
        <v>2047</v>
      </c>
      <c r="G921" s="175" t="n">
        <v>69</v>
      </c>
      <c r="H921" s="176" t="n">
        <v>31195.2178358893</v>
      </c>
      <c r="I921" s="177" t="n">
        <v>3066131.89712039</v>
      </c>
      <c r="J921" s="178" t="str">
        <f>IF(I921&gt;0,H921/I921,0)</f>
      </c>
      <c r="K921" s="179" t="str">
        <f>1-EXP(-J921)</f>
      </c>
      <c r="L921" s="180" t="str">
        <f>IF(G921=30,1,M920)</f>
      </c>
      <c r="M921" s="181" t="str">
        <f>L921*(1-K921)</f>
      </c>
    </row>
    <row r="922">
      <c r="A922" t="s">
        <v>164</v>
      </c>
      <c r="B922" t="s">
        <v>115</v>
      </c>
      <c r="C922" s="32" t="s">
        <v>294</v>
      </c>
      <c r="D922" t="s">
        <v>378</v>
      </c>
      <c r="E922" t="s">
        <v>395</v>
      </c>
      <c r="F922" s="174" t="n">
        <v>2048</v>
      </c>
      <c r="G922" s="175" t="n">
        <v>30</v>
      </c>
      <c r="H922" s="176" t="n">
        <v>612.175804466923</v>
      </c>
      <c r="I922" s="177" t="n">
        <v>4275302.924743</v>
      </c>
      <c r="J922" s="178" t="str">
        <f>IF(I922&gt;0,H922/I922,0)</f>
      </c>
      <c r="K922" s="179" t="str">
        <f>1-EXP(-J922)</f>
      </c>
      <c r="L922" s="180" t="str">
        <f>IF(G922=30,1,M921)</f>
      </c>
      <c r="M922" s="181" t="str">
        <f>L922*(1-K922)</f>
      </c>
    </row>
    <row r="923">
      <c r="A923" t="s">
        <v>164</v>
      </c>
      <c r="B923" t="s">
        <v>115</v>
      </c>
      <c r="C923" s="32" t="s">
        <v>294</v>
      </c>
      <c r="D923" t="s">
        <v>378</v>
      </c>
      <c r="E923" t="s">
        <v>395</v>
      </c>
      <c r="F923" s="174" t="n">
        <v>2048</v>
      </c>
      <c r="G923" s="175" t="n">
        <v>31</v>
      </c>
      <c r="H923" s="176" t="n">
        <v>850.483333980966</v>
      </c>
      <c r="I923" s="177" t="n">
        <v>4315836.82979267</v>
      </c>
      <c r="J923" s="178" t="str">
        <f>IF(I923&gt;0,H923/I923,0)</f>
      </c>
      <c r="K923" s="179" t="str">
        <f>1-EXP(-J923)</f>
      </c>
      <c r="L923" s="180" t="str">
        <f>IF(G923=30,1,M922)</f>
      </c>
      <c r="M923" s="181" t="str">
        <f>L923*(1-K923)</f>
      </c>
    </row>
    <row r="924">
      <c r="A924" t="s">
        <v>164</v>
      </c>
      <c r="B924" t="s">
        <v>115</v>
      </c>
      <c r="C924" s="32" t="s">
        <v>294</v>
      </c>
      <c r="D924" t="s">
        <v>378</v>
      </c>
      <c r="E924" t="s">
        <v>395</v>
      </c>
      <c r="F924" s="174" t="n">
        <v>2048</v>
      </c>
      <c r="G924" s="175" t="n">
        <v>32</v>
      </c>
      <c r="H924" s="176" t="n">
        <v>980.983851106191</v>
      </c>
      <c r="I924" s="177" t="n">
        <v>4578339.40021819</v>
      </c>
      <c r="J924" s="178" t="str">
        <f>IF(I924&gt;0,H924/I924,0)</f>
      </c>
      <c r="K924" s="179" t="str">
        <f>1-EXP(-J924)</f>
      </c>
      <c r="L924" s="180" t="str">
        <f>IF(G924=30,1,M923)</f>
      </c>
      <c r="M924" s="181" t="str">
        <f>L924*(1-K924)</f>
      </c>
    </row>
    <row r="925">
      <c r="A925" t="s">
        <v>164</v>
      </c>
      <c r="B925" t="s">
        <v>115</v>
      </c>
      <c r="C925" s="32" t="s">
        <v>294</v>
      </c>
      <c r="D925" t="s">
        <v>378</v>
      </c>
      <c r="E925" t="s">
        <v>395</v>
      </c>
      <c r="F925" s="174" t="n">
        <v>2048</v>
      </c>
      <c r="G925" s="175" t="n">
        <v>33</v>
      </c>
      <c r="H925" s="176" t="n">
        <v>1078.9161917508</v>
      </c>
      <c r="I925" s="177" t="n">
        <v>4626842.58833204</v>
      </c>
      <c r="J925" s="178" t="str">
        <f>IF(I925&gt;0,H925/I925,0)</f>
      </c>
      <c r="K925" s="179" t="str">
        <f>1-EXP(-J925)</f>
      </c>
      <c r="L925" s="180" t="str">
        <f>IF(G925=30,1,M924)</f>
      </c>
      <c r="M925" s="181" t="str">
        <f>L925*(1-K925)</f>
      </c>
    </row>
    <row r="926">
      <c r="A926" t="s">
        <v>164</v>
      </c>
      <c r="B926" t="s">
        <v>115</v>
      </c>
      <c r="C926" s="32" t="s">
        <v>294</v>
      </c>
      <c r="D926" t="s">
        <v>378</v>
      </c>
      <c r="E926" t="s">
        <v>395</v>
      </c>
      <c r="F926" s="174" t="n">
        <v>2048</v>
      </c>
      <c r="G926" s="175" t="n">
        <v>34</v>
      </c>
      <c r="H926" s="176" t="n">
        <v>1159.41777506714</v>
      </c>
      <c r="I926" s="177" t="n">
        <v>4692772.37087579</v>
      </c>
      <c r="J926" s="178" t="str">
        <f>IF(I926&gt;0,H926/I926,0)</f>
      </c>
      <c r="K926" s="179" t="str">
        <f>1-EXP(-J926)</f>
      </c>
      <c r="L926" s="180" t="str">
        <f>IF(G926=30,1,M925)</f>
      </c>
      <c r="M926" s="181" t="str">
        <f>L926*(1-K926)</f>
      </c>
    </row>
    <row r="927">
      <c r="A927" t="s">
        <v>164</v>
      </c>
      <c r="B927" t="s">
        <v>115</v>
      </c>
      <c r="C927" s="32" t="s">
        <v>294</v>
      </c>
      <c r="D927" t="s">
        <v>378</v>
      </c>
      <c r="E927" t="s">
        <v>395</v>
      </c>
      <c r="F927" s="174" t="n">
        <v>2048</v>
      </c>
      <c r="G927" s="175" t="n">
        <v>35</v>
      </c>
      <c r="H927" s="176" t="n">
        <v>1513.98697585677</v>
      </c>
      <c r="I927" s="177" t="n">
        <v>4759968.92251564</v>
      </c>
      <c r="J927" s="178" t="str">
        <f>IF(I927&gt;0,H927/I927,0)</f>
      </c>
      <c r="K927" s="179" t="str">
        <f>1-EXP(-J927)</f>
      </c>
      <c r="L927" s="180" t="str">
        <f>IF(G927=30,1,M926)</f>
      </c>
      <c r="M927" s="181" t="str">
        <f>L927*(1-K927)</f>
      </c>
    </row>
    <row r="928">
      <c r="A928" t="s">
        <v>164</v>
      </c>
      <c r="B928" t="s">
        <v>115</v>
      </c>
      <c r="C928" s="32" t="s">
        <v>294</v>
      </c>
      <c r="D928" t="s">
        <v>378</v>
      </c>
      <c r="E928" t="s">
        <v>395</v>
      </c>
      <c r="F928" s="174" t="n">
        <v>2048</v>
      </c>
      <c r="G928" s="175" t="n">
        <v>36</v>
      </c>
      <c r="H928" s="176" t="n">
        <v>1800.19664795472</v>
      </c>
      <c r="I928" s="177" t="n">
        <v>4870739.33028753</v>
      </c>
      <c r="J928" s="178" t="str">
        <f>IF(I928&gt;0,H928/I928,0)</f>
      </c>
      <c r="K928" s="179" t="str">
        <f>1-EXP(-J928)</f>
      </c>
      <c r="L928" s="180" t="str">
        <f>IF(G928=30,1,M927)</f>
      </c>
      <c r="M928" s="181" t="str">
        <f>L928*(1-K928)</f>
      </c>
    </row>
    <row r="929">
      <c r="A929" t="s">
        <v>164</v>
      </c>
      <c r="B929" t="s">
        <v>115</v>
      </c>
      <c r="C929" s="32" t="s">
        <v>294</v>
      </c>
      <c r="D929" t="s">
        <v>378</v>
      </c>
      <c r="E929" t="s">
        <v>395</v>
      </c>
      <c r="F929" s="174" t="n">
        <v>2048</v>
      </c>
      <c r="G929" s="175" t="n">
        <v>37</v>
      </c>
      <c r="H929" s="176" t="n">
        <v>1916.81107162049</v>
      </c>
      <c r="I929" s="177" t="n">
        <v>4841362.16216879</v>
      </c>
      <c r="J929" s="178" t="str">
        <f>IF(I929&gt;0,H929/I929,0)</f>
      </c>
      <c r="K929" s="179" t="str">
        <f>1-EXP(-J929)</f>
      </c>
      <c r="L929" s="180" t="str">
        <f>IF(G929=30,1,M928)</f>
      </c>
      <c r="M929" s="181" t="str">
        <f>L929*(1-K929)</f>
      </c>
    </row>
    <row r="930">
      <c r="A930" t="s">
        <v>164</v>
      </c>
      <c r="B930" t="s">
        <v>115</v>
      </c>
      <c r="C930" s="32" t="s">
        <v>294</v>
      </c>
      <c r="D930" t="s">
        <v>378</v>
      </c>
      <c r="E930" t="s">
        <v>395</v>
      </c>
      <c r="F930" s="174" t="n">
        <v>2048</v>
      </c>
      <c r="G930" s="175" t="n">
        <v>38</v>
      </c>
      <c r="H930" s="176" t="n">
        <v>2003.35072120409</v>
      </c>
      <c r="I930" s="177" t="n">
        <v>4706702.51465662</v>
      </c>
      <c r="J930" s="178" t="str">
        <f>IF(I930&gt;0,H930/I930,0)</f>
      </c>
      <c r="K930" s="179" t="str">
        <f>1-EXP(-J930)</f>
      </c>
      <c r="L930" s="180" t="str">
        <f>IF(G930=30,1,M929)</f>
      </c>
      <c r="M930" s="181" t="str">
        <f>L930*(1-K930)</f>
      </c>
    </row>
    <row r="931">
      <c r="A931" t="s">
        <v>164</v>
      </c>
      <c r="B931" t="s">
        <v>115</v>
      </c>
      <c r="C931" s="32" t="s">
        <v>294</v>
      </c>
      <c r="D931" t="s">
        <v>378</v>
      </c>
      <c r="E931" t="s">
        <v>395</v>
      </c>
      <c r="F931" s="174" t="n">
        <v>2048</v>
      </c>
      <c r="G931" s="175" t="n">
        <v>39</v>
      </c>
      <c r="H931" s="176" t="n">
        <v>2126.78230563454</v>
      </c>
      <c r="I931" s="177" t="n">
        <v>4634219.1647398</v>
      </c>
      <c r="J931" s="178" t="str">
        <f>IF(I931&gt;0,H931/I931,0)</f>
      </c>
      <c r="K931" s="179" t="str">
        <f>1-EXP(-J931)</f>
      </c>
      <c r="L931" s="180" t="str">
        <f>IF(G931=30,1,M930)</f>
      </c>
      <c r="M931" s="181" t="str">
        <f>L931*(1-K931)</f>
      </c>
    </row>
    <row r="932">
      <c r="A932" t="s">
        <v>164</v>
      </c>
      <c r="B932" t="s">
        <v>115</v>
      </c>
      <c r="C932" s="32" t="s">
        <v>294</v>
      </c>
      <c r="D932" t="s">
        <v>378</v>
      </c>
      <c r="E932" t="s">
        <v>395</v>
      </c>
      <c r="F932" s="174" t="n">
        <v>2048</v>
      </c>
      <c r="G932" s="175" t="n">
        <v>40</v>
      </c>
      <c r="H932" s="176" t="n">
        <v>2814.85194791109</v>
      </c>
      <c r="I932" s="177" t="n">
        <v>4589178.61252042</v>
      </c>
      <c r="J932" s="178" t="str">
        <f>IF(I932&gt;0,H932/I932,0)</f>
      </c>
      <c r="K932" s="179" t="str">
        <f>1-EXP(-J932)</f>
      </c>
      <c r="L932" s="180" t="str">
        <f>IF(G932=30,1,M931)</f>
      </c>
      <c r="M932" s="181" t="str">
        <f>L932*(1-K932)</f>
      </c>
    </row>
    <row r="933">
      <c r="A933" t="s">
        <v>164</v>
      </c>
      <c r="B933" t="s">
        <v>115</v>
      </c>
      <c r="C933" s="32" t="s">
        <v>294</v>
      </c>
      <c r="D933" t="s">
        <v>378</v>
      </c>
      <c r="E933" t="s">
        <v>395</v>
      </c>
      <c r="F933" s="174" t="n">
        <v>2048</v>
      </c>
      <c r="G933" s="175" t="n">
        <v>41</v>
      </c>
      <c r="H933" s="176" t="n">
        <v>3196.29240731291</v>
      </c>
      <c r="I933" s="177" t="n">
        <v>4610395.10120054</v>
      </c>
      <c r="J933" s="178" t="str">
        <f>IF(I933&gt;0,H933/I933,0)</f>
      </c>
      <c r="K933" s="179" t="str">
        <f>1-EXP(-J933)</f>
      </c>
      <c r="L933" s="180" t="str">
        <f>IF(G933=30,1,M932)</f>
      </c>
      <c r="M933" s="181" t="str">
        <f>L933*(1-K933)</f>
      </c>
    </row>
    <row r="934">
      <c r="A934" t="s">
        <v>164</v>
      </c>
      <c r="B934" t="s">
        <v>115</v>
      </c>
      <c r="C934" s="32" t="s">
        <v>294</v>
      </c>
      <c r="D934" t="s">
        <v>378</v>
      </c>
      <c r="E934" t="s">
        <v>395</v>
      </c>
      <c r="F934" s="174" t="n">
        <v>2048</v>
      </c>
      <c r="G934" s="175" t="n">
        <v>42</v>
      </c>
      <c r="H934" s="176" t="n">
        <v>3395.70417923885</v>
      </c>
      <c r="I934" s="177" t="n">
        <v>4524471.72723626</v>
      </c>
      <c r="J934" s="178" t="str">
        <f>IF(I934&gt;0,H934/I934,0)</f>
      </c>
      <c r="K934" s="179" t="str">
        <f>1-EXP(-J934)</f>
      </c>
      <c r="L934" s="180" t="str">
        <f>IF(G934=30,1,M933)</f>
      </c>
      <c r="M934" s="181" t="str">
        <f>L934*(1-K934)</f>
      </c>
    </row>
    <row r="935">
      <c r="A935" t="s">
        <v>164</v>
      </c>
      <c r="B935" t="s">
        <v>115</v>
      </c>
      <c r="C935" s="32" t="s">
        <v>294</v>
      </c>
      <c r="D935" t="s">
        <v>378</v>
      </c>
      <c r="E935" t="s">
        <v>395</v>
      </c>
      <c r="F935" s="174" t="n">
        <v>2048</v>
      </c>
      <c r="G935" s="175" t="n">
        <v>43</v>
      </c>
      <c r="H935" s="176" t="n">
        <v>3631.27055328924</v>
      </c>
      <c r="I935" s="177" t="n">
        <v>4459679.44716891</v>
      </c>
      <c r="J935" s="178" t="str">
        <f>IF(I935&gt;0,H935/I935,0)</f>
      </c>
      <c r="K935" s="179" t="str">
        <f>1-EXP(-J935)</f>
      </c>
      <c r="L935" s="180" t="str">
        <f>IF(G935=30,1,M934)</f>
      </c>
      <c r="M935" s="181" t="str">
        <f>L935*(1-K935)</f>
      </c>
    </row>
    <row r="936">
      <c r="A936" t="s">
        <v>164</v>
      </c>
      <c r="B936" t="s">
        <v>115</v>
      </c>
      <c r="C936" s="32" t="s">
        <v>294</v>
      </c>
      <c r="D936" t="s">
        <v>378</v>
      </c>
      <c r="E936" t="s">
        <v>395</v>
      </c>
      <c r="F936" s="174" t="n">
        <v>2048</v>
      </c>
      <c r="G936" s="175" t="n">
        <v>44</v>
      </c>
      <c r="H936" s="176" t="n">
        <v>3841.94730628548</v>
      </c>
      <c r="I936" s="177" t="n">
        <v>4327872.89387762</v>
      </c>
      <c r="J936" s="178" t="str">
        <f>IF(I936&gt;0,H936/I936,0)</f>
      </c>
      <c r="K936" s="179" t="str">
        <f>1-EXP(-J936)</f>
      </c>
      <c r="L936" s="180" t="str">
        <f>IF(G936=30,1,M935)</f>
      </c>
      <c r="M936" s="181" t="str">
        <f>L936*(1-K936)</f>
      </c>
    </row>
    <row r="937">
      <c r="A937" t="s">
        <v>164</v>
      </c>
      <c r="B937" t="s">
        <v>115</v>
      </c>
      <c r="C937" s="32" t="s">
        <v>294</v>
      </c>
      <c r="D937" t="s">
        <v>378</v>
      </c>
      <c r="E937" t="s">
        <v>395</v>
      </c>
      <c r="F937" s="174" t="n">
        <v>2048</v>
      </c>
      <c r="G937" s="175" t="n">
        <v>45</v>
      </c>
      <c r="H937" s="176" t="n">
        <v>4847.60020333986</v>
      </c>
      <c r="I937" s="177" t="n">
        <v>4257430.62210768</v>
      </c>
      <c r="J937" s="178" t="str">
        <f>IF(I937&gt;0,H937/I937,0)</f>
      </c>
      <c r="K937" s="179" t="str">
        <f>1-EXP(-J937)</f>
      </c>
      <c r="L937" s="180" t="str">
        <f>IF(G937=30,1,M936)</f>
      </c>
      <c r="M937" s="181" t="str">
        <f>L937*(1-K937)</f>
      </c>
    </row>
    <row r="938">
      <c r="A938" t="s">
        <v>164</v>
      </c>
      <c r="B938" t="s">
        <v>115</v>
      </c>
      <c r="C938" s="32" t="s">
        <v>294</v>
      </c>
      <c r="D938" t="s">
        <v>378</v>
      </c>
      <c r="E938" t="s">
        <v>395</v>
      </c>
      <c r="F938" s="174" t="n">
        <v>2048</v>
      </c>
      <c r="G938" s="175" t="n">
        <v>46</v>
      </c>
      <c r="H938" s="176" t="n">
        <v>5447.79535636089</v>
      </c>
      <c r="I938" s="177" t="n">
        <v>4226211.77733304</v>
      </c>
      <c r="J938" s="178" t="str">
        <f>IF(I938&gt;0,H938/I938,0)</f>
      </c>
      <c r="K938" s="179" t="str">
        <f>1-EXP(-J938)</f>
      </c>
      <c r="L938" s="180" t="str">
        <f>IF(G938=30,1,M937)</f>
      </c>
      <c r="M938" s="181" t="str">
        <f>L938*(1-K938)</f>
      </c>
    </row>
    <row r="939">
      <c r="A939" t="s">
        <v>164</v>
      </c>
      <c r="B939" t="s">
        <v>115</v>
      </c>
      <c r="C939" s="32" t="s">
        <v>294</v>
      </c>
      <c r="D939" t="s">
        <v>378</v>
      </c>
      <c r="E939" t="s">
        <v>395</v>
      </c>
      <c r="F939" s="174" t="n">
        <v>2048</v>
      </c>
      <c r="G939" s="175" t="n">
        <v>47</v>
      </c>
      <c r="H939" s="176" t="n">
        <v>5926.64203074747</v>
      </c>
      <c r="I939" s="177" t="n">
        <v>4198397.35197674</v>
      </c>
      <c r="J939" s="178" t="str">
        <f>IF(I939&gt;0,H939/I939,0)</f>
      </c>
      <c r="K939" s="179" t="str">
        <f>1-EXP(-J939)</f>
      </c>
      <c r="L939" s="180" t="str">
        <f>IF(G939=30,1,M938)</f>
      </c>
      <c r="M939" s="181" t="str">
        <f>L939*(1-K939)</f>
      </c>
    </row>
    <row r="940">
      <c r="A940" t="s">
        <v>164</v>
      </c>
      <c r="B940" t="s">
        <v>115</v>
      </c>
      <c r="C940" s="32" t="s">
        <v>294</v>
      </c>
      <c r="D940" t="s">
        <v>378</v>
      </c>
      <c r="E940" t="s">
        <v>395</v>
      </c>
      <c r="F940" s="174" t="n">
        <v>2048</v>
      </c>
      <c r="G940" s="175" t="n">
        <v>48</v>
      </c>
      <c r="H940" s="176" t="n">
        <v>6457.54388071117</v>
      </c>
      <c r="I940" s="177" t="n">
        <v>4169346.14359308</v>
      </c>
      <c r="J940" s="178" t="str">
        <f>IF(I940&gt;0,H940/I940,0)</f>
      </c>
      <c r="K940" s="179" t="str">
        <f>1-EXP(-J940)</f>
      </c>
      <c r="L940" s="180" t="str">
        <f>IF(G940=30,1,M939)</f>
      </c>
      <c r="M940" s="181" t="str">
        <f>L940*(1-K940)</f>
      </c>
    </row>
    <row r="941">
      <c r="A941" t="s">
        <v>164</v>
      </c>
      <c r="B941" t="s">
        <v>115</v>
      </c>
      <c r="C941" s="32" t="s">
        <v>294</v>
      </c>
      <c r="D941" t="s">
        <v>378</v>
      </c>
      <c r="E941" t="s">
        <v>395</v>
      </c>
      <c r="F941" s="174" t="n">
        <v>2048</v>
      </c>
      <c r="G941" s="175" t="n">
        <v>49</v>
      </c>
      <c r="H941" s="176" t="n">
        <v>7119.15567249777</v>
      </c>
      <c r="I941" s="177" t="n">
        <v>4177437.64322116</v>
      </c>
      <c r="J941" s="178" t="str">
        <f>IF(I941&gt;0,H941/I941,0)</f>
      </c>
      <c r="K941" s="179" t="str">
        <f>1-EXP(-J941)</f>
      </c>
      <c r="L941" s="180" t="str">
        <f>IF(G941=30,1,M940)</f>
      </c>
      <c r="M941" s="181" t="str">
        <f>L941*(1-K941)</f>
      </c>
    </row>
    <row r="942">
      <c r="A942" t="s">
        <v>164</v>
      </c>
      <c r="B942" t="s">
        <v>115</v>
      </c>
      <c r="C942" s="32" t="s">
        <v>294</v>
      </c>
      <c r="D942" t="s">
        <v>378</v>
      </c>
      <c r="E942" t="s">
        <v>395</v>
      </c>
      <c r="F942" s="174" t="n">
        <v>2048</v>
      </c>
      <c r="G942" s="175" t="n">
        <v>50</v>
      </c>
      <c r="H942" s="176" t="n">
        <v>8219.84577263627</v>
      </c>
      <c r="I942" s="177" t="n">
        <v>4221774.8664655</v>
      </c>
      <c r="J942" s="178" t="str">
        <f>IF(I942&gt;0,H942/I942,0)</f>
      </c>
      <c r="K942" s="179" t="str">
        <f>1-EXP(-J942)</f>
      </c>
      <c r="L942" s="180" t="str">
        <f>IF(G942=30,1,M941)</f>
      </c>
      <c r="M942" s="181" t="str">
        <f>L942*(1-K942)</f>
      </c>
    </row>
    <row r="943">
      <c r="A943" t="s">
        <v>164</v>
      </c>
      <c r="B943" t="s">
        <v>115</v>
      </c>
      <c r="C943" s="32" t="s">
        <v>294</v>
      </c>
      <c r="D943" t="s">
        <v>378</v>
      </c>
      <c r="E943" t="s">
        <v>395</v>
      </c>
      <c r="F943" s="174" t="n">
        <v>2048</v>
      </c>
      <c r="G943" s="175" t="n">
        <v>51</v>
      </c>
      <c r="H943" s="176" t="n">
        <v>9372.52847873322</v>
      </c>
      <c r="I943" s="177" t="n">
        <v>4336262.41889589</v>
      </c>
      <c r="J943" s="178" t="str">
        <f>IF(I943&gt;0,H943/I943,0)</f>
      </c>
      <c r="K943" s="179" t="str">
        <f>1-EXP(-J943)</f>
      </c>
      <c r="L943" s="180" t="str">
        <f>IF(G943=30,1,M942)</f>
      </c>
      <c r="M943" s="181" t="str">
        <f>L943*(1-K943)</f>
      </c>
    </row>
    <row r="944">
      <c r="A944" t="s">
        <v>164</v>
      </c>
      <c r="B944" t="s">
        <v>115</v>
      </c>
      <c r="C944" s="32" t="s">
        <v>294</v>
      </c>
      <c r="D944" t="s">
        <v>378</v>
      </c>
      <c r="E944" t="s">
        <v>395</v>
      </c>
      <c r="F944" s="174" t="n">
        <v>2048</v>
      </c>
      <c r="G944" s="175" t="n">
        <v>52</v>
      </c>
      <c r="H944" s="176" t="n">
        <v>10111.9197563454</v>
      </c>
      <c r="I944" s="177" t="n">
        <v>4278323.09744654</v>
      </c>
      <c r="J944" s="178" t="str">
        <f>IF(I944&gt;0,H944/I944,0)</f>
      </c>
      <c r="K944" s="179" t="str">
        <f>1-EXP(-J944)</f>
      </c>
      <c r="L944" s="180" t="str">
        <f>IF(G944=30,1,M943)</f>
      </c>
      <c r="M944" s="181" t="str">
        <f>L944*(1-K944)</f>
      </c>
    </row>
    <row r="945">
      <c r="A945" t="s">
        <v>164</v>
      </c>
      <c r="B945" t="s">
        <v>115</v>
      </c>
      <c r="C945" s="32" t="s">
        <v>294</v>
      </c>
      <c r="D945" t="s">
        <v>378</v>
      </c>
      <c r="E945" t="s">
        <v>395</v>
      </c>
      <c r="F945" s="174" t="n">
        <v>2048</v>
      </c>
      <c r="G945" s="175" t="n">
        <v>53</v>
      </c>
      <c r="H945" s="176" t="n">
        <v>10803.451475403</v>
      </c>
      <c r="I945" s="177" t="n">
        <v>4190380.07001917</v>
      </c>
      <c r="J945" s="178" t="str">
        <f>IF(I945&gt;0,H945/I945,0)</f>
      </c>
      <c r="K945" s="179" t="str">
        <f>1-EXP(-J945)</f>
      </c>
      <c r="L945" s="180" t="str">
        <f>IF(G945=30,1,M944)</f>
      </c>
      <c r="M945" s="181" t="str">
        <f>L945*(1-K945)</f>
      </c>
    </row>
    <row r="946">
      <c r="A946" t="s">
        <v>164</v>
      </c>
      <c r="B946" t="s">
        <v>115</v>
      </c>
      <c r="C946" s="32" t="s">
        <v>294</v>
      </c>
      <c r="D946" t="s">
        <v>378</v>
      </c>
      <c r="E946" t="s">
        <v>395</v>
      </c>
      <c r="F946" s="174" t="n">
        <v>2048</v>
      </c>
      <c r="G946" s="175" t="n">
        <v>54</v>
      </c>
      <c r="H946" s="176" t="n">
        <v>11567.0958999664</v>
      </c>
      <c r="I946" s="177" t="n">
        <v>4115999.9604304</v>
      </c>
      <c r="J946" s="178" t="str">
        <f>IF(I946&gt;0,H946/I946,0)</f>
      </c>
      <c r="K946" s="179" t="str">
        <f>1-EXP(-J946)</f>
      </c>
      <c r="L946" s="180" t="str">
        <f>IF(G946=30,1,M945)</f>
      </c>
      <c r="M946" s="181" t="str">
        <f>L946*(1-K946)</f>
      </c>
    </row>
    <row r="947">
      <c r="A947" t="s">
        <v>164</v>
      </c>
      <c r="B947" t="s">
        <v>115</v>
      </c>
      <c r="C947" s="32" t="s">
        <v>294</v>
      </c>
      <c r="D947" t="s">
        <v>378</v>
      </c>
      <c r="E947" t="s">
        <v>395</v>
      </c>
      <c r="F947" s="174" t="n">
        <v>2048</v>
      </c>
      <c r="G947" s="175" t="n">
        <v>55</v>
      </c>
      <c r="H947" s="176" t="n">
        <v>12138.0520726516</v>
      </c>
      <c r="I947" s="177" t="n">
        <v>4043615.18091099</v>
      </c>
      <c r="J947" s="178" t="str">
        <f>IF(I947&gt;0,H947/I947,0)</f>
      </c>
      <c r="K947" s="179" t="str">
        <f>1-EXP(-J947)</f>
      </c>
      <c r="L947" s="180" t="str">
        <f>IF(G947=30,1,M946)</f>
      </c>
      <c r="M947" s="181" t="str">
        <f>L947*(1-K947)</f>
      </c>
    </row>
    <row r="948">
      <c r="A948" t="s">
        <v>164</v>
      </c>
      <c r="B948" t="s">
        <v>115</v>
      </c>
      <c r="C948" s="32" t="s">
        <v>294</v>
      </c>
      <c r="D948" t="s">
        <v>378</v>
      </c>
      <c r="E948" t="s">
        <v>395</v>
      </c>
      <c r="F948" s="174" t="n">
        <v>2048</v>
      </c>
      <c r="G948" s="175" t="n">
        <v>56</v>
      </c>
      <c r="H948" s="176" t="n">
        <v>13118.4581783292</v>
      </c>
      <c r="I948" s="177" t="n">
        <v>4055047.04057602</v>
      </c>
      <c r="J948" s="178" t="str">
        <f>IF(I948&gt;0,H948/I948,0)</f>
      </c>
      <c r="K948" s="179" t="str">
        <f>1-EXP(-J948)</f>
      </c>
      <c r="L948" s="180" t="str">
        <f>IF(G948=30,1,M947)</f>
      </c>
      <c r="M948" s="181" t="str">
        <f>L948*(1-K948)</f>
      </c>
    </row>
    <row r="949">
      <c r="A949" t="s">
        <v>164</v>
      </c>
      <c r="B949" t="s">
        <v>115</v>
      </c>
      <c r="C949" s="32" t="s">
        <v>294</v>
      </c>
      <c r="D949" t="s">
        <v>378</v>
      </c>
      <c r="E949" t="s">
        <v>395</v>
      </c>
      <c r="F949" s="174" t="n">
        <v>2048</v>
      </c>
      <c r="G949" s="175" t="n">
        <v>57</v>
      </c>
      <c r="H949" s="176" t="n">
        <v>14268.6151966872</v>
      </c>
      <c r="I949" s="177" t="n">
        <v>4045584.61938792</v>
      </c>
      <c r="J949" s="178" t="str">
        <f>IF(I949&gt;0,H949/I949,0)</f>
      </c>
      <c r="K949" s="179" t="str">
        <f>1-EXP(-J949)</f>
      </c>
      <c r="L949" s="180" t="str">
        <f>IF(G949=30,1,M948)</f>
      </c>
      <c r="M949" s="181" t="str">
        <f>L949*(1-K949)</f>
      </c>
    </row>
    <row r="950">
      <c r="A950" t="s">
        <v>164</v>
      </c>
      <c r="B950" t="s">
        <v>115</v>
      </c>
      <c r="C950" s="32" t="s">
        <v>294</v>
      </c>
      <c r="D950" t="s">
        <v>378</v>
      </c>
      <c r="E950" t="s">
        <v>395</v>
      </c>
      <c r="F950" s="174" t="n">
        <v>2048</v>
      </c>
      <c r="G950" s="175" t="n">
        <v>58</v>
      </c>
      <c r="H950" s="176" t="n">
        <v>20836.7087117198</v>
      </c>
      <c r="I950" s="177" t="n">
        <v>5947635.51215107</v>
      </c>
      <c r="J950" s="178" t="str">
        <f>IF(I950&gt;0,H950/I950,0)</f>
      </c>
      <c r="K950" s="179" t="str">
        <f>1-EXP(-J950)</f>
      </c>
      <c r="L950" s="180" t="str">
        <f>IF(G950=30,1,M949)</f>
      </c>
      <c r="M950" s="181" t="str">
        <f>L950*(1-K950)</f>
      </c>
    </row>
    <row r="951">
      <c r="A951" t="s">
        <v>164</v>
      </c>
      <c r="B951" t="s">
        <v>115</v>
      </c>
      <c r="C951" s="32" t="s">
        <v>294</v>
      </c>
      <c r="D951" t="s">
        <v>378</v>
      </c>
      <c r="E951" t="s">
        <v>395</v>
      </c>
      <c r="F951" s="174" t="n">
        <v>2048</v>
      </c>
      <c r="G951" s="175" t="n">
        <v>59</v>
      </c>
      <c r="H951" s="176" t="n">
        <v>16661.3967145675</v>
      </c>
      <c r="I951" s="177" t="n">
        <v>3948195.62058378</v>
      </c>
      <c r="J951" s="178" t="str">
        <f>IF(I951&gt;0,H951/I951,0)</f>
      </c>
      <c r="K951" s="179" t="str">
        <f>1-EXP(-J951)</f>
      </c>
      <c r="L951" s="180" t="str">
        <f>IF(G951=30,1,M950)</f>
      </c>
      <c r="M951" s="181" t="str">
        <f>L951*(1-K951)</f>
      </c>
    </row>
    <row r="952">
      <c r="A952" t="s">
        <v>164</v>
      </c>
      <c r="B952" t="s">
        <v>115</v>
      </c>
      <c r="C952" s="32" t="s">
        <v>294</v>
      </c>
      <c r="D952" t="s">
        <v>378</v>
      </c>
      <c r="E952" t="s">
        <v>395</v>
      </c>
      <c r="F952" s="174" t="n">
        <v>2048</v>
      </c>
      <c r="G952" s="175" t="n">
        <v>60</v>
      </c>
      <c r="H952" s="176" t="n">
        <v>17773.9370209827</v>
      </c>
      <c r="I952" s="177" t="n">
        <v>3899423.50920214</v>
      </c>
      <c r="J952" s="178" t="str">
        <f>IF(I952&gt;0,H952/I952,0)</f>
      </c>
      <c r="K952" s="179" t="str">
        <f>1-EXP(-J952)</f>
      </c>
      <c r="L952" s="180" t="str">
        <f>IF(G952=30,1,M951)</f>
      </c>
      <c r="M952" s="181" t="str">
        <f>L952*(1-K952)</f>
      </c>
    </row>
    <row r="953">
      <c r="A953" t="s">
        <v>164</v>
      </c>
      <c r="B953" t="s">
        <v>115</v>
      </c>
      <c r="C953" s="32" t="s">
        <v>294</v>
      </c>
      <c r="D953" t="s">
        <v>378</v>
      </c>
      <c r="E953" t="s">
        <v>395</v>
      </c>
      <c r="F953" s="174" t="n">
        <v>2048</v>
      </c>
      <c r="G953" s="175" t="n">
        <v>61</v>
      </c>
      <c r="H953" s="176" t="n">
        <v>18608.498864307</v>
      </c>
      <c r="I953" s="177" t="n">
        <v>3744310.91345738</v>
      </c>
      <c r="J953" s="178" t="str">
        <f>IF(I953&gt;0,H953/I953,0)</f>
      </c>
      <c r="K953" s="179" t="str">
        <f>1-EXP(-J953)</f>
      </c>
      <c r="L953" s="180" t="str">
        <f>IF(G953=30,1,M952)</f>
      </c>
      <c r="M953" s="181" t="str">
        <f>L953*(1-K953)</f>
      </c>
    </row>
    <row r="954">
      <c r="A954" t="s">
        <v>164</v>
      </c>
      <c r="B954" t="s">
        <v>115</v>
      </c>
      <c r="C954" s="32" t="s">
        <v>294</v>
      </c>
      <c r="D954" t="s">
        <v>378</v>
      </c>
      <c r="E954" t="s">
        <v>395</v>
      </c>
      <c r="F954" s="174" t="n">
        <v>2048</v>
      </c>
      <c r="G954" s="175" t="n">
        <v>62</v>
      </c>
      <c r="H954" s="176" t="n">
        <v>20065.3745225398</v>
      </c>
      <c r="I954" s="177" t="n">
        <v>3675081.524792</v>
      </c>
      <c r="J954" s="178" t="str">
        <f>IF(I954&gt;0,H954/I954,0)</f>
      </c>
      <c r="K954" s="179" t="str">
        <f>1-EXP(-J954)</f>
      </c>
      <c r="L954" s="180" t="str">
        <f>IF(G954=30,1,M953)</f>
      </c>
      <c r="M954" s="181" t="str">
        <f>L954*(1-K954)</f>
      </c>
    </row>
    <row r="955">
      <c r="A955" t="s">
        <v>164</v>
      </c>
      <c r="B955" t="s">
        <v>115</v>
      </c>
      <c r="C955" s="32" t="s">
        <v>294</v>
      </c>
      <c r="D955" t="s">
        <v>378</v>
      </c>
      <c r="E955" t="s">
        <v>395</v>
      </c>
      <c r="F955" s="174" t="n">
        <v>2048</v>
      </c>
      <c r="G955" s="175" t="n">
        <v>63</v>
      </c>
      <c r="H955" s="176" t="n">
        <v>22102.5453953846</v>
      </c>
      <c r="I955" s="177" t="n">
        <v>3684895.15266726</v>
      </c>
      <c r="J955" s="178" t="str">
        <f>IF(I955&gt;0,H955/I955,0)</f>
      </c>
      <c r="K955" s="179" t="str">
        <f>1-EXP(-J955)</f>
      </c>
      <c r="L955" s="180" t="str">
        <f>IF(G955=30,1,M954)</f>
      </c>
      <c r="M955" s="181" t="str">
        <f>L955*(1-K955)</f>
      </c>
    </row>
    <row r="956">
      <c r="A956" t="s">
        <v>164</v>
      </c>
      <c r="B956" t="s">
        <v>115</v>
      </c>
      <c r="C956" s="32" t="s">
        <v>294</v>
      </c>
      <c r="D956" t="s">
        <v>378</v>
      </c>
      <c r="E956" t="s">
        <v>395</v>
      </c>
      <c r="F956" s="174" t="n">
        <v>2048</v>
      </c>
      <c r="G956" s="175" t="n">
        <v>64</v>
      </c>
      <c r="H956" s="176" t="n">
        <v>24464.7037752377</v>
      </c>
      <c r="I956" s="177" t="n">
        <v>3711487.26034947</v>
      </c>
      <c r="J956" s="178" t="str">
        <f>IF(I956&gt;0,H956/I956,0)</f>
      </c>
      <c r="K956" s="179" t="str">
        <f>1-EXP(-J956)</f>
      </c>
      <c r="L956" s="180" t="str">
        <f>IF(G956=30,1,M955)</f>
      </c>
      <c r="M956" s="181" t="str">
        <f>L956*(1-K956)</f>
      </c>
    </row>
    <row r="957">
      <c r="A957" t="s">
        <v>164</v>
      </c>
      <c r="B957" t="s">
        <v>115</v>
      </c>
      <c r="C957" s="32" t="s">
        <v>294</v>
      </c>
      <c r="D957" t="s">
        <v>378</v>
      </c>
      <c r="E957" t="s">
        <v>395</v>
      </c>
      <c r="F957" s="174" t="n">
        <v>2048</v>
      </c>
      <c r="G957" s="175" t="n">
        <v>65</v>
      </c>
      <c r="H957" s="176" t="n">
        <v>25058.6475633222</v>
      </c>
      <c r="I957" s="177" t="n">
        <v>3639361.1595156</v>
      </c>
      <c r="J957" s="178" t="str">
        <f>IF(I957&gt;0,H957/I957,0)</f>
      </c>
      <c r="K957" s="179" t="str">
        <f>1-EXP(-J957)</f>
      </c>
      <c r="L957" s="180" t="str">
        <f>IF(G957=30,1,M956)</f>
      </c>
      <c r="M957" s="181" t="str">
        <f>L957*(1-K957)</f>
      </c>
    </row>
    <row r="958">
      <c r="A958" t="s">
        <v>164</v>
      </c>
      <c r="B958" t="s">
        <v>115</v>
      </c>
      <c r="C958" s="32" t="s">
        <v>294</v>
      </c>
      <c r="D958" t="s">
        <v>378</v>
      </c>
      <c r="E958" t="s">
        <v>395</v>
      </c>
      <c r="F958" s="174" t="n">
        <v>2048</v>
      </c>
      <c r="G958" s="175" t="n">
        <v>66</v>
      </c>
      <c r="H958" s="176" t="n">
        <v>26107.6052964278</v>
      </c>
      <c r="I958" s="177" t="n">
        <v>3469470.30411879</v>
      </c>
      <c r="J958" s="178" t="str">
        <f>IF(I958&gt;0,H958/I958,0)</f>
      </c>
      <c r="K958" s="179" t="str">
        <f>1-EXP(-J958)</f>
      </c>
      <c r="L958" s="180" t="str">
        <f>IF(G958=30,1,M957)</f>
      </c>
      <c r="M958" s="181" t="str">
        <f>L958*(1-K958)</f>
      </c>
    </row>
    <row r="959">
      <c r="A959" t="s">
        <v>164</v>
      </c>
      <c r="B959" t="s">
        <v>115</v>
      </c>
      <c r="C959" s="32" t="s">
        <v>294</v>
      </c>
      <c r="D959" t="s">
        <v>378</v>
      </c>
      <c r="E959" t="s">
        <v>395</v>
      </c>
      <c r="F959" s="174" t="n">
        <v>2048</v>
      </c>
      <c r="G959" s="175" t="n">
        <v>67</v>
      </c>
      <c r="H959" s="176" t="n">
        <v>27707.5898865086</v>
      </c>
      <c r="I959" s="177" t="n">
        <v>3350223.50982895</v>
      </c>
      <c r="J959" s="178" t="str">
        <f>IF(I959&gt;0,H959/I959,0)</f>
      </c>
      <c r="K959" s="179" t="str">
        <f>1-EXP(-J959)</f>
      </c>
      <c r="L959" s="180" t="str">
        <f>IF(G959=30,1,M958)</f>
      </c>
      <c r="M959" s="181" t="str">
        <f>L959*(1-K959)</f>
      </c>
    </row>
    <row r="960">
      <c r="A960" t="s">
        <v>164</v>
      </c>
      <c r="B960" t="s">
        <v>115</v>
      </c>
      <c r="C960" s="32" t="s">
        <v>294</v>
      </c>
      <c r="D960" t="s">
        <v>378</v>
      </c>
      <c r="E960" t="s">
        <v>395</v>
      </c>
      <c r="F960" s="174" t="n">
        <v>2048</v>
      </c>
      <c r="G960" s="175" t="n">
        <v>68</v>
      </c>
      <c r="H960" s="176" t="n">
        <v>29480.9133197467</v>
      </c>
      <c r="I960" s="177" t="n">
        <v>3241394.51206351</v>
      </c>
      <c r="J960" s="178" t="str">
        <f>IF(I960&gt;0,H960/I960,0)</f>
      </c>
      <c r="K960" s="179" t="str">
        <f>1-EXP(-J960)</f>
      </c>
      <c r="L960" s="180" t="str">
        <f>IF(G960=30,1,M959)</f>
      </c>
      <c r="M960" s="181" t="str">
        <f>L960*(1-K960)</f>
      </c>
    </row>
    <row r="961">
      <c r="A961" t="s">
        <v>164</v>
      </c>
      <c r="B961" t="s">
        <v>115</v>
      </c>
      <c r="C961" s="32" t="s">
        <v>294</v>
      </c>
      <c r="D961" t="s">
        <v>378</v>
      </c>
      <c r="E961" t="s">
        <v>395</v>
      </c>
      <c r="F961" s="174" t="n">
        <v>2048</v>
      </c>
      <c r="G961" s="175" t="n">
        <v>69</v>
      </c>
      <c r="H961" s="176" t="n">
        <v>31312.4450802587</v>
      </c>
      <c r="I961" s="177" t="n">
        <v>3125325.14337061</v>
      </c>
      <c r="J961" s="178" t="str">
        <f>IF(I961&gt;0,H961/I961,0)</f>
      </c>
      <c r="K961" s="179" t="str">
        <f>1-EXP(-J961)</f>
      </c>
      <c r="L961" s="180" t="str">
        <f>IF(G961=30,1,M960)</f>
      </c>
      <c r="M961" s="181" t="str">
        <f>L961*(1-K961)</f>
      </c>
    </row>
    <row r="962">
      <c r="A962" t="s">
        <v>164</v>
      </c>
      <c r="B962" t="s">
        <v>115</v>
      </c>
      <c r="C962" s="32" t="s">
        <v>294</v>
      </c>
      <c r="D962" t="s">
        <v>378</v>
      </c>
      <c r="E962" t="s">
        <v>395</v>
      </c>
      <c r="F962" s="174" t="n">
        <v>2049</v>
      </c>
      <c r="G962" s="175" t="n">
        <v>30</v>
      </c>
      <c r="H962" s="176" t="n">
        <v>611.458801446435</v>
      </c>
      <c r="I962" s="177" t="n">
        <v>4266599.0681576</v>
      </c>
      <c r="J962" s="178" t="str">
        <f>IF(I962&gt;0,H962/I962,0)</f>
      </c>
      <c r="K962" s="179" t="str">
        <f>1-EXP(-J962)</f>
      </c>
      <c r="L962" s="180" t="str">
        <f>IF(G962=30,1,M961)</f>
      </c>
      <c r="M962" s="181" t="str">
        <f>L962*(1-K962)</f>
      </c>
    </row>
    <row r="963">
      <c r="A963" t="s">
        <v>164</v>
      </c>
      <c r="B963" t="s">
        <v>115</v>
      </c>
      <c r="C963" s="32" t="s">
        <v>294</v>
      </c>
      <c r="D963" t="s">
        <v>378</v>
      </c>
      <c r="E963" t="s">
        <v>395</v>
      </c>
      <c r="F963" s="174" t="n">
        <v>2049</v>
      </c>
      <c r="G963" s="175" t="n">
        <v>31</v>
      </c>
      <c r="H963" s="176" t="n">
        <v>842.152407536479</v>
      </c>
      <c r="I963" s="177" t="n">
        <v>4270709.24520836</v>
      </c>
      <c r="J963" s="178" t="str">
        <f>IF(I963&gt;0,H963/I963,0)</f>
      </c>
      <c r="K963" s="179" t="str">
        <f>1-EXP(-J963)</f>
      </c>
      <c r="L963" s="180" t="str">
        <f>IF(G963=30,1,M962)</f>
      </c>
      <c r="M963" s="181" t="str">
        <f>L963*(1-K963)</f>
      </c>
    </row>
    <row r="964">
      <c r="A964" t="s">
        <v>164</v>
      </c>
      <c r="B964" t="s">
        <v>115</v>
      </c>
      <c r="C964" s="32" t="s">
        <v>294</v>
      </c>
      <c r="D964" t="s">
        <v>378</v>
      </c>
      <c r="E964" t="s">
        <v>395</v>
      </c>
      <c r="F964" s="174" t="n">
        <v>2049</v>
      </c>
      <c r="G964" s="175" t="n">
        <v>32</v>
      </c>
      <c r="H964" s="176" t="n">
        <v>892.078373014213</v>
      </c>
      <c r="I964" s="177" t="n">
        <v>4311262.74515352</v>
      </c>
      <c r="J964" s="178" t="str">
        <f>IF(I964&gt;0,H964/I964,0)</f>
      </c>
      <c r="K964" s="179" t="str">
        <f>1-EXP(-J964)</f>
      </c>
      <c r="L964" s="180" t="str">
        <f>IF(G964=30,1,M963)</f>
      </c>
      <c r="M964" s="181" t="str">
        <f>L964*(1-K964)</f>
      </c>
    </row>
    <row r="965">
      <c r="A965" t="s">
        <v>164</v>
      </c>
      <c r="B965" t="s">
        <v>115</v>
      </c>
      <c r="C965" s="32" t="s">
        <v>294</v>
      </c>
      <c r="D965" t="s">
        <v>378</v>
      </c>
      <c r="E965" t="s">
        <v>395</v>
      </c>
      <c r="F965" s="174" t="n">
        <v>2049</v>
      </c>
      <c r="G965" s="175" t="n">
        <v>33</v>
      </c>
      <c r="H965" s="176" t="n">
        <v>1033.41148395692</v>
      </c>
      <c r="I965" s="177" t="n">
        <v>4573255.51840992</v>
      </c>
      <c r="J965" s="178" t="str">
        <f>IF(I965&gt;0,H965/I965,0)</f>
      </c>
      <c r="K965" s="179" t="str">
        <f>1-EXP(-J965)</f>
      </c>
      <c r="L965" s="180" t="str">
        <f>IF(G965=30,1,M964)</f>
      </c>
      <c r="M965" s="181" t="str">
        <f>L965*(1-K965)</f>
      </c>
    </row>
    <row r="966">
      <c r="A966" t="s">
        <v>164</v>
      </c>
      <c r="B966" t="s">
        <v>115</v>
      </c>
      <c r="C966" s="32" t="s">
        <v>294</v>
      </c>
      <c r="D966" t="s">
        <v>378</v>
      </c>
      <c r="E966" t="s">
        <v>395</v>
      </c>
      <c r="F966" s="174" t="n">
        <v>2049</v>
      </c>
      <c r="G966" s="175" t="n">
        <v>34</v>
      </c>
      <c r="H966" s="176" t="n">
        <v>1141.60812768997</v>
      </c>
      <c r="I966" s="177" t="n">
        <v>4621441.3537093</v>
      </c>
      <c r="J966" s="178" t="str">
        <f>IF(I966&gt;0,H966/I966,0)</f>
      </c>
      <c r="K966" s="179" t="str">
        <f>1-EXP(-J966)</f>
      </c>
      <c r="L966" s="180" t="str">
        <f>IF(G966=30,1,M965)</f>
      </c>
      <c r="M966" s="181" t="str">
        <f>L966*(1-K966)</f>
      </c>
    </row>
    <row r="967">
      <c r="A967" t="s">
        <v>164</v>
      </c>
      <c r="B967" t="s">
        <v>115</v>
      </c>
      <c r="C967" s="32" t="s">
        <v>294</v>
      </c>
      <c r="D967" t="s">
        <v>378</v>
      </c>
      <c r="E967" t="s">
        <v>395</v>
      </c>
      <c r="F967" s="174" t="n">
        <v>2049</v>
      </c>
      <c r="G967" s="175" t="n">
        <v>35</v>
      </c>
      <c r="H967" s="176" t="n">
        <v>1486.82123316136</v>
      </c>
      <c r="I967" s="177" t="n">
        <v>4687018.89638834</v>
      </c>
      <c r="J967" s="178" t="str">
        <f>IF(I967&gt;0,H967/I967,0)</f>
      </c>
      <c r="K967" s="179" t="str">
        <f>1-EXP(-J967)</f>
      </c>
      <c r="L967" s="180" t="str">
        <f>IF(G967=30,1,M966)</f>
      </c>
      <c r="M967" s="181" t="str">
        <f>L967*(1-K967)</f>
      </c>
    </row>
    <row r="968">
      <c r="A968" t="s">
        <v>164</v>
      </c>
      <c r="B968" t="s">
        <v>115</v>
      </c>
      <c r="C968" s="32" t="s">
        <v>294</v>
      </c>
      <c r="D968" t="s">
        <v>378</v>
      </c>
      <c r="E968" t="s">
        <v>395</v>
      </c>
      <c r="F968" s="174" t="n">
        <v>2049</v>
      </c>
      <c r="G968" s="175" t="n">
        <v>36</v>
      </c>
      <c r="H968" s="176" t="n">
        <v>1704.04679677582</v>
      </c>
      <c r="I968" s="177" t="n">
        <v>4753512.89730003</v>
      </c>
      <c r="J968" s="178" t="str">
        <f>IF(I968&gt;0,H968/I968,0)</f>
      </c>
      <c r="K968" s="179" t="str">
        <f>1-EXP(-J968)</f>
      </c>
      <c r="L968" s="180" t="str">
        <f>IF(G968=30,1,M967)</f>
      </c>
      <c r="M968" s="181" t="str">
        <f>L968*(1-K968)</f>
      </c>
    </row>
    <row r="969">
      <c r="A969" t="s">
        <v>164</v>
      </c>
      <c r="B969" t="s">
        <v>115</v>
      </c>
      <c r="C969" s="32" t="s">
        <v>294</v>
      </c>
      <c r="D969" t="s">
        <v>378</v>
      </c>
      <c r="E969" t="s">
        <v>395</v>
      </c>
      <c r="F969" s="174" t="n">
        <v>2049</v>
      </c>
      <c r="G969" s="175" t="n">
        <v>37</v>
      </c>
      <c r="H969" s="176" t="n">
        <v>1919.26517948219</v>
      </c>
      <c r="I969" s="177" t="n">
        <v>4863991.78015607</v>
      </c>
      <c r="J969" s="178" t="str">
        <f>IF(I969&gt;0,H969/I969,0)</f>
      </c>
      <c r="K969" s="179" t="str">
        <f>1-EXP(-J969)</f>
      </c>
      <c r="L969" s="180" t="str">
        <f>IF(G969=30,1,M968)</f>
      </c>
      <c r="M969" s="181" t="str">
        <f>L969*(1-K969)</f>
      </c>
    </row>
    <row r="970">
      <c r="A970" t="s">
        <v>164</v>
      </c>
      <c r="B970" t="s">
        <v>115</v>
      </c>
      <c r="C970" s="32" t="s">
        <v>294</v>
      </c>
      <c r="D970" t="s">
        <v>378</v>
      </c>
      <c r="E970" t="s">
        <v>395</v>
      </c>
      <c r="F970" s="174" t="n">
        <v>2049</v>
      </c>
      <c r="G970" s="175" t="n">
        <v>38</v>
      </c>
      <c r="H970" s="176" t="n">
        <v>2050.44843567237</v>
      </c>
      <c r="I970" s="177" t="n">
        <v>4834214.12462345</v>
      </c>
      <c r="J970" s="178" t="str">
        <f>IF(I970&gt;0,H970/I970,0)</f>
      </c>
      <c r="K970" s="179" t="str">
        <f>1-EXP(-J970)</f>
      </c>
      <c r="L970" s="180" t="str">
        <f>IF(G970=30,1,M969)</f>
      </c>
      <c r="M970" s="181" t="str">
        <f>L970*(1-K970)</f>
      </c>
    </row>
    <row r="971">
      <c r="A971" t="s">
        <v>164</v>
      </c>
      <c r="B971" t="s">
        <v>115</v>
      </c>
      <c r="C971" s="32" t="s">
        <v>294</v>
      </c>
      <c r="D971" t="s">
        <v>378</v>
      </c>
      <c r="E971" t="s">
        <v>395</v>
      </c>
      <c r="F971" s="174" t="n">
        <v>2049</v>
      </c>
      <c r="G971" s="175" t="n">
        <v>39</v>
      </c>
      <c r="H971" s="176" t="n">
        <v>2148.80558341463</v>
      </c>
      <c r="I971" s="177" t="n">
        <v>4699266.89060009</v>
      </c>
      <c r="J971" s="178" t="str">
        <f>IF(I971&gt;0,H971/I971,0)</f>
      </c>
      <c r="K971" s="179" t="str">
        <f>1-EXP(-J971)</f>
      </c>
      <c r="L971" s="180" t="str">
        <f>IF(G971=30,1,M970)</f>
      </c>
      <c r="M971" s="181" t="str">
        <f>L971*(1-K971)</f>
      </c>
    </row>
    <row r="972">
      <c r="A972" t="s">
        <v>164</v>
      </c>
      <c r="B972" t="s">
        <v>115</v>
      </c>
      <c r="C972" s="32" t="s">
        <v>294</v>
      </c>
      <c r="D972" t="s">
        <v>378</v>
      </c>
      <c r="E972" t="s">
        <v>395</v>
      </c>
      <c r="F972" s="174" t="n">
        <v>2049</v>
      </c>
      <c r="G972" s="175" t="n">
        <v>40</v>
      </c>
      <c r="H972" s="176" t="n">
        <v>2824.85370443781</v>
      </c>
      <c r="I972" s="177" t="n">
        <v>4626359.70424826</v>
      </c>
      <c r="J972" s="178" t="str">
        <f>IF(I972&gt;0,H972/I972,0)</f>
      </c>
      <c r="K972" s="179" t="str">
        <f>1-EXP(-J972)</f>
      </c>
      <c r="L972" s="180" t="str">
        <f>IF(G972=30,1,M971)</f>
      </c>
      <c r="M972" s="181" t="str">
        <f>L972*(1-K972)</f>
      </c>
    </row>
    <row r="973">
      <c r="A973" t="s">
        <v>164</v>
      </c>
      <c r="B973" t="s">
        <v>115</v>
      </c>
      <c r="C973" s="32" t="s">
        <v>294</v>
      </c>
      <c r="D973" t="s">
        <v>378</v>
      </c>
      <c r="E973" t="s">
        <v>395</v>
      </c>
      <c r="F973" s="174" t="n">
        <v>2049</v>
      </c>
      <c r="G973" s="175" t="n">
        <v>41</v>
      </c>
      <c r="H973" s="176" t="n">
        <v>3101.28298195135</v>
      </c>
      <c r="I973" s="177" t="n">
        <v>4580199.01247462</v>
      </c>
      <c r="J973" s="178" t="str">
        <f>IF(I973&gt;0,H973/I973,0)</f>
      </c>
      <c r="K973" s="179" t="str">
        <f>1-EXP(-J973)</f>
      </c>
      <c r="L973" s="180" t="str">
        <f>IF(G973=30,1,M972)</f>
      </c>
      <c r="M973" s="181" t="str">
        <f>L973*(1-K973)</f>
      </c>
    </row>
    <row r="974">
      <c r="A974" t="s">
        <v>164</v>
      </c>
      <c r="B974" t="s">
        <v>115</v>
      </c>
      <c r="C974" s="32" t="s">
        <v>294</v>
      </c>
      <c r="D974" t="s">
        <v>378</v>
      </c>
      <c r="E974" t="s">
        <v>395</v>
      </c>
      <c r="F974" s="174" t="n">
        <v>2049</v>
      </c>
      <c r="G974" s="175" t="n">
        <v>42</v>
      </c>
      <c r="H974" s="176" t="n">
        <v>3435.05218029017</v>
      </c>
      <c r="I974" s="177" t="n">
        <v>4601277.02297878</v>
      </c>
      <c r="J974" s="178" t="str">
        <f>IF(I974&gt;0,H974/I974,0)</f>
      </c>
      <c r="K974" s="179" t="str">
        <f>1-EXP(-J974)</f>
      </c>
      <c r="L974" s="180" t="str">
        <f>IF(G974=30,1,M973)</f>
      </c>
      <c r="M974" s="181" t="str">
        <f>L974*(1-K974)</f>
      </c>
    </row>
    <row r="975">
      <c r="A975" t="s">
        <v>164</v>
      </c>
      <c r="B975" t="s">
        <v>115</v>
      </c>
      <c r="C975" s="32" t="s">
        <v>294</v>
      </c>
      <c r="D975" t="s">
        <v>378</v>
      </c>
      <c r="E975" t="s">
        <v>395</v>
      </c>
      <c r="F975" s="174" t="n">
        <v>2049</v>
      </c>
      <c r="G975" s="175" t="n">
        <v>43</v>
      </c>
      <c r="H975" s="176" t="n">
        <v>3655.1640295154</v>
      </c>
      <c r="I975" s="177" t="n">
        <v>4514808.21948815</v>
      </c>
      <c r="J975" s="178" t="str">
        <f>IF(I975&gt;0,H975/I975,0)</f>
      </c>
      <c r="K975" s="179" t="str">
        <f>1-EXP(-J975)</f>
      </c>
      <c r="L975" s="180" t="str">
        <f>IF(G975=30,1,M974)</f>
      </c>
      <c r="M975" s="181" t="str">
        <f>L975*(1-K975)</f>
      </c>
    </row>
    <row r="976">
      <c r="A976" t="s">
        <v>164</v>
      </c>
      <c r="B976" t="s">
        <v>115</v>
      </c>
      <c r="C976" s="32" t="s">
        <v>294</v>
      </c>
      <c r="D976" t="s">
        <v>378</v>
      </c>
      <c r="E976" t="s">
        <v>395</v>
      </c>
      <c r="F976" s="174" t="n">
        <v>2049</v>
      </c>
      <c r="G976" s="175" t="n">
        <v>44</v>
      </c>
      <c r="H976" s="176" t="n">
        <v>3915.61703060372</v>
      </c>
      <c r="I976" s="177" t="n">
        <v>4449373.20753293</v>
      </c>
      <c r="J976" s="178" t="str">
        <f>IF(I976&gt;0,H976/I976,0)</f>
      </c>
      <c r="K976" s="179" t="str">
        <f>1-EXP(-J976)</f>
      </c>
      <c r="L976" s="180" t="str">
        <f>IF(G976=30,1,M975)</f>
      </c>
      <c r="M976" s="181" t="str">
        <f>L976*(1-K976)</f>
      </c>
    </row>
    <row r="977">
      <c r="A977" t="s">
        <v>164</v>
      </c>
      <c r="B977" t="s">
        <v>115</v>
      </c>
      <c r="C977" s="32" t="s">
        <v>294</v>
      </c>
      <c r="D977" t="s">
        <v>378</v>
      </c>
      <c r="E977" t="s">
        <v>395</v>
      </c>
      <c r="F977" s="174" t="n">
        <v>2049</v>
      </c>
      <c r="G977" s="175" t="n">
        <v>45</v>
      </c>
      <c r="H977" s="176" t="n">
        <v>4868.9639757996</v>
      </c>
      <c r="I977" s="177" t="n">
        <v>4317018.68846833</v>
      </c>
      <c r="J977" s="178" t="str">
        <f>IF(I977&gt;0,H977/I977,0)</f>
      </c>
      <c r="K977" s="179" t="str">
        <f>1-EXP(-J977)</f>
      </c>
      <c r="L977" s="180" t="str">
        <f>IF(G977=30,1,M976)</f>
      </c>
      <c r="M977" s="181" t="str">
        <f>L977*(1-K977)</f>
      </c>
    </row>
    <row r="978">
      <c r="A978" t="s">
        <v>164</v>
      </c>
      <c r="B978" t="s">
        <v>115</v>
      </c>
      <c r="C978" s="32" t="s">
        <v>294</v>
      </c>
      <c r="D978" t="s">
        <v>378</v>
      </c>
      <c r="E978" t="s">
        <v>395</v>
      </c>
      <c r="F978" s="174" t="n">
        <v>2049</v>
      </c>
      <c r="G978" s="175" t="n">
        <v>46</v>
      </c>
      <c r="H978" s="176" t="n">
        <v>5285.78281073994</v>
      </c>
      <c r="I978" s="177" t="n">
        <v>4245073.03862258</v>
      </c>
      <c r="J978" s="178" t="str">
        <f>IF(I978&gt;0,H978/I978,0)</f>
      </c>
      <c r="K978" s="179" t="str">
        <f>1-EXP(-J978)</f>
      </c>
      <c r="L978" s="180" t="str">
        <f>IF(G978=30,1,M977)</f>
      </c>
      <c r="M978" s="181" t="str">
        <f>L978*(1-K978)</f>
      </c>
    </row>
    <row r="979">
      <c r="A979" t="s">
        <v>164</v>
      </c>
      <c r="B979" t="s">
        <v>115</v>
      </c>
      <c r="C979" s="32" t="s">
        <v>294</v>
      </c>
      <c r="D979" t="s">
        <v>378</v>
      </c>
      <c r="E979" t="s">
        <v>395</v>
      </c>
      <c r="F979" s="174" t="n">
        <v>2049</v>
      </c>
      <c r="G979" s="175" t="n">
        <v>47</v>
      </c>
      <c r="H979" s="176" t="n">
        <v>5893.08042227038</v>
      </c>
      <c r="I979" s="177" t="n">
        <v>4213485.96757818</v>
      </c>
      <c r="J979" s="178" t="str">
        <f>IF(I979&gt;0,H979/I979,0)</f>
      </c>
      <c r="K979" s="179" t="str">
        <f>1-EXP(-J979)</f>
      </c>
      <c r="L979" s="180" t="str">
        <f>IF(G979=30,1,M978)</f>
      </c>
      <c r="M979" s="181" t="str">
        <f>L979*(1-K979)</f>
      </c>
    </row>
    <row r="980">
      <c r="A980" t="s">
        <v>164</v>
      </c>
      <c r="B980" t="s">
        <v>115</v>
      </c>
      <c r="C980" s="32" t="s">
        <v>294</v>
      </c>
      <c r="D980" t="s">
        <v>378</v>
      </c>
      <c r="E980" t="s">
        <v>395</v>
      </c>
      <c r="F980" s="174" t="n">
        <v>2049</v>
      </c>
      <c r="G980" s="175" t="n">
        <v>48</v>
      </c>
      <c r="H980" s="176" t="n">
        <v>6420.22815397989</v>
      </c>
      <c r="I980" s="177" t="n">
        <v>4184592.84420568</v>
      </c>
      <c r="J980" s="178" t="str">
        <f>IF(I980&gt;0,H980/I980,0)</f>
      </c>
      <c r="K980" s="179" t="str">
        <f>1-EXP(-J980)</f>
      </c>
      <c r="L980" s="180" t="str">
        <f>IF(G980=30,1,M979)</f>
      </c>
      <c r="M980" s="181" t="str">
        <f>L980*(1-K980)</f>
      </c>
    </row>
    <row r="981">
      <c r="A981" t="s">
        <v>164</v>
      </c>
      <c r="B981" t="s">
        <v>115</v>
      </c>
      <c r="C981" s="32" t="s">
        <v>294</v>
      </c>
      <c r="D981" t="s">
        <v>378</v>
      </c>
      <c r="E981" t="s">
        <v>395</v>
      </c>
      <c r="F981" s="174" t="n">
        <v>2049</v>
      </c>
      <c r="G981" s="175" t="n">
        <v>49</v>
      </c>
      <c r="H981" s="176" t="n">
        <v>7000.01974185128</v>
      </c>
      <c r="I981" s="177" t="n">
        <v>4154345.46852973</v>
      </c>
      <c r="J981" s="178" t="str">
        <f>IF(I981&gt;0,H981/I981,0)</f>
      </c>
      <c r="K981" s="179" t="str">
        <f>1-EXP(-J981)</f>
      </c>
      <c r="L981" s="180" t="str">
        <f>IF(G981=30,1,M980)</f>
      </c>
      <c r="M981" s="181" t="str">
        <f>L981*(1-K981)</f>
      </c>
    </row>
    <row r="982">
      <c r="A982" t="s">
        <v>164</v>
      </c>
      <c r="B982" t="s">
        <v>115</v>
      </c>
      <c r="C982" s="32" t="s">
        <v>294</v>
      </c>
      <c r="D982" t="s">
        <v>378</v>
      </c>
      <c r="E982" t="s">
        <v>395</v>
      </c>
      <c r="F982" s="174" t="n">
        <v>2049</v>
      </c>
      <c r="G982" s="175" t="n">
        <v>50</v>
      </c>
      <c r="H982" s="176" t="n">
        <v>8003.23780254944</v>
      </c>
      <c r="I982" s="177" t="n">
        <v>4160954.92909304</v>
      </c>
      <c r="J982" s="178" t="str">
        <f>IF(I982&gt;0,H982/I982,0)</f>
      </c>
      <c r="K982" s="179" t="str">
        <f>1-EXP(-J982)</f>
      </c>
      <c r="L982" s="180" t="str">
        <f>IF(G982=30,1,M981)</f>
      </c>
      <c r="M982" s="181" t="str">
        <f>L982*(1-K982)</f>
      </c>
    </row>
    <row r="983">
      <c r="A983" t="s">
        <v>164</v>
      </c>
      <c r="B983" t="s">
        <v>115</v>
      </c>
      <c r="C983" s="32" t="s">
        <v>294</v>
      </c>
      <c r="D983" t="s">
        <v>378</v>
      </c>
      <c r="E983" t="s">
        <v>395</v>
      </c>
      <c r="F983" s="174" t="n">
        <v>2049</v>
      </c>
      <c r="G983" s="175" t="n">
        <v>51</v>
      </c>
      <c r="H983" s="176" t="n">
        <v>8841.5516972242</v>
      </c>
      <c r="I983" s="177" t="n">
        <v>4202983.93641251</v>
      </c>
      <c r="J983" s="178" t="str">
        <f>IF(I983&gt;0,H983/I983,0)</f>
      </c>
      <c r="K983" s="179" t="str">
        <f>1-EXP(-J983)</f>
      </c>
      <c r="L983" s="180" t="str">
        <f>IF(G983=30,1,M982)</f>
      </c>
      <c r="M983" s="181" t="str">
        <f>L983*(1-K983)</f>
      </c>
    </row>
    <row r="984">
      <c r="A984" t="s">
        <v>164</v>
      </c>
      <c r="B984" t="s">
        <v>115</v>
      </c>
      <c r="C984" s="32" t="s">
        <v>294</v>
      </c>
      <c r="D984" t="s">
        <v>378</v>
      </c>
      <c r="E984" t="s">
        <v>395</v>
      </c>
      <c r="F984" s="174" t="n">
        <v>2049</v>
      </c>
      <c r="G984" s="175" t="n">
        <v>52</v>
      </c>
      <c r="H984" s="176" t="n">
        <v>10092.8001394323</v>
      </c>
      <c r="I984" s="177" t="n">
        <v>4315544.79934835</v>
      </c>
      <c r="J984" s="178" t="str">
        <f>IF(I984&gt;0,H984/I984,0)</f>
      </c>
      <c r="K984" s="179" t="str">
        <f>1-EXP(-J984)</f>
      </c>
      <c r="L984" s="180" t="str">
        <f>IF(G984=30,1,M983)</f>
      </c>
      <c r="M984" s="181" t="str">
        <f>L984*(1-K984)</f>
      </c>
    </row>
    <row r="985">
      <c r="A985" t="s">
        <v>164</v>
      </c>
      <c r="B985" t="s">
        <v>115</v>
      </c>
      <c r="C985" s="32" t="s">
        <v>294</v>
      </c>
      <c r="D985" t="s">
        <v>378</v>
      </c>
      <c r="E985" t="s">
        <v>395</v>
      </c>
      <c r="F985" s="174" t="n">
        <v>2049</v>
      </c>
      <c r="G985" s="175" t="n">
        <v>53</v>
      </c>
      <c r="H985" s="176" t="n">
        <v>10855.8672464032</v>
      </c>
      <c r="I985" s="177" t="n">
        <v>4255971.60038408</v>
      </c>
      <c r="J985" s="178" t="str">
        <f>IF(I985&gt;0,H985/I985,0)</f>
      </c>
      <c r="K985" s="179" t="str">
        <f>1-EXP(-J985)</f>
      </c>
      <c r="L985" s="180" t="str">
        <f>IF(G985=30,1,M984)</f>
      </c>
      <c r="M985" s="181" t="str">
        <f>L985*(1-K985)</f>
      </c>
    </row>
    <row r="986">
      <c r="A986" t="s">
        <v>164</v>
      </c>
      <c r="B986" t="s">
        <v>115</v>
      </c>
      <c r="C986" s="32" t="s">
        <v>294</v>
      </c>
      <c r="D986" t="s">
        <v>378</v>
      </c>
      <c r="E986" t="s">
        <v>395</v>
      </c>
      <c r="F986" s="174" t="n">
        <v>2049</v>
      </c>
      <c r="G986" s="175" t="n">
        <v>54</v>
      </c>
      <c r="H986" s="176" t="n">
        <v>11566.0161651911</v>
      </c>
      <c r="I986" s="177" t="n">
        <v>4166492.48733185</v>
      </c>
      <c r="J986" s="178" t="str">
        <f>IF(I986&gt;0,H986/I986,0)</f>
      </c>
      <c r="K986" s="179" t="str">
        <f>1-EXP(-J986)</f>
      </c>
      <c r="L986" s="180" t="str">
        <f>IF(G986=30,1,M985)</f>
      </c>
      <c r="M986" s="181" t="str">
        <f>L986*(1-K986)</f>
      </c>
    </row>
    <row r="987">
      <c r="A987" t="s">
        <v>164</v>
      </c>
      <c r="B987" t="s">
        <v>115</v>
      </c>
      <c r="C987" s="32" t="s">
        <v>294</v>
      </c>
      <c r="D987" t="s">
        <v>378</v>
      </c>
      <c r="E987" t="s">
        <v>395</v>
      </c>
      <c r="F987" s="174" t="n">
        <v>2049</v>
      </c>
      <c r="G987" s="175" t="n">
        <v>55</v>
      </c>
      <c r="H987" s="176" t="n">
        <v>12110.2242958285</v>
      </c>
      <c r="I987" s="177" t="n">
        <v>4090435.63675779</v>
      </c>
      <c r="J987" s="178" t="str">
        <f>IF(I987&gt;0,H987/I987,0)</f>
      </c>
      <c r="K987" s="179" t="str">
        <f>1-EXP(-J987)</f>
      </c>
      <c r="L987" s="180" t="str">
        <f>IF(G987=30,1,M986)</f>
      </c>
      <c r="M987" s="181" t="str">
        <f>L987*(1-K987)</f>
      </c>
    </row>
    <row r="988">
      <c r="A988" t="s">
        <v>164</v>
      </c>
      <c r="B988" t="s">
        <v>115</v>
      </c>
      <c r="C988" s="32" t="s">
        <v>294</v>
      </c>
      <c r="D988" t="s">
        <v>378</v>
      </c>
      <c r="E988" t="s">
        <v>395</v>
      </c>
      <c r="F988" s="174" t="n">
        <v>2049</v>
      </c>
      <c r="G988" s="175" t="n">
        <v>56</v>
      </c>
      <c r="H988" s="176" t="n">
        <v>12843.6563781518</v>
      </c>
      <c r="I988" s="177" t="n">
        <v>4016256.09433868</v>
      </c>
      <c r="J988" s="178" t="str">
        <f>IF(I988&gt;0,H988/I988,0)</f>
      </c>
      <c r="K988" s="179" t="str">
        <f>1-EXP(-J988)</f>
      </c>
      <c r="L988" s="180" t="str">
        <f>IF(G988=30,1,M987)</f>
      </c>
      <c r="M988" s="181" t="str">
        <f>L988*(1-K988)</f>
      </c>
    </row>
    <row r="989">
      <c r="A989" t="s">
        <v>164</v>
      </c>
      <c r="B989" t="s">
        <v>115</v>
      </c>
      <c r="C989" s="32" t="s">
        <v>294</v>
      </c>
      <c r="D989" t="s">
        <v>378</v>
      </c>
      <c r="E989" t="s">
        <v>395</v>
      </c>
      <c r="F989" s="174" t="n">
        <v>2049</v>
      </c>
      <c r="G989" s="175" t="n">
        <v>57</v>
      </c>
      <c r="H989" s="176" t="n">
        <v>14012.6436890748</v>
      </c>
      <c r="I989" s="177" t="n">
        <v>4025383.64957647</v>
      </c>
      <c r="J989" s="178" t="str">
        <f>IF(I989&gt;0,H989/I989,0)</f>
      </c>
      <c r="K989" s="179" t="str">
        <f>1-EXP(-J989)</f>
      </c>
      <c r="L989" s="180" t="str">
        <f>IF(G989=30,1,M988)</f>
      </c>
      <c r="M989" s="181" t="str">
        <f>L989*(1-K989)</f>
      </c>
    </row>
    <row r="990">
      <c r="A990" t="s">
        <v>164</v>
      </c>
      <c r="B990" t="s">
        <v>115</v>
      </c>
      <c r="C990" s="32" t="s">
        <v>294</v>
      </c>
      <c r="D990" t="s">
        <v>378</v>
      </c>
      <c r="E990" t="s">
        <v>395</v>
      </c>
      <c r="F990" s="174" t="n">
        <v>2049</v>
      </c>
      <c r="G990" s="175" t="n">
        <v>58</v>
      </c>
      <c r="H990" s="176" t="n">
        <v>15258.8736362305</v>
      </c>
      <c r="I990" s="177" t="n">
        <v>4013363.86478426</v>
      </c>
      <c r="J990" s="178" t="str">
        <f>IF(I990&gt;0,H990/I990,0)</f>
      </c>
      <c r="K990" s="179" t="str">
        <f>1-EXP(-J990)</f>
      </c>
      <c r="L990" s="180" t="str">
        <f>IF(G990=30,1,M989)</f>
      </c>
      <c r="M990" s="181" t="str">
        <f>L990*(1-K990)</f>
      </c>
    </row>
    <row r="991">
      <c r="A991" t="s">
        <v>164</v>
      </c>
      <c r="B991" t="s">
        <v>115</v>
      </c>
      <c r="C991" s="32" t="s">
        <v>294</v>
      </c>
      <c r="D991" t="s">
        <v>378</v>
      </c>
      <c r="E991" t="s">
        <v>395</v>
      </c>
      <c r="F991" s="174" t="n">
        <v>2049</v>
      </c>
      <c r="G991" s="175" t="n">
        <v>59</v>
      </c>
      <c r="H991" s="176" t="n">
        <v>22273.6676281337</v>
      </c>
      <c r="I991" s="177" t="n">
        <v>5900283.66327272</v>
      </c>
      <c r="J991" s="178" t="str">
        <f>IF(I991&gt;0,H991/I991,0)</f>
      </c>
      <c r="K991" s="179" t="str">
        <f>1-EXP(-J991)</f>
      </c>
      <c r="L991" s="180" t="str">
        <f>IF(G991=30,1,M990)</f>
      </c>
      <c r="M991" s="181" t="str">
        <f>L991*(1-K991)</f>
      </c>
    </row>
    <row r="992">
      <c r="A992" t="s">
        <v>164</v>
      </c>
      <c r="B992" t="s">
        <v>115</v>
      </c>
      <c r="C992" s="32" t="s">
        <v>294</v>
      </c>
      <c r="D992" t="s">
        <v>378</v>
      </c>
      <c r="E992" t="s">
        <v>395</v>
      </c>
      <c r="F992" s="174" t="n">
        <v>2049</v>
      </c>
      <c r="G992" s="175" t="n">
        <v>60</v>
      </c>
      <c r="H992" s="176" t="n">
        <v>17547.6043566425</v>
      </c>
      <c r="I992" s="177" t="n">
        <v>3910702.22627238</v>
      </c>
      <c r="J992" s="178" t="str">
        <f>IF(I992&gt;0,H992/I992,0)</f>
      </c>
      <c r="K992" s="179" t="str">
        <f>1-EXP(-J992)</f>
      </c>
      <c r="L992" s="180" t="str">
        <f>IF(G992=30,1,M991)</f>
      </c>
      <c r="M992" s="181" t="str">
        <f>L992*(1-K992)</f>
      </c>
    </row>
    <row r="993">
      <c r="A993" t="s">
        <v>164</v>
      </c>
      <c r="B993" t="s">
        <v>115</v>
      </c>
      <c r="C993" s="32" t="s">
        <v>294</v>
      </c>
      <c r="D993" t="s">
        <v>378</v>
      </c>
      <c r="E993" t="s">
        <v>395</v>
      </c>
      <c r="F993" s="174" t="n">
        <v>2049</v>
      </c>
      <c r="G993" s="175" t="n">
        <v>61</v>
      </c>
      <c r="H993" s="176" t="n">
        <v>18895.593581808</v>
      </c>
      <c r="I993" s="177" t="n">
        <v>3858828.53650717</v>
      </c>
      <c r="J993" s="178" t="str">
        <f>IF(I993&gt;0,H993/I993,0)</f>
      </c>
      <c r="K993" s="179" t="str">
        <f>1-EXP(-J993)</f>
      </c>
      <c r="L993" s="180" t="str">
        <f>IF(G993=30,1,M992)</f>
      </c>
      <c r="M993" s="181" t="str">
        <f>L993*(1-K993)</f>
      </c>
    </row>
    <row r="994">
      <c r="A994" t="s">
        <v>164</v>
      </c>
      <c r="B994" t="s">
        <v>115</v>
      </c>
      <c r="C994" s="32" t="s">
        <v>294</v>
      </c>
      <c r="D994" t="s">
        <v>378</v>
      </c>
      <c r="E994" t="s">
        <v>395</v>
      </c>
      <c r="F994" s="174" t="n">
        <v>2049</v>
      </c>
      <c r="G994" s="175" t="n">
        <v>62</v>
      </c>
      <c r="H994" s="176" t="n">
        <v>19928.7692296885</v>
      </c>
      <c r="I994" s="177" t="n">
        <v>3701678.06441312</v>
      </c>
      <c r="J994" s="178" t="str">
        <f>IF(I994&gt;0,H994/I994,0)</f>
      </c>
      <c r="K994" s="179" t="str">
        <f>1-EXP(-J994)</f>
      </c>
      <c r="L994" s="180" t="str">
        <f>IF(G994=30,1,M993)</f>
      </c>
      <c r="M994" s="181" t="str">
        <f>L994*(1-K994)</f>
      </c>
    </row>
    <row r="995">
      <c r="A995" t="s">
        <v>164</v>
      </c>
      <c r="B995" t="s">
        <v>115</v>
      </c>
      <c r="C995" s="32" t="s">
        <v>294</v>
      </c>
      <c r="D995" t="s">
        <v>378</v>
      </c>
      <c r="E995" t="s">
        <v>395</v>
      </c>
      <c r="F995" s="174" t="n">
        <v>2049</v>
      </c>
      <c r="G995" s="175" t="n">
        <v>63</v>
      </c>
      <c r="H995" s="176" t="n">
        <v>21465.7441468112</v>
      </c>
      <c r="I995" s="177" t="n">
        <v>3629143.3062946</v>
      </c>
      <c r="J995" s="178" t="str">
        <f>IF(I995&gt;0,H995/I995,0)</f>
      </c>
      <c r="K995" s="179" t="str">
        <f>1-EXP(-J995)</f>
      </c>
      <c r="L995" s="180" t="str">
        <f>IF(G995=30,1,M994)</f>
      </c>
      <c r="M995" s="181" t="str">
        <f>L995*(1-K995)</f>
      </c>
    </row>
    <row r="996">
      <c r="A996" t="s">
        <v>164</v>
      </c>
      <c r="B996" t="s">
        <v>115</v>
      </c>
      <c r="C996" s="32" t="s">
        <v>294</v>
      </c>
      <c r="D996" t="s">
        <v>378</v>
      </c>
      <c r="E996" t="s">
        <v>395</v>
      </c>
      <c r="F996" s="174" t="n">
        <v>2049</v>
      </c>
      <c r="G996" s="175" t="n">
        <v>64</v>
      </c>
      <c r="H996" s="176" t="n">
        <v>23607.9501631728</v>
      </c>
      <c r="I996" s="177" t="n">
        <v>3634311.18485445</v>
      </c>
      <c r="J996" s="178" t="str">
        <f>IF(I996&gt;0,H996/I996,0)</f>
      </c>
      <c r="K996" s="179" t="str">
        <f>1-EXP(-J996)</f>
      </c>
      <c r="L996" s="180" t="str">
        <f>IF(G996=30,1,M995)</f>
      </c>
      <c r="M996" s="181" t="str">
        <f>L996*(1-K996)</f>
      </c>
    </row>
    <row r="997">
      <c r="A997" t="s">
        <v>164</v>
      </c>
      <c r="B997" t="s">
        <v>115</v>
      </c>
      <c r="C997" s="32" t="s">
        <v>294</v>
      </c>
      <c r="D997" t="s">
        <v>378</v>
      </c>
      <c r="E997" t="s">
        <v>395</v>
      </c>
      <c r="F997" s="174" t="n">
        <v>2049</v>
      </c>
      <c r="G997" s="175" t="n">
        <v>65</v>
      </c>
      <c r="H997" s="176" t="n">
        <v>24786.9712276887</v>
      </c>
      <c r="I997" s="177" t="n">
        <v>3655535.19434988</v>
      </c>
      <c r="J997" s="178" t="str">
        <f>IF(I997&gt;0,H997/I997,0)</f>
      </c>
      <c r="K997" s="179" t="str">
        <f>1-EXP(-J997)</f>
      </c>
      <c r="L997" s="180" t="str">
        <f>IF(G997=30,1,M996)</f>
      </c>
      <c r="M997" s="181" t="str">
        <f>L997*(1-K997)</f>
      </c>
    </row>
    <row r="998">
      <c r="A998" t="s">
        <v>164</v>
      </c>
      <c r="B998" t="s">
        <v>115</v>
      </c>
      <c r="C998" s="32" t="s">
        <v>294</v>
      </c>
      <c r="D998" t="s">
        <v>378</v>
      </c>
      <c r="E998" t="s">
        <v>395</v>
      </c>
      <c r="F998" s="174" t="n">
        <v>2049</v>
      </c>
      <c r="G998" s="175" t="n">
        <v>66</v>
      </c>
      <c r="H998" s="176" t="n">
        <v>26535.4438895666</v>
      </c>
      <c r="I998" s="177" t="n">
        <v>3579808.91361571</v>
      </c>
      <c r="J998" s="178" t="str">
        <f>IF(I998&gt;0,H998/I998,0)</f>
      </c>
      <c r="K998" s="179" t="str">
        <f>1-EXP(-J998)</f>
      </c>
      <c r="L998" s="180" t="str">
        <f>IF(G998=30,1,M997)</f>
      </c>
      <c r="M998" s="181" t="str">
        <f>L998*(1-K998)</f>
      </c>
    </row>
    <row r="999">
      <c r="A999" t="s">
        <v>164</v>
      </c>
      <c r="B999" t="s">
        <v>115</v>
      </c>
      <c r="C999" s="32" t="s">
        <v>294</v>
      </c>
      <c r="D999" t="s">
        <v>378</v>
      </c>
      <c r="E999" t="s">
        <v>395</v>
      </c>
      <c r="F999" s="174" t="n">
        <v>2049</v>
      </c>
      <c r="G999" s="175" t="n">
        <v>67</v>
      </c>
      <c r="H999" s="176" t="n">
        <v>27777.8967239915</v>
      </c>
      <c r="I999" s="177" t="n">
        <v>3406500.46988546</v>
      </c>
      <c r="J999" s="178" t="str">
        <f>IF(I999&gt;0,H999/I999,0)</f>
      </c>
      <c r="K999" s="179" t="str">
        <f>1-EXP(-J999)</f>
      </c>
      <c r="L999" s="180" t="str">
        <f>IF(G999=30,1,M998)</f>
      </c>
      <c r="M999" s="181" t="str">
        <f>L999*(1-K999)</f>
      </c>
    </row>
    <row r="1000">
      <c r="A1000" t="s">
        <v>164</v>
      </c>
      <c r="B1000" t="s">
        <v>115</v>
      </c>
      <c r="C1000" s="32" t="s">
        <v>294</v>
      </c>
      <c r="D1000" t="s">
        <v>378</v>
      </c>
      <c r="E1000" t="s">
        <v>395</v>
      </c>
      <c r="F1000" s="174" t="n">
        <v>2049</v>
      </c>
      <c r="G1000" s="175" t="n">
        <v>68</v>
      </c>
      <c r="H1000" s="176" t="n">
        <v>29449.381762871</v>
      </c>
      <c r="I1000" s="177" t="n">
        <v>3283467.34384644</v>
      </c>
      <c r="J1000" s="178" t="str">
        <f>IF(I1000&gt;0,H1000/I1000,0)</f>
      </c>
      <c r="K1000" s="179" t="str">
        <f>1-EXP(-J1000)</f>
      </c>
      <c r="L1000" s="180" t="str">
        <f>IF(G1000=30,1,M999)</f>
      </c>
      <c r="M1000" s="181" t="str">
        <f>L1000*(1-K1000)</f>
      </c>
    </row>
    <row r="1001">
      <c r="A1001" t="s">
        <v>164</v>
      </c>
      <c r="B1001" t="s">
        <v>115</v>
      </c>
      <c r="C1001" s="32" t="s">
        <v>294</v>
      </c>
      <c r="D1001" t="s">
        <v>378</v>
      </c>
      <c r="E1001" t="s">
        <v>395</v>
      </c>
      <c r="F1001" s="174" t="n">
        <v>2049</v>
      </c>
      <c r="G1001" s="175" t="n">
        <v>69</v>
      </c>
      <c r="H1001" s="176" t="n">
        <v>31303.2298350013</v>
      </c>
      <c r="I1001" s="177" t="n">
        <v>3170458.76286122</v>
      </c>
      <c r="J1001" s="178" t="str">
        <f>IF(I1001&gt;0,H1001/I1001,0)</f>
      </c>
      <c r="K1001" s="179" t="str">
        <f>1-EXP(-J1001)</f>
      </c>
      <c r="L1001" s="180" t="str">
        <f>IF(G1001=30,1,M1000)</f>
      </c>
      <c r="M1001" s="181" t="str">
        <f>L1001*(1-K1001)</f>
      </c>
    </row>
    <row r="1002">
      <c r="A1002" t="s">
        <v>164</v>
      </c>
      <c r="B1002" t="s">
        <v>115</v>
      </c>
      <c r="C1002" s="32" t="s">
        <v>294</v>
      </c>
      <c r="D1002" t="s">
        <v>378</v>
      </c>
      <c r="E1002" t="s">
        <v>395</v>
      </c>
      <c r="F1002" s="174" t="n">
        <v>2050</v>
      </c>
      <c r="G1002" s="175" t="n">
        <v>30</v>
      </c>
      <c r="H1002" s="176" t="n">
        <v>609.957068761586</v>
      </c>
      <c r="I1002" s="177" t="n">
        <v>4253334.00328317</v>
      </c>
      <c r="J1002" s="178" t="str">
        <f>IF(I1002&gt;0,H1002/I1002,0)</f>
      </c>
      <c r="K1002" s="179" t="str">
        <f>1-EXP(-J1002)</f>
      </c>
      <c r="L1002" s="180" t="str">
        <f>IF(G1002=30,1,M1001)</f>
      </c>
      <c r="M1002" s="181" t="str">
        <f>L1002*(1-K1002)</f>
      </c>
    </row>
    <row r="1003">
      <c r="A1003" t="s">
        <v>164</v>
      </c>
      <c r="B1003" t="s">
        <v>115</v>
      </c>
      <c r="C1003" s="32" t="s">
        <v>294</v>
      </c>
      <c r="D1003" t="s">
        <v>378</v>
      </c>
      <c r="E1003" t="s">
        <v>395</v>
      </c>
      <c r="F1003" s="174" t="n">
        <v>2050</v>
      </c>
      <c r="G1003" s="175" t="n">
        <v>31</v>
      </c>
      <c r="H1003" s="176" t="n">
        <v>840.904544716505</v>
      </c>
      <c r="I1003" s="177" t="n">
        <v>4262057.70843443</v>
      </c>
      <c r="J1003" s="178" t="str">
        <f>IF(I1003&gt;0,H1003/I1003,0)</f>
      </c>
      <c r="K1003" s="179" t="str">
        <f>1-EXP(-J1003)</f>
      </c>
      <c r="L1003" s="180" t="str">
        <f>IF(G1003=30,1,M1002)</f>
      </c>
      <c r="M1003" s="181" t="str">
        <f>L1003*(1-K1003)</f>
      </c>
    </row>
    <row r="1004">
      <c r="A1004" t="s">
        <v>164</v>
      </c>
      <c r="B1004" t="s">
        <v>115</v>
      </c>
      <c r="C1004" s="32" t="s">
        <v>294</v>
      </c>
      <c r="D1004" t="s">
        <v>378</v>
      </c>
      <c r="E1004" t="s">
        <v>395</v>
      </c>
      <c r="F1004" s="174" t="n">
        <v>2050</v>
      </c>
      <c r="G1004" s="175" t="n">
        <v>32</v>
      </c>
      <c r="H1004" s="176" t="n">
        <v>883.117771437383</v>
      </c>
      <c r="I1004" s="177" t="n">
        <v>4266226.80814746</v>
      </c>
      <c r="J1004" s="178" t="str">
        <f>IF(I1004&gt;0,H1004/I1004,0)</f>
      </c>
      <c r="K1004" s="179" t="str">
        <f>1-EXP(-J1004)</f>
      </c>
      <c r="L1004" s="180" t="str">
        <f>IF(G1004=30,1,M1003)</f>
      </c>
      <c r="M1004" s="181" t="str">
        <f>L1004*(1-K1004)</f>
      </c>
    </row>
    <row r="1005">
      <c r="A1005" t="s">
        <v>164</v>
      </c>
      <c r="B1005" t="s">
        <v>115</v>
      </c>
      <c r="C1005" s="32" t="s">
        <v>294</v>
      </c>
      <c r="D1005" t="s">
        <v>378</v>
      </c>
      <c r="E1005" t="s">
        <v>395</v>
      </c>
      <c r="F1005" s="174" t="n">
        <v>2050</v>
      </c>
      <c r="G1005" s="175" t="n">
        <v>33</v>
      </c>
      <c r="H1005" s="176" t="n">
        <v>940.134544465073</v>
      </c>
      <c r="I1005" s="177" t="n">
        <v>4306557.46696482</v>
      </c>
      <c r="J1005" s="178" t="str">
        <f>IF(I1005&gt;0,H1005/I1005,0)</f>
      </c>
      <c r="K1005" s="179" t="str">
        <f>1-EXP(-J1005)</f>
      </c>
      <c r="L1005" s="180" t="str">
        <f>IF(G1005=30,1,M1004)</f>
      </c>
      <c r="M1005" s="181" t="str">
        <f>L1005*(1-K1005)</f>
      </c>
    </row>
    <row r="1006">
      <c r="A1006" t="s">
        <v>164</v>
      </c>
      <c r="B1006" t="s">
        <v>115</v>
      </c>
      <c r="C1006" s="32" t="s">
        <v>294</v>
      </c>
      <c r="D1006" t="s">
        <v>378</v>
      </c>
      <c r="E1006" t="s">
        <v>395</v>
      </c>
      <c r="F1006" s="174" t="n">
        <v>2050</v>
      </c>
      <c r="G1006" s="175" t="n">
        <v>34</v>
      </c>
      <c r="H1006" s="176" t="n">
        <v>1094.20273821733</v>
      </c>
      <c r="I1006" s="177" t="n">
        <v>4568002.67589177</v>
      </c>
      <c r="J1006" s="178" t="str">
        <f>IF(I1006&gt;0,H1006/I1006,0)</f>
      </c>
      <c r="K1006" s="179" t="str">
        <f>1-EXP(-J1006)</f>
      </c>
      <c r="L1006" s="180" t="str">
        <f>IF(G1006=30,1,M1005)</f>
      </c>
      <c r="M1006" s="181" t="str">
        <f>L1006*(1-K1006)</f>
      </c>
    </row>
    <row r="1007">
      <c r="A1007" t="s">
        <v>164</v>
      </c>
      <c r="B1007" t="s">
        <v>115</v>
      </c>
      <c r="C1007" s="32" t="s">
        <v>294</v>
      </c>
      <c r="D1007" t="s">
        <v>378</v>
      </c>
      <c r="E1007" t="s">
        <v>395</v>
      </c>
      <c r="F1007" s="174" t="n">
        <v>2050</v>
      </c>
      <c r="G1007" s="175" t="n">
        <v>35</v>
      </c>
      <c r="H1007" s="176" t="n">
        <v>1460.18681816838</v>
      </c>
      <c r="I1007" s="177" t="n">
        <v>4615832.76792759</v>
      </c>
      <c r="J1007" s="178" t="str">
        <f>IF(I1007&gt;0,H1007/I1007,0)</f>
      </c>
      <c r="K1007" s="179" t="str">
        <f>1-EXP(-J1007)</f>
      </c>
      <c r="L1007" s="180" t="str">
        <f>IF(G1007=30,1,M1006)</f>
      </c>
      <c r="M1007" s="181" t="str">
        <f>L1007*(1-K1007)</f>
      </c>
    </row>
    <row r="1008">
      <c r="A1008" t="s">
        <v>164</v>
      </c>
      <c r="B1008" t="s">
        <v>115</v>
      </c>
      <c r="C1008" s="32" t="s">
        <v>294</v>
      </c>
      <c r="D1008" t="s">
        <v>378</v>
      </c>
      <c r="E1008" t="s">
        <v>395</v>
      </c>
      <c r="F1008" s="174" t="n">
        <v>2050</v>
      </c>
      <c r="G1008" s="175" t="n">
        <v>36</v>
      </c>
      <c r="H1008" s="176" t="n">
        <v>1672.61511593185</v>
      </c>
      <c r="I1008" s="177" t="n">
        <v>4680728.25271084</v>
      </c>
      <c r="J1008" s="178" t="str">
        <f>IF(I1008&gt;0,H1008/I1008,0)</f>
      </c>
      <c r="K1008" s="179" t="str">
        <f>1-EXP(-J1008)</f>
      </c>
      <c r="L1008" s="180" t="str">
        <f>IF(G1008=30,1,M1007)</f>
      </c>
      <c r="M1008" s="181" t="str">
        <f>L1008*(1-K1008)</f>
      </c>
    </row>
    <row r="1009">
      <c r="A1009" t="s">
        <v>164</v>
      </c>
      <c r="B1009" t="s">
        <v>115</v>
      </c>
      <c r="C1009" s="32" t="s">
        <v>294</v>
      </c>
      <c r="D1009" t="s">
        <v>378</v>
      </c>
      <c r="E1009" t="s">
        <v>395</v>
      </c>
      <c r="F1009" s="174" t="n">
        <v>2050</v>
      </c>
      <c r="G1009" s="175" t="n">
        <v>37</v>
      </c>
      <c r="H1009" s="176" t="n">
        <v>1818.06895696121</v>
      </c>
      <c r="I1009" s="177" t="n">
        <v>4747043.6815098</v>
      </c>
      <c r="J1009" s="178" t="str">
        <f>IF(I1009&gt;0,H1009/I1009,0)</f>
      </c>
      <c r="K1009" s="179" t="str">
        <f>1-EXP(-J1009)</f>
      </c>
      <c r="L1009" s="180" t="str">
        <f>IF(G1009=30,1,M1008)</f>
      </c>
      <c r="M1009" s="181" t="str">
        <f>L1009*(1-K1009)</f>
      </c>
    </row>
    <row r="1010">
      <c r="A1010" t="s">
        <v>164</v>
      </c>
      <c r="B1010" t="s">
        <v>115</v>
      </c>
      <c r="C1010" s="32" t="s">
        <v>294</v>
      </c>
      <c r="D1010" t="s">
        <v>378</v>
      </c>
      <c r="E1010" t="s">
        <v>395</v>
      </c>
      <c r="F1010" s="174" t="n">
        <v>2050</v>
      </c>
      <c r="G1010" s="175" t="n">
        <v>38</v>
      </c>
      <c r="H1010" s="176" t="n">
        <v>2052.64373373613</v>
      </c>
      <c r="I1010" s="177" t="n">
        <v>4856886.5216689</v>
      </c>
      <c r="J1010" s="178" t="str">
        <f>IF(I1010&gt;0,H1010/I1010,0)</f>
      </c>
      <c r="K1010" s="179" t="str">
        <f>1-EXP(-J1010)</f>
      </c>
      <c r="L1010" s="180" t="str">
        <f>IF(G1010=30,1,M1009)</f>
      </c>
      <c r="M1010" s="181" t="str">
        <f>L1010*(1-K1010)</f>
      </c>
    </row>
    <row r="1011">
      <c r="A1011" t="s">
        <v>164</v>
      </c>
      <c r="B1011" t="s">
        <v>115</v>
      </c>
      <c r="C1011" s="32" t="s">
        <v>294</v>
      </c>
      <c r="D1011" t="s">
        <v>378</v>
      </c>
      <c r="E1011" t="s">
        <v>395</v>
      </c>
      <c r="F1011" s="174" t="n">
        <v>2050</v>
      </c>
      <c r="G1011" s="175" t="n">
        <v>39</v>
      </c>
      <c r="H1011" s="176" t="n">
        <v>2198.97797003917</v>
      </c>
      <c r="I1011" s="177" t="n">
        <v>4826659.16053526</v>
      </c>
      <c r="J1011" s="178" t="str">
        <f>IF(I1011&gt;0,H1011/I1011,0)</f>
      </c>
      <c r="K1011" s="179" t="str">
        <f>1-EXP(-J1011)</f>
      </c>
      <c r="L1011" s="180" t="str">
        <f>IF(G1011=30,1,M1010)</f>
      </c>
      <c r="M1011" s="181" t="str">
        <f>L1011*(1-K1011)</f>
      </c>
    </row>
    <row r="1012">
      <c r="A1012" t="s">
        <v>164</v>
      </c>
      <c r="B1012" t="s">
        <v>115</v>
      </c>
      <c r="C1012" s="32" t="s">
        <v>294</v>
      </c>
      <c r="D1012" t="s">
        <v>378</v>
      </c>
      <c r="E1012" t="s">
        <v>395</v>
      </c>
      <c r="F1012" s="174" t="n">
        <v>2050</v>
      </c>
      <c r="G1012" s="175" t="n">
        <v>40</v>
      </c>
      <c r="H1012" s="176" t="n">
        <v>2852.34887534438</v>
      </c>
      <c r="I1012" s="177" t="n">
        <v>4691384.03959683</v>
      </c>
      <c r="J1012" s="178" t="str">
        <f>IF(I1012&gt;0,H1012/I1012,0)</f>
      </c>
      <c r="K1012" s="179" t="str">
        <f>1-EXP(-J1012)</f>
      </c>
      <c r="L1012" s="180" t="str">
        <f>IF(G1012=30,1,M1011)</f>
      </c>
      <c r="M1012" s="181" t="str">
        <f>L1012*(1-K1012)</f>
      </c>
    </row>
    <row r="1013">
      <c r="A1013" t="s">
        <v>164</v>
      </c>
      <c r="B1013" t="s">
        <v>115</v>
      </c>
      <c r="C1013" s="32" t="s">
        <v>294</v>
      </c>
      <c r="D1013" t="s">
        <v>378</v>
      </c>
      <c r="E1013" t="s">
        <v>395</v>
      </c>
      <c r="F1013" s="174" t="n">
        <v>2050</v>
      </c>
      <c r="G1013" s="175" t="n">
        <v>41</v>
      </c>
      <c r="H1013" s="176" t="n">
        <v>3111.63117450397</v>
      </c>
      <c r="I1013" s="177" t="n">
        <v>4617405.34408735</v>
      </c>
      <c r="J1013" s="178" t="str">
        <f>IF(I1013&gt;0,H1013/I1013,0)</f>
      </c>
      <c r="K1013" s="179" t="str">
        <f>1-EXP(-J1013)</f>
      </c>
      <c r="L1013" s="180" t="str">
        <f>IF(G1013=30,1,M1012)</f>
      </c>
      <c r="M1013" s="181" t="str">
        <f>L1013*(1-K1013)</f>
      </c>
    </row>
    <row r="1014">
      <c r="A1014" t="s">
        <v>164</v>
      </c>
      <c r="B1014" t="s">
        <v>115</v>
      </c>
      <c r="C1014" s="32" t="s">
        <v>294</v>
      </c>
      <c r="D1014" t="s">
        <v>378</v>
      </c>
      <c r="E1014" t="s">
        <v>395</v>
      </c>
      <c r="F1014" s="174" t="n">
        <v>2050</v>
      </c>
      <c r="G1014" s="175" t="n">
        <v>42</v>
      </c>
      <c r="H1014" s="176" t="n">
        <v>3335.42097969121</v>
      </c>
      <c r="I1014" s="177" t="n">
        <v>4571301.34603186</v>
      </c>
      <c r="J1014" s="178" t="str">
        <f>IF(I1014&gt;0,H1014/I1014,0)</f>
      </c>
      <c r="K1014" s="179" t="str">
        <f>1-EXP(-J1014)</f>
      </c>
      <c r="L1014" s="180" t="str">
        <f>IF(G1014=30,1,M1013)</f>
      </c>
      <c r="M1014" s="181" t="str">
        <f>L1014*(1-K1014)</f>
      </c>
    </row>
    <row r="1015">
      <c r="A1015" t="s">
        <v>164</v>
      </c>
      <c r="B1015" t="s">
        <v>115</v>
      </c>
      <c r="C1015" s="32" t="s">
        <v>294</v>
      </c>
      <c r="D1015" t="s">
        <v>378</v>
      </c>
      <c r="E1015" t="s">
        <v>395</v>
      </c>
      <c r="F1015" s="174" t="n">
        <v>2050</v>
      </c>
      <c r="G1015" s="175" t="n">
        <v>43</v>
      </c>
      <c r="H1015" s="176" t="n">
        <v>3696.42714197255</v>
      </c>
      <c r="I1015" s="177" t="n">
        <v>4591561.69326685</v>
      </c>
      <c r="J1015" s="178" t="str">
        <f>IF(I1015&gt;0,H1015/I1015,0)</f>
      </c>
      <c r="K1015" s="179" t="str">
        <f>1-EXP(-J1015)</f>
      </c>
      <c r="L1015" s="180" t="str">
        <f>IF(G1015=30,1,M1014)</f>
      </c>
      <c r="M1015" s="181" t="str">
        <f>L1015*(1-K1015)</f>
      </c>
    </row>
    <row r="1016">
      <c r="A1016" t="s">
        <v>164</v>
      </c>
      <c r="B1016" t="s">
        <v>115</v>
      </c>
      <c r="C1016" s="32" t="s">
        <v>294</v>
      </c>
      <c r="D1016" t="s">
        <v>378</v>
      </c>
      <c r="E1016" t="s">
        <v>395</v>
      </c>
      <c r="F1016" s="174" t="n">
        <v>2050</v>
      </c>
      <c r="G1016" s="175" t="n">
        <v>44</v>
      </c>
      <c r="H1016" s="176" t="n">
        <v>3940.06535331938</v>
      </c>
      <c r="I1016" s="177" t="n">
        <v>4504496.46209658</v>
      </c>
      <c r="J1016" s="178" t="str">
        <f>IF(I1016&gt;0,H1016/I1016,0)</f>
      </c>
      <c r="K1016" s="179" t="str">
        <f>1-EXP(-J1016)</f>
      </c>
      <c r="L1016" s="180" t="str">
        <f>IF(G1016=30,1,M1015)</f>
      </c>
      <c r="M1016" s="181" t="str">
        <f>L1016*(1-K1016)</f>
      </c>
    </row>
    <row r="1017">
      <c r="A1017" t="s">
        <v>164</v>
      </c>
      <c r="B1017" t="s">
        <v>115</v>
      </c>
      <c r="C1017" s="32" t="s">
        <v>294</v>
      </c>
      <c r="D1017" t="s">
        <v>378</v>
      </c>
      <c r="E1017" t="s">
        <v>395</v>
      </c>
      <c r="F1017" s="174" t="n">
        <v>2050</v>
      </c>
      <c r="G1017" s="175" t="n">
        <v>45</v>
      </c>
      <c r="H1017" s="176" t="n">
        <v>4959.14698786188</v>
      </c>
      <c r="I1017" s="177" t="n">
        <v>4438358.21136142</v>
      </c>
      <c r="J1017" s="178" t="str">
        <f>IF(I1017&gt;0,H1017/I1017,0)</f>
      </c>
      <c r="K1017" s="179" t="str">
        <f>1-EXP(-J1017)</f>
      </c>
      <c r="L1017" s="180" t="str">
        <f>IF(G1017=30,1,M1016)</f>
      </c>
      <c r="M1017" s="181" t="str">
        <f>L1017*(1-K1017)</f>
      </c>
    </row>
    <row r="1018">
      <c r="A1018" t="s">
        <v>164</v>
      </c>
      <c r="B1018" t="s">
        <v>115</v>
      </c>
      <c r="C1018" s="32" t="s">
        <v>294</v>
      </c>
      <c r="D1018" t="s">
        <v>378</v>
      </c>
      <c r="E1018" t="s">
        <v>395</v>
      </c>
      <c r="F1018" s="174" t="n">
        <v>2050</v>
      </c>
      <c r="G1018" s="175" t="n">
        <v>46</v>
      </c>
      <c r="H1018" s="176" t="n">
        <v>5313.32937211913</v>
      </c>
      <c r="I1018" s="177" t="n">
        <v>4304653.40309138</v>
      </c>
      <c r="J1018" s="178" t="str">
        <f>IF(I1018&gt;0,H1018/I1018,0)</f>
      </c>
      <c r="K1018" s="179" t="str">
        <f>1-EXP(-J1018)</f>
      </c>
      <c r="L1018" s="180" t="str">
        <f>IF(G1018=30,1,M1017)</f>
      </c>
      <c r="M1018" s="181" t="str">
        <f>L1018*(1-K1018)</f>
      </c>
    </row>
    <row r="1019">
      <c r="A1019" t="s">
        <v>164</v>
      </c>
      <c r="B1019" t="s">
        <v>115</v>
      </c>
      <c r="C1019" s="32" t="s">
        <v>294</v>
      </c>
      <c r="D1019" t="s">
        <v>378</v>
      </c>
      <c r="E1019" t="s">
        <v>395</v>
      </c>
      <c r="F1019" s="174" t="n">
        <v>2050</v>
      </c>
      <c r="G1019" s="175" t="n">
        <v>47</v>
      </c>
      <c r="H1019" s="176" t="n">
        <v>5725.29146443105</v>
      </c>
      <c r="I1019" s="177" t="n">
        <v>4232626.548124</v>
      </c>
      <c r="J1019" s="178" t="str">
        <f>IF(I1019&gt;0,H1019/I1019,0)</f>
      </c>
      <c r="K1019" s="179" t="str">
        <f>1-EXP(-J1019)</f>
      </c>
      <c r="L1019" s="180" t="str">
        <f>IF(G1019=30,1,M1018)</f>
      </c>
      <c r="M1019" s="181" t="str">
        <f>L1019*(1-K1019)</f>
      </c>
    </row>
    <row r="1020">
      <c r="A1020" t="s">
        <v>164</v>
      </c>
      <c r="B1020" t="s">
        <v>115</v>
      </c>
      <c r="C1020" s="32" t="s">
        <v>294</v>
      </c>
      <c r="D1020" t="s">
        <v>378</v>
      </c>
      <c r="E1020" t="s">
        <v>395</v>
      </c>
      <c r="F1020" s="174" t="n">
        <v>2050</v>
      </c>
      <c r="G1020" s="175" t="n">
        <v>48</v>
      </c>
      <c r="H1020" s="176" t="n">
        <v>6384.56281883531</v>
      </c>
      <c r="I1020" s="177" t="n">
        <v>4199819.57100994</v>
      </c>
      <c r="J1020" s="178" t="str">
        <f>IF(I1020&gt;0,H1020/I1020,0)</f>
      </c>
      <c r="K1020" s="179" t="str">
        <f>1-EXP(-J1020)</f>
      </c>
      <c r="L1020" s="180" t="str">
        <f>IF(G1020=30,1,M1019)</f>
      </c>
      <c r="M1020" s="181" t="str">
        <f>L1020*(1-K1020)</f>
      </c>
    </row>
    <row r="1021">
      <c r="A1021" t="s">
        <v>164</v>
      </c>
      <c r="B1021" t="s">
        <v>115</v>
      </c>
      <c r="C1021" s="32" t="s">
        <v>294</v>
      </c>
      <c r="D1021" t="s">
        <v>378</v>
      </c>
      <c r="E1021" t="s">
        <v>395</v>
      </c>
      <c r="F1021" s="174" t="n">
        <v>2050</v>
      </c>
      <c r="G1021" s="175" t="n">
        <v>49</v>
      </c>
      <c r="H1021" s="176" t="n">
        <v>6961.14408416933</v>
      </c>
      <c r="I1021" s="177" t="n">
        <v>4169743.81281957</v>
      </c>
      <c r="J1021" s="178" t="str">
        <f>IF(I1021&gt;0,H1021/I1021,0)</f>
      </c>
      <c r="K1021" s="179" t="str">
        <f>1-EXP(-J1021)</f>
      </c>
      <c r="L1021" s="180" t="str">
        <f>IF(G1021=30,1,M1020)</f>
      </c>
      <c r="M1021" s="181" t="str">
        <f>L1021*(1-K1021)</f>
      </c>
    </row>
    <row r="1022">
      <c r="A1022" t="s">
        <v>164</v>
      </c>
      <c r="B1022" t="s">
        <v>115</v>
      </c>
      <c r="C1022" s="32" t="s">
        <v>294</v>
      </c>
      <c r="D1022" t="s">
        <v>378</v>
      </c>
      <c r="E1022" t="s">
        <v>395</v>
      </c>
      <c r="F1022" s="174" t="n">
        <v>2050</v>
      </c>
      <c r="G1022" s="175" t="n">
        <v>50</v>
      </c>
      <c r="H1022" s="176" t="n">
        <v>7863.94366805861</v>
      </c>
      <c r="I1022" s="177" t="n">
        <v>4138192.78072681</v>
      </c>
      <c r="J1022" s="178" t="str">
        <f>IF(I1022&gt;0,H1022/I1022,0)</f>
      </c>
      <c r="K1022" s="179" t="str">
        <f>1-EXP(-J1022)</f>
      </c>
      <c r="L1022" s="180" t="str">
        <f>IF(G1022=30,1,M1021)</f>
      </c>
      <c r="M1022" s="181" t="str">
        <f>L1022*(1-K1022)</f>
      </c>
    </row>
    <row r="1023">
      <c r="A1023" t="s">
        <v>164</v>
      </c>
      <c r="B1023" t="s">
        <v>115</v>
      </c>
      <c r="C1023" s="32" t="s">
        <v>294</v>
      </c>
      <c r="D1023" t="s">
        <v>378</v>
      </c>
      <c r="E1023" t="s">
        <v>395</v>
      </c>
      <c r="F1023" s="174" t="n">
        <v>2050</v>
      </c>
      <c r="G1023" s="175" t="n">
        <v>51</v>
      </c>
      <c r="H1023" s="176" t="n">
        <v>8622.22450563185</v>
      </c>
      <c r="I1023" s="177" t="n">
        <v>4142709.14251827</v>
      </c>
      <c r="J1023" s="178" t="str">
        <f>IF(I1023&gt;0,H1023/I1023,0)</f>
      </c>
      <c r="K1023" s="179" t="str">
        <f>1-EXP(-J1023)</f>
      </c>
      <c r="L1023" s="180" t="str">
        <f>IF(G1023=30,1,M1022)</f>
      </c>
      <c r="M1023" s="181" t="str">
        <f>L1023*(1-K1023)</f>
      </c>
    </row>
    <row r="1024">
      <c r="A1024" t="s">
        <v>164</v>
      </c>
      <c r="B1024" t="s">
        <v>115</v>
      </c>
      <c r="C1024" s="32" t="s">
        <v>294</v>
      </c>
      <c r="D1024" t="s">
        <v>378</v>
      </c>
      <c r="E1024" t="s">
        <v>395</v>
      </c>
      <c r="F1024" s="174" t="n">
        <v>2050</v>
      </c>
      <c r="G1024" s="175" t="n">
        <v>52</v>
      </c>
      <c r="H1024" s="176" t="n">
        <v>9533.44084360263</v>
      </c>
      <c r="I1024" s="177" t="n">
        <v>4183372.28958015</v>
      </c>
      <c r="J1024" s="178" t="str">
        <f>IF(I1024&gt;0,H1024/I1024,0)</f>
      </c>
      <c r="K1024" s="179" t="str">
        <f>1-EXP(-J1024)</f>
      </c>
      <c r="L1024" s="180" t="str">
        <f>IF(G1024=30,1,M1023)</f>
      </c>
      <c r="M1024" s="181" t="str">
        <f>L1024*(1-K1024)</f>
      </c>
    </row>
    <row r="1025">
      <c r="A1025" t="s">
        <v>164</v>
      </c>
      <c r="B1025" t="s">
        <v>115</v>
      </c>
      <c r="C1025" s="32" t="s">
        <v>294</v>
      </c>
      <c r="D1025" t="s">
        <v>378</v>
      </c>
      <c r="E1025" t="s">
        <v>395</v>
      </c>
      <c r="F1025" s="174" t="n">
        <v>2050</v>
      </c>
      <c r="G1025" s="175" t="n">
        <v>53</v>
      </c>
      <c r="H1025" s="176" t="n">
        <v>10836.474485231</v>
      </c>
      <c r="I1025" s="177" t="n">
        <v>4293305.50643932</v>
      </c>
      <c r="J1025" s="178" t="str">
        <f>IF(I1025&gt;0,H1025/I1025,0)</f>
      </c>
      <c r="K1025" s="179" t="str">
        <f>1-EXP(-J1025)</f>
      </c>
      <c r="L1025" s="180" t="str">
        <f>IF(G1025=30,1,M1024)</f>
      </c>
      <c r="M1025" s="181" t="str">
        <f>L1025*(1-K1025)</f>
      </c>
    </row>
    <row r="1026">
      <c r="A1026" t="s">
        <v>164</v>
      </c>
      <c r="B1026" t="s">
        <v>115</v>
      </c>
      <c r="C1026" s="32" t="s">
        <v>294</v>
      </c>
      <c r="D1026" t="s">
        <v>378</v>
      </c>
      <c r="E1026" t="s">
        <v>395</v>
      </c>
      <c r="F1026" s="174" t="n">
        <v>2050</v>
      </c>
      <c r="G1026" s="175" t="n">
        <v>54</v>
      </c>
      <c r="H1026" s="176" t="n">
        <v>11622.0823786516</v>
      </c>
      <c r="I1026" s="177" t="n">
        <v>4232042.34105558</v>
      </c>
      <c r="J1026" s="178" t="str">
        <f>IF(I1026&gt;0,H1026/I1026,0)</f>
      </c>
      <c r="K1026" s="179" t="str">
        <f>1-EXP(-J1026)</f>
      </c>
      <c r="L1026" s="180" t="str">
        <f>IF(G1026=30,1,M1025)</f>
      </c>
      <c r="M1026" s="181" t="str">
        <f>L1026*(1-K1026)</f>
      </c>
    </row>
    <row r="1027">
      <c r="A1027" t="s">
        <v>164</v>
      </c>
      <c r="B1027" t="s">
        <v>115</v>
      </c>
      <c r="C1027" s="32" t="s">
        <v>294</v>
      </c>
      <c r="D1027" t="s">
        <v>378</v>
      </c>
      <c r="E1027" t="s">
        <v>395</v>
      </c>
      <c r="F1027" s="174" t="n">
        <v>2050</v>
      </c>
      <c r="G1027" s="175" t="n">
        <v>55</v>
      </c>
      <c r="H1027" s="176" t="n">
        <v>12094.01705867</v>
      </c>
      <c r="I1027" s="177" t="n">
        <v>4140989.57769576</v>
      </c>
      <c r="J1027" s="178" t="str">
        <f>IF(I1027&gt;0,H1027/I1027,0)</f>
      </c>
      <c r="K1027" s="179" t="str">
        <f>1-EXP(-J1027)</f>
      </c>
      <c r="L1027" s="180" t="str">
        <f>IF(G1027=30,1,M1026)</f>
      </c>
      <c r="M1027" s="181" t="str">
        <f>L1027*(1-K1027)</f>
      </c>
    </row>
    <row r="1028">
      <c r="A1028" t="s">
        <v>164</v>
      </c>
      <c r="B1028" t="s">
        <v>115</v>
      </c>
      <c r="C1028" s="32" t="s">
        <v>294</v>
      </c>
      <c r="D1028" t="s">
        <v>378</v>
      </c>
      <c r="E1028" t="s">
        <v>395</v>
      </c>
      <c r="F1028" s="174" t="n">
        <v>2050</v>
      </c>
      <c r="G1028" s="175" t="n">
        <v>56</v>
      </c>
      <c r="H1028" s="176" t="n">
        <v>12827.1284677938</v>
      </c>
      <c r="I1028" s="177" t="n">
        <v>4063182.01668765</v>
      </c>
      <c r="J1028" s="178" t="str">
        <f>IF(I1028&gt;0,H1028/I1028,0)</f>
      </c>
      <c r="K1028" s="179" t="str">
        <f>1-EXP(-J1028)</f>
      </c>
      <c r="L1028" s="180" t="str">
        <f>IF(G1028=30,1,M1027)</f>
      </c>
      <c r="M1028" s="181" t="str">
        <f>L1028*(1-K1028)</f>
      </c>
    </row>
    <row r="1029">
      <c r="A1029" t="s">
        <v>164</v>
      </c>
      <c r="B1029" t="s">
        <v>115</v>
      </c>
      <c r="C1029" s="32" t="s">
        <v>294</v>
      </c>
      <c r="D1029" t="s">
        <v>378</v>
      </c>
      <c r="E1029" t="s">
        <v>395</v>
      </c>
      <c r="F1029" s="174" t="n">
        <v>2050</v>
      </c>
      <c r="G1029" s="175" t="n">
        <v>57</v>
      </c>
      <c r="H1029" s="176" t="n">
        <v>13721.0940442193</v>
      </c>
      <c r="I1029" s="177" t="n">
        <v>3987263.38012751</v>
      </c>
      <c r="J1029" s="178" t="str">
        <f>IF(I1029&gt;0,H1029/I1029,0)</f>
      </c>
      <c r="K1029" s="179" t="str">
        <f>1-EXP(-J1029)</f>
      </c>
      <c r="L1029" s="180" t="str">
        <f>IF(G1029=30,1,M1028)</f>
      </c>
      <c r="M1029" s="181" t="str">
        <f>L1029*(1-K1029)</f>
      </c>
    </row>
    <row r="1030">
      <c r="A1030" t="s">
        <v>164</v>
      </c>
      <c r="B1030" t="s">
        <v>115</v>
      </c>
      <c r="C1030" s="32" t="s">
        <v>294</v>
      </c>
      <c r="D1030" t="s">
        <v>378</v>
      </c>
      <c r="E1030" t="s">
        <v>395</v>
      </c>
      <c r="F1030" s="174" t="n">
        <v>2050</v>
      </c>
      <c r="G1030" s="175" t="n">
        <v>58</v>
      </c>
      <c r="H1030" s="176" t="n">
        <v>14988.7455204342</v>
      </c>
      <c r="I1030" s="177" t="n">
        <v>3993792.87916258</v>
      </c>
      <c r="J1030" s="178" t="str">
        <f>IF(I1030&gt;0,H1030/I1030,0)</f>
      </c>
      <c r="K1030" s="179" t="str">
        <f>1-EXP(-J1030)</f>
      </c>
      <c r="L1030" s="180" t="str">
        <f>IF(G1030=30,1,M1029)</f>
      </c>
      <c r="M1030" s="181" t="str">
        <f>L1030*(1-K1030)</f>
      </c>
    </row>
    <row r="1031">
      <c r="A1031" t="s">
        <v>164</v>
      </c>
      <c r="B1031" t="s">
        <v>115</v>
      </c>
      <c r="C1031" s="32" t="s">
        <v>294</v>
      </c>
      <c r="D1031" t="s">
        <v>378</v>
      </c>
      <c r="E1031" t="s">
        <v>395</v>
      </c>
      <c r="F1031" s="174" t="n">
        <v>2050</v>
      </c>
      <c r="G1031" s="175" t="n">
        <v>59</v>
      </c>
      <c r="H1031" s="176" t="n">
        <v>16343.3656069883</v>
      </c>
      <c r="I1031" s="177" t="n">
        <v>3979017.15346905</v>
      </c>
      <c r="J1031" s="178" t="str">
        <f>IF(I1031&gt;0,H1031/I1031,0)</f>
      </c>
      <c r="K1031" s="179" t="str">
        <f>1-EXP(-J1031)</f>
      </c>
      <c r="L1031" s="180" t="str">
        <f>IF(G1031=30,1,M1030)</f>
      </c>
      <c r="M1031" s="181" t="str">
        <f>L1031*(1-K1031)</f>
      </c>
    </row>
    <row r="1032">
      <c r="A1032" t="s">
        <v>164</v>
      </c>
      <c r="B1032" t="s">
        <v>115</v>
      </c>
      <c r="C1032" s="32" t="s">
        <v>294</v>
      </c>
      <c r="D1032" t="s">
        <v>378</v>
      </c>
      <c r="E1032" t="s">
        <v>395</v>
      </c>
      <c r="F1032" s="174" t="n">
        <v>2050</v>
      </c>
      <c r="G1032" s="175" t="n">
        <v>60</v>
      </c>
      <c r="H1032" s="176" t="n">
        <v>23737.4334920355</v>
      </c>
      <c r="I1032" s="177" t="n">
        <v>5849822.89034783</v>
      </c>
      <c r="J1032" s="178" t="str">
        <f>IF(I1032&gt;0,H1032/I1032,0)</f>
      </c>
      <c r="K1032" s="179" t="str">
        <f>1-EXP(-J1032)</f>
      </c>
      <c r="L1032" s="180" t="str">
        <f>IF(G1032=30,1,M1031)</f>
      </c>
      <c r="M1032" s="181" t="str">
        <f>L1032*(1-K1032)</f>
      </c>
    </row>
    <row r="1033">
      <c r="A1033" t="s">
        <v>164</v>
      </c>
      <c r="B1033" t="s">
        <v>115</v>
      </c>
      <c r="C1033" s="32" t="s">
        <v>294</v>
      </c>
      <c r="D1033" t="s">
        <v>378</v>
      </c>
      <c r="E1033" t="s">
        <v>395</v>
      </c>
      <c r="F1033" s="174" t="n">
        <v>2050</v>
      </c>
      <c r="G1033" s="175" t="n">
        <v>61</v>
      </c>
      <c r="H1033" s="176" t="n">
        <v>18683.7027527119</v>
      </c>
      <c r="I1033" s="177" t="n">
        <v>3870632.28549723</v>
      </c>
      <c r="J1033" s="178" t="str">
        <f>IF(I1033&gt;0,H1033/I1033,0)</f>
      </c>
      <c r="K1033" s="179" t="str">
        <f>1-EXP(-J1033)</f>
      </c>
      <c r="L1033" s="180" t="str">
        <f>IF(G1033=30,1,M1032)</f>
      </c>
      <c r="M1033" s="181" t="str">
        <f>L1033*(1-K1033)</f>
      </c>
    </row>
    <row r="1034">
      <c r="A1034" t="s">
        <v>164</v>
      </c>
      <c r="B1034" t="s">
        <v>115</v>
      </c>
      <c r="C1034" s="32" t="s">
        <v>294</v>
      </c>
      <c r="D1034" t="s">
        <v>378</v>
      </c>
      <c r="E1034" t="s">
        <v>395</v>
      </c>
      <c r="F1034" s="174" t="n">
        <v>2050</v>
      </c>
      <c r="G1034" s="175" t="n">
        <v>62</v>
      </c>
      <c r="H1034" s="176" t="n">
        <v>20248.4247149967</v>
      </c>
      <c r="I1034" s="177" t="n">
        <v>3815547.58364039</v>
      </c>
      <c r="J1034" s="178" t="str">
        <f>IF(I1034&gt;0,H1034/I1034,0)</f>
      </c>
      <c r="K1034" s="179" t="str">
        <f>1-EXP(-J1034)</f>
      </c>
      <c r="L1034" s="180" t="str">
        <f>IF(G1034=30,1,M1033)</f>
      </c>
      <c r="M1034" s="181" t="str">
        <f>L1034*(1-K1034)</f>
      </c>
    </row>
    <row r="1035">
      <c r="A1035" t="s">
        <v>164</v>
      </c>
      <c r="B1035" t="s">
        <v>115</v>
      </c>
      <c r="C1035" s="32" t="s">
        <v>294</v>
      </c>
      <c r="D1035" t="s">
        <v>378</v>
      </c>
      <c r="E1035" t="s">
        <v>395</v>
      </c>
      <c r="F1035" s="174" t="n">
        <v>2050</v>
      </c>
      <c r="G1035" s="175" t="n">
        <v>63</v>
      </c>
      <c r="H1035" s="176" t="n">
        <v>21332.3472991541</v>
      </c>
      <c r="I1035" s="177" t="n">
        <v>3656062.75185228</v>
      </c>
      <c r="J1035" s="178" t="str">
        <f>IF(I1035&gt;0,H1035/I1035,0)</f>
      </c>
      <c r="K1035" s="179" t="str">
        <f>1-EXP(-J1035)</f>
      </c>
      <c r="L1035" s="180" t="str">
        <f>IF(G1035=30,1,M1034)</f>
      </c>
      <c r="M1035" s="181" t="str">
        <f>L1035*(1-K1035)</f>
      </c>
    </row>
    <row r="1036">
      <c r="A1036" t="s">
        <v>164</v>
      </c>
      <c r="B1036" t="s">
        <v>115</v>
      </c>
      <c r="C1036" s="32" t="s">
        <v>294</v>
      </c>
      <c r="D1036" t="s">
        <v>378</v>
      </c>
      <c r="E1036" t="s">
        <v>395</v>
      </c>
      <c r="F1036" s="174" t="n">
        <v>2050</v>
      </c>
      <c r="G1036" s="175" t="n">
        <v>64</v>
      </c>
      <c r="H1036" s="176" t="n">
        <v>22940.9955444787</v>
      </c>
      <c r="I1036" s="177" t="n">
        <v>3580029.42114178</v>
      </c>
      <c r="J1036" s="178" t="str">
        <f>IF(I1036&gt;0,H1036/I1036,0)</f>
      </c>
      <c r="K1036" s="179" t="str">
        <f>1-EXP(-J1036)</f>
      </c>
      <c r="L1036" s="180" t="str">
        <f>IF(G1036=30,1,M1035)</f>
      </c>
      <c r="M1036" s="181" t="str">
        <f>L1036*(1-K1036)</f>
      </c>
    </row>
    <row r="1037">
      <c r="A1037" t="s">
        <v>164</v>
      </c>
      <c r="B1037" t="s">
        <v>115</v>
      </c>
      <c r="C1037" s="32" t="s">
        <v>294</v>
      </c>
      <c r="D1037" t="s">
        <v>378</v>
      </c>
      <c r="E1037" t="s">
        <v>395</v>
      </c>
      <c r="F1037" s="174" t="n">
        <v>2050</v>
      </c>
      <c r="G1037" s="175" t="n">
        <v>65</v>
      </c>
      <c r="H1037" s="176" t="n">
        <v>23910.5135954143</v>
      </c>
      <c r="I1037" s="177" t="n">
        <v>3580304.03219773</v>
      </c>
      <c r="J1037" s="178" t="str">
        <f>IF(I1037&gt;0,H1037/I1037,0)</f>
      </c>
      <c r="K1037" s="179" t="str">
        <f>1-EXP(-J1037)</f>
      </c>
      <c r="L1037" s="180" t="str">
        <f>IF(G1037=30,1,M1036)</f>
      </c>
      <c r="M1037" s="181" t="str">
        <f>L1037*(1-K1037)</f>
      </c>
    </row>
    <row r="1038">
      <c r="A1038" t="s">
        <v>164</v>
      </c>
      <c r="B1038" t="s">
        <v>115</v>
      </c>
      <c r="C1038" s="32" t="s">
        <v>294</v>
      </c>
      <c r="D1038" t="s">
        <v>378</v>
      </c>
      <c r="E1038" t="s">
        <v>395</v>
      </c>
      <c r="F1038" s="174" t="n">
        <v>2050</v>
      </c>
      <c r="G1038" s="175" t="n">
        <v>66</v>
      </c>
      <c r="H1038" s="176" t="n">
        <v>26284.2802690574</v>
      </c>
      <c r="I1038" s="177" t="n">
        <v>3596574.59673219</v>
      </c>
      <c r="J1038" s="178" t="str">
        <f>IF(I1038&gt;0,H1038/I1038,0)</f>
      </c>
      <c r="K1038" s="179" t="str">
        <f>1-EXP(-J1038)</f>
      </c>
      <c r="L1038" s="180" t="str">
        <f>IF(G1038=30,1,M1037)</f>
      </c>
      <c r="M1038" s="181" t="str">
        <f>L1038*(1-K1038)</f>
      </c>
    </row>
    <row r="1039">
      <c r="A1039" t="s">
        <v>164</v>
      </c>
      <c r="B1039" t="s">
        <v>115</v>
      </c>
      <c r="C1039" s="32" t="s">
        <v>294</v>
      </c>
      <c r="D1039" t="s">
        <v>378</v>
      </c>
      <c r="E1039" t="s">
        <v>395</v>
      </c>
      <c r="F1039" s="174" t="n">
        <v>2050</v>
      </c>
      <c r="G1039" s="175" t="n">
        <v>67</v>
      </c>
      <c r="H1039" s="176" t="n">
        <v>28250.8125173103</v>
      </c>
      <c r="I1039" s="177" t="n">
        <v>3515771.59922681</v>
      </c>
      <c r="J1039" s="178" t="str">
        <f>IF(I1039&gt;0,H1039/I1039,0)</f>
      </c>
      <c r="K1039" s="179" t="str">
        <f>1-EXP(-J1039)</f>
      </c>
      <c r="L1039" s="180" t="str">
        <f>IF(G1039=30,1,M1038)</f>
      </c>
      <c r="M1039" s="181" t="str">
        <f>L1039*(1-K1039)</f>
      </c>
    </row>
    <row r="1040">
      <c r="A1040" t="s">
        <v>164</v>
      </c>
      <c r="B1040" t="s">
        <v>115</v>
      </c>
      <c r="C1040" s="32" t="s">
        <v>294</v>
      </c>
      <c r="D1040" t="s">
        <v>378</v>
      </c>
      <c r="E1040" t="s">
        <v>395</v>
      </c>
      <c r="F1040" s="174" t="n">
        <v>2050</v>
      </c>
      <c r="G1040" s="175" t="n">
        <v>68</v>
      </c>
      <c r="H1040" s="176" t="n">
        <v>29541.995202803</v>
      </c>
      <c r="I1040" s="177" t="n">
        <v>3339525.21909274</v>
      </c>
      <c r="J1040" s="178" t="str">
        <f>IF(I1040&gt;0,H1040/I1040,0)</f>
      </c>
      <c r="K1040" s="179" t="str">
        <f>1-EXP(-J1040)</f>
      </c>
      <c r="L1040" s="180" t="str">
        <f>IF(G1040=30,1,M1039)</f>
      </c>
      <c r="M1040" s="181" t="str">
        <f>L1040*(1-K1040)</f>
      </c>
    </row>
    <row r="1041">
      <c r="A1041" t="s">
        <v>164</v>
      </c>
      <c r="B1041" t="s">
        <v>115</v>
      </c>
      <c r="C1041" s="32" t="s">
        <v>294</v>
      </c>
      <c r="D1041" t="s">
        <v>378</v>
      </c>
      <c r="E1041" t="s">
        <v>395</v>
      </c>
      <c r="F1041" s="174" t="n">
        <v>2050</v>
      </c>
      <c r="G1041" s="175" t="n">
        <v>69</v>
      </c>
      <c r="H1041" s="176" t="n">
        <v>31289.5430942512</v>
      </c>
      <c r="I1041" s="177" t="n">
        <v>3212558.52322962</v>
      </c>
      <c r="J1041" s="178" t="str">
        <f>IF(I1041&gt;0,H1041/I1041,0)</f>
      </c>
      <c r="K1041" s="179" t="str">
        <f>1-EXP(-J1041)</f>
      </c>
      <c r="L1041" s="180" t="str">
        <f>IF(G1041=30,1,M1040)</f>
      </c>
      <c r="M1041" s="181" t="str">
        <f>L1041*(1-K1041)</f>
      </c>
    </row>
    <row r="1042">
      <c r="A1042" t="s">
        <v>164</v>
      </c>
      <c r="B1042" t="s">
        <v>112</v>
      </c>
      <c r="C1042" s="32" t="s">
        <v>297</v>
      </c>
      <c r="D1042" t="s">
        <v>112</v>
      </c>
      <c r="E1042" t="s">
        <v>395</v>
      </c>
      <c r="F1042" s="174" t="n">
        <v>2025</v>
      </c>
      <c r="G1042" s="175" t="n">
        <v>30</v>
      </c>
      <c r="H1042" s="176" t="n">
        <v>1282.1480800753</v>
      </c>
      <c r="I1042" s="177" t="n">
        <v>4467259.00744984</v>
      </c>
      <c r="J1042" s="178" t="str">
        <f>IF(I1042&gt;0,H1042/I1042,0)</f>
      </c>
      <c r="K1042" s="179" t="str">
        <f>1-EXP(-J1042)</f>
      </c>
      <c r="L1042" s="180" t="str">
        <f>IF(G1042=30,1,M1041)</f>
      </c>
      <c r="M1042" s="181" t="str">
        <f>L1042*(1-K1042)</f>
      </c>
    </row>
    <row r="1043">
      <c r="A1043" t="s">
        <v>164</v>
      </c>
      <c r="B1043" t="s">
        <v>112</v>
      </c>
      <c r="C1043" s="32" t="s">
        <v>297</v>
      </c>
      <c r="D1043" t="s">
        <v>112</v>
      </c>
      <c r="E1043" t="s">
        <v>395</v>
      </c>
      <c r="F1043" s="174" t="n">
        <v>2025</v>
      </c>
      <c r="G1043" s="175" t="n">
        <v>31</v>
      </c>
      <c r="H1043" s="176" t="n">
        <v>1315.23908698247</v>
      </c>
      <c r="I1043" s="177" t="n">
        <v>4410712.39044934</v>
      </c>
      <c r="J1043" s="178" t="str">
        <f>IF(I1043&gt;0,H1043/I1043,0)</f>
      </c>
      <c r="K1043" s="179" t="str">
        <f>1-EXP(-J1043)</f>
      </c>
      <c r="L1043" s="180" t="str">
        <f>IF(G1043=30,1,M1042)</f>
      </c>
      <c r="M1043" s="181" t="str">
        <f>L1043*(1-K1043)</f>
      </c>
    </row>
    <row r="1044">
      <c r="A1044" t="s">
        <v>164</v>
      </c>
      <c r="B1044" t="s">
        <v>112</v>
      </c>
      <c r="C1044" s="32" t="s">
        <v>297</v>
      </c>
      <c r="D1044" t="s">
        <v>112</v>
      </c>
      <c r="E1044" t="s">
        <v>395</v>
      </c>
      <c r="F1044" s="174" t="n">
        <v>2025</v>
      </c>
      <c r="G1044" s="175" t="n">
        <v>32</v>
      </c>
      <c r="H1044" s="176" t="n">
        <v>1358.36874107966</v>
      </c>
      <c r="I1044" s="177" t="n">
        <v>4358505.80076359</v>
      </c>
      <c r="J1044" s="178" t="str">
        <f>IF(I1044&gt;0,H1044/I1044,0)</f>
      </c>
      <c r="K1044" s="179" t="str">
        <f>1-EXP(-J1044)</f>
      </c>
      <c r="L1044" s="180" t="str">
        <f>IF(G1044=30,1,M1043)</f>
      </c>
      <c r="M1044" s="181" t="str">
        <f>L1044*(1-K1044)</f>
      </c>
    </row>
    <row r="1045">
      <c r="A1045" t="s">
        <v>164</v>
      </c>
      <c r="B1045" t="s">
        <v>112</v>
      </c>
      <c r="C1045" s="32" t="s">
        <v>297</v>
      </c>
      <c r="D1045" t="s">
        <v>112</v>
      </c>
      <c r="E1045" t="s">
        <v>395</v>
      </c>
      <c r="F1045" s="174" t="n">
        <v>2025</v>
      </c>
      <c r="G1045" s="175" t="n">
        <v>33</v>
      </c>
      <c r="H1045" s="176" t="n">
        <v>1441.84186563354</v>
      </c>
      <c r="I1045" s="177" t="n">
        <v>4398745.92791286</v>
      </c>
      <c r="J1045" s="178" t="str">
        <f>IF(I1045&gt;0,H1045/I1045,0)</f>
      </c>
      <c r="K1045" s="179" t="str">
        <f>1-EXP(-J1045)</f>
      </c>
      <c r="L1045" s="180" t="str">
        <f>IF(G1045=30,1,M1044)</f>
      </c>
      <c r="M1045" s="181" t="str">
        <f>L1045*(1-K1045)</f>
      </c>
    </row>
    <row r="1046">
      <c r="A1046" t="s">
        <v>164</v>
      </c>
      <c r="B1046" t="s">
        <v>112</v>
      </c>
      <c r="C1046" s="32" t="s">
        <v>297</v>
      </c>
      <c r="D1046" t="s">
        <v>112</v>
      </c>
      <c r="E1046" t="s">
        <v>395</v>
      </c>
      <c r="F1046" s="174" t="n">
        <v>2025</v>
      </c>
      <c r="G1046" s="175" t="n">
        <v>34</v>
      </c>
      <c r="H1046" s="176" t="n">
        <v>1533.78714702233</v>
      </c>
      <c r="I1046" s="177" t="n">
        <v>4419468.58899599</v>
      </c>
      <c r="J1046" s="178" t="str">
        <f>IF(I1046&gt;0,H1046/I1046,0)</f>
      </c>
      <c r="K1046" s="179" t="str">
        <f>1-EXP(-J1046)</f>
      </c>
      <c r="L1046" s="180" t="str">
        <f>IF(G1046=30,1,M1045)</f>
      </c>
      <c r="M1046" s="181" t="str">
        <f>L1046*(1-K1046)</f>
      </c>
    </row>
    <row r="1047">
      <c r="A1047" t="s">
        <v>164</v>
      </c>
      <c r="B1047" t="s">
        <v>112</v>
      </c>
      <c r="C1047" s="32" t="s">
        <v>297</v>
      </c>
      <c r="D1047" t="s">
        <v>112</v>
      </c>
      <c r="E1047" t="s">
        <v>395</v>
      </c>
      <c r="F1047" s="174" t="n">
        <v>2025</v>
      </c>
      <c r="G1047" s="175" t="n">
        <v>35</v>
      </c>
      <c r="H1047" s="176" t="n">
        <v>3016.10693161696</v>
      </c>
      <c r="I1047" s="177" t="n">
        <v>6509663.36688188</v>
      </c>
      <c r="J1047" s="178" t="str">
        <f>IF(I1047&gt;0,H1047/I1047,0)</f>
      </c>
      <c r="K1047" s="179" t="str">
        <f>1-EXP(-J1047)</f>
      </c>
      <c r="L1047" s="180" t="str">
        <f>IF(G1047=30,1,M1046)</f>
      </c>
      <c r="M1047" s="181" t="str">
        <f>L1047*(1-K1047)</f>
      </c>
    </row>
    <row r="1048">
      <c r="A1048" t="s">
        <v>164</v>
      </c>
      <c r="B1048" t="s">
        <v>112</v>
      </c>
      <c r="C1048" s="32" t="s">
        <v>297</v>
      </c>
      <c r="D1048" t="s">
        <v>112</v>
      </c>
      <c r="E1048" t="s">
        <v>395</v>
      </c>
      <c r="F1048" s="174" t="n">
        <v>2025</v>
      </c>
      <c r="G1048" s="175" t="n">
        <v>36</v>
      </c>
      <c r="H1048" s="176" t="n">
        <v>2254.70933318993</v>
      </c>
      <c r="I1048" s="177" t="n">
        <v>4383096.00549538</v>
      </c>
      <c r="J1048" s="178" t="str">
        <f>IF(I1048&gt;0,H1048/I1048,0)</f>
      </c>
      <c r="K1048" s="179" t="str">
        <f>1-EXP(-J1048)</f>
      </c>
      <c r="L1048" s="180" t="str">
        <f>IF(G1048=30,1,M1047)</f>
      </c>
      <c r="M1048" s="181" t="str">
        <f>L1048*(1-K1048)</f>
      </c>
    </row>
    <row r="1049">
      <c r="A1049" t="s">
        <v>164</v>
      </c>
      <c r="B1049" t="s">
        <v>112</v>
      </c>
      <c r="C1049" s="32" t="s">
        <v>297</v>
      </c>
      <c r="D1049" t="s">
        <v>112</v>
      </c>
      <c r="E1049" t="s">
        <v>395</v>
      </c>
      <c r="F1049" s="174" t="n">
        <v>2025</v>
      </c>
      <c r="G1049" s="175" t="n">
        <v>37</v>
      </c>
      <c r="H1049" s="176" t="n">
        <v>2406.72848505595</v>
      </c>
      <c r="I1049" s="177" t="n">
        <v>4369642.29305489</v>
      </c>
      <c r="J1049" s="178" t="str">
        <f>IF(I1049&gt;0,H1049/I1049,0)</f>
      </c>
      <c r="K1049" s="179" t="str">
        <f>1-EXP(-J1049)</f>
      </c>
      <c r="L1049" s="180" t="str">
        <f>IF(G1049=30,1,M1048)</f>
      </c>
      <c r="M1049" s="181" t="str">
        <f>L1049*(1-K1049)</f>
      </c>
    </row>
    <row r="1050">
      <c r="A1050" t="s">
        <v>164</v>
      </c>
      <c r="B1050" t="s">
        <v>112</v>
      </c>
      <c r="C1050" s="32" t="s">
        <v>297</v>
      </c>
      <c r="D1050" t="s">
        <v>112</v>
      </c>
      <c r="E1050" t="s">
        <v>395</v>
      </c>
      <c r="F1050" s="174" t="n">
        <v>2025</v>
      </c>
      <c r="G1050" s="175" t="n">
        <v>38</v>
      </c>
      <c r="H1050" s="176" t="n">
        <v>2504.26492550027</v>
      </c>
      <c r="I1050" s="177" t="n">
        <v>4239505.8530855</v>
      </c>
      <c r="J1050" s="178" t="str">
        <f>IF(I1050&gt;0,H1050/I1050,0)</f>
      </c>
      <c r="K1050" s="179" t="str">
        <f>1-EXP(-J1050)</f>
      </c>
      <c r="L1050" s="180" t="str">
        <f>IF(G1050=30,1,M1049)</f>
      </c>
      <c r="M1050" s="181" t="str">
        <f>L1050*(1-K1050)</f>
      </c>
    </row>
    <row r="1051">
      <c r="A1051" t="s">
        <v>164</v>
      </c>
      <c r="B1051" t="s">
        <v>112</v>
      </c>
      <c r="C1051" s="32" t="s">
        <v>297</v>
      </c>
      <c r="D1051" t="s">
        <v>112</v>
      </c>
      <c r="E1051" t="s">
        <v>395</v>
      </c>
      <c r="F1051" s="174" t="n">
        <v>2025</v>
      </c>
      <c r="G1051" s="175" t="n">
        <v>39</v>
      </c>
      <c r="H1051" s="176" t="n">
        <v>2668.85044983616</v>
      </c>
      <c r="I1051" s="177" t="n">
        <v>4208510.72085438</v>
      </c>
      <c r="J1051" s="178" t="str">
        <f>IF(I1051&gt;0,H1051/I1051,0)</f>
      </c>
      <c r="K1051" s="179" t="str">
        <f>1-EXP(-J1051)</f>
      </c>
      <c r="L1051" s="180" t="str">
        <f>IF(G1051=30,1,M1050)</f>
      </c>
      <c r="M1051" s="181" t="str">
        <f>L1051*(1-K1051)</f>
      </c>
    </row>
    <row r="1052">
      <c r="A1052" t="s">
        <v>164</v>
      </c>
      <c r="B1052" t="s">
        <v>112</v>
      </c>
      <c r="C1052" s="32" t="s">
        <v>297</v>
      </c>
      <c r="D1052" t="s">
        <v>112</v>
      </c>
      <c r="E1052" t="s">
        <v>395</v>
      </c>
      <c r="F1052" s="174" t="n">
        <v>2025</v>
      </c>
      <c r="G1052" s="175" t="n">
        <v>40</v>
      </c>
      <c r="H1052" s="176" t="n">
        <v>3657.34535610758</v>
      </c>
      <c r="I1052" s="177" t="n">
        <v>4272859.94162918</v>
      </c>
      <c r="J1052" s="178" t="str">
        <f>IF(I1052&gt;0,H1052/I1052,0)</f>
      </c>
      <c r="K1052" s="179" t="str">
        <f>1-EXP(-J1052)</f>
      </c>
      <c r="L1052" s="180" t="str">
        <f>IF(G1052=30,1,M1051)</f>
      </c>
      <c r="M1052" s="181" t="str">
        <f>L1052*(1-K1052)</f>
      </c>
    </row>
    <row r="1053">
      <c r="A1053" t="s">
        <v>164</v>
      </c>
      <c r="B1053" t="s">
        <v>112</v>
      </c>
      <c r="C1053" s="32" t="s">
        <v>297</v>
      </c>
      <c r="D1053" t="s">
        <v>112</v>
      </c>
      <c r="E1053" t="s">
        <v>395</v>
      </c>
      <c r="F1053" s="174" t="n">
        <v>2025</v>
      </c>
      <c r="G1053" s="175" t="n">
        <v>41</v>
      </c>
      <c r="H1053" s="176" t="n">
        <v>4027.1376792173</v>
      </c>
      <c r="I1053" s="177" t="n">
        <v>4362484.66303299</v>
      </c>
      <c r="J1053" s="178" t="str">
        <f>IF(I1053&gt;0,H1053/I1053,0)</f>
      </c>
      <c r="K1053" s="179" t="str">
        <f>1-EXP(-J1053)</f>
      </c>
      <c r="L1053" s="180" t="str">
        <f>IF(G1053=30,1,M1052)</f>
      </c>
      <c r="M1053" s="181" t="str">
        <f>L1053*(1-K1053)</f>
      </c>
    </row>
    <row r="1054">
      <c r="A1054" t="s">
        <v>164</v>
      </c>
      <c r="B1054" t="s">
        <v>112</v>
      </c>
      <c r="C1054" s="32" t="s">
        <v>297</v>
      </c>
      <c r="D1054" t="s">
        <v>112</v>
      </c>
      <c r="E1054" t="s">
        <v>395</v>
      </c>
      <c r="F1054" s="174" t="n">
        <v>2025</v>
      </c>
      <c r="G1054" s="175" t="n">
        <v>42</v>
      </c>
      <c r="H1054" s="176" t="n">
        <v>4338.5011085091</v>
      </c>
      <c r="I1054" s="177" t="n">
        <v>4343004.76876643</v>
      </c>
      <c r="J1054" s="178" t="str">
        <f>IF(I1054&gt;0,H1054/I1054,0)</f>
      </c>
      <c r="K1054" s="179" t="str">
        <f>1-EXP(-J1054)</f>
      </c>
      <c r="L1054" s="180" t="str">
        <f>IF(G1054=30,1,M1053)</f>
      </c>
      <c r="M1054" s="181" t="str">
        <f>L1054*(1-K1054)</f>
      </c>
    </row>
    <row r="1055">
      <c r="A1055" t="s">
        <v>164</v>
      </c>
      <c r="B1055" t="s">
        <v>112</v>
      </c>
      <c r="C1055" s="32" t="s">
        <v>297</v>
      </c>
      <c r="D1055" t="s">
        <v>112</v>
      </c>
      <c r="E1055" t="s">
        <v>395</v>
      </c>
      <c r="F1055" s="174" t="n">
        <v>2025</v>
      </c>
      <c r="G1055" s="175" t="n">
        <v>43</v>
      </c>
      <c r="H1055" s="176" t="n">
        <v>4570.23561452699</v>
      </c>
      <c r="I1055" s="177" t="n">
        <v>4209764.82229798</v>
      </c>
      <c r="J1055" s="178" t="str">
        <f>IF(I1055&gt;0,H1055/I1055,0)</f>
      </c>
      <c r="K1055" s="179" t="str">
        <f>1-EXP(-J1055)</f>
      </c>
      <c r="L1055" s="180" t="str">
        <f>IF(G1055=30,1,M1054)</f>
      </c>
      <c r="M1055" s="181" t="str">
        <f>L1055*(1-K1055)</f>
      </c>
    </row>
    <row r="1056">
      <c r="A1056" t="s">
        <v>164</v>
      </c>
      <c r="B1056" t="s">
        <v>112</v>
      </c>
      <c r="C1056" s="32" t="s">
        <v>297</v>
      </c>
      <c r="D1056" t="s">
        <v>112</v>
      </c>
      <c r="E1056" t="s">
        <v>395</v>
      </c>
      <c r="F1056" s="174" t="n">
        <v>2025</v>
      </c>
      <c r="G1056" s="175" t="n">
        <v>44</v>
      </c>
      <c r="H1056" s="176" t="n">
        <v>4899.11975851415</v>
      </c>
      <c r="I1056" s="177" t="n">
        <v>4140245.42433907</v>
      </c>
      <c r="J1056" s="178" t="str">
        <f>IF(I1056&gt;0,H1056/I1056,0)</f>
      </c>
      <c r="K1056" s="179" t="str">
        <f>1-EXP(-J1056)</f>
      </c>
      <c r="L1056" s="180" t="str">
        <f>IF(G1056=30,1,M1055)</f>
      </c>
      <c r="M1056" s="181" t="str">
        <f>L1056*(1-K1056)</f>
      </c>
    </row>
    <row r="1057">
      <c r="A1057" t="s">
        <v>164</v>
      </c>
      <c r="B1057" t="s">
        <v>112</v>
      </c>
      <c r="C1057" s="32" t="s">
        <v>297</v>
      </c>
      <c r="D1057" t="s">
        <v>112</v>
      </c>
      <c r="E1057" t="s">
        <v>395</v>
      </c>
      <c r="F1057" s="174" t="n">
        <v>2025</v>
      </c>
      <c r="G1057" s="175" t="n">
        <v>45</v>
      </c>
      <c r="H1057" s="176" t="n">
        <v>6269.58995124247</v>
      </c>
      <c r="I1057" s="177" t="n">
        <v>4087263.42645959</v>
      </c>
      <c r="J1057" s="178" t="str">
        <f>IF(I1057&gt;0,H1057/I1057,0)</f>
      </c>
      <c r="K1057" s="179" t="str">
        <f>1-EXP(-J1057)</f>
      </c>
      <c r="L1057" s="180" t="str">
        <f>IF(G1057=30,1,M1056)</f>
      </c>
      <c r="M1057" s="181" t="str">
        <f>L1057*(1-K1057)</f>
      </c>
    </row>
    <row r="1058">
      <c r="A1058" t="s">
        <v>164</v>
      </c>
      <c r="B1058" t="s">
        <v>112</v>
      </c>
      <c r="C1058" s="32" t="s">
        <v>297</v>
      </c>
      <c r="D1058" t="s">
        <v>112</v>
      </c>
      <c r="E1058" t="s">
        <v>395</v>
      </c>
      <c r="F1058" s="174" t="n">
        <v>2025</v>
      </c>
      <c r="G1058" s="175" t="n">
        <v>46</v>
      </c>
      <c r="H1058" s="176" t="n">
        <v>6759.61099672681</v>
      </c>
      <c r="I1058" s="177" t="n">
        <v>4028051.8565677</v>
      </c>
      <c r="J1058" s="178" t="str">
        <f>IF(I1058&gt;0,H1058/I1058,0)</f>
      </c>
      <c r="K1058" s="179" t="str">
        <f>1-EXP(-J1058)</f>
      </c>
      <c r="L1058" s="180" t="str">
        <f>IF(G1058=30,1,M1057)</f>
      </c>
      <c r="M1058" s="181" t="str">
        <f>L1058*(1-K1058)</f>
      </c>
    </row>
    <row r="1059">
      <c r="A1059" t="s">
        <v>164</v>
      </c>
      <c r="B1059" t="s">
        <v>112</v>
      </c>
      <c r="C1059" s="32" t="s">
        <v>297</v>
      </c>
      <c r="D1059" t="s">
        <v>112</v>
      </c>
      <c r="E1059" t="s">
        <v>395</v>
      </c>
      <c r="F1059" s="174" t="n">
        <v>2025</v>
      </c>
      <c r="G1059" s="175" t="n">
        <v>47</v>
      </c>
      <c r="H1059" s="176" t="n">
        <v>7252.18511271874</v>
      </c>
      <c r="I1059" s="177" t="n">
        <v>3950277.12889061</v>
      </c>
      <c r="J1059" s="178" t="str">
        <f>IF(I1059&gt;0,H1059/I1059,0)</f>
      </c>
      <c r="K1059" s="179" t="str">
        <f>1-EXP(-J1059)</f>
      </c>
      <c r="L1059" s="180" t="str">
        <f>IF(G1059=30,1,M1058)</f>
      </c>
      <c r="M1059" s="181" t="str">
        <f>L1059*(1-K1059)</f>
      </c>
    </row>
    <row r="1060">
      <c r="A1060" t="s">
        <v>164</v>
      </c>
      <c r="B1060" t="s">
        <v>112</v>
      </c>
      <c r="C1060" s="32" t="s">
        <v>297</v>
      </c>
      <c r="D1060" t="s">
        <v>112</v>
      </c>
      <c r="E1060" t="s">
        <v>395</v>
      </c>
      <c r="F1060" s="174" t="n">
        <v>2025</v>
      </c>
      <c r="G1060" s="175" t="n">
        <v>48</v>
      </c>
      <c r="H1060" s="176" t="n">
        <v>7813.40832117217</v>
      </c>
      <c r="I1060" s="177" t="n">
        <v>3890339.92856643</v>
      </c>
      <c r="J1060" s="178" t="str">
        <f>IF(I1060&gt;0,H1060/I1060,0)</f>
      </c>
      <c r="K1060" s="179" t="str">
        <f>1-EXP(-J1060)</f>
      </c>
      <c r="L1060" s="180" t="str">
        <f>IF(G1060=30,1,M1059)</f>
      </c>
      <c r="M1060" s="181" t="str">
        <f>L1060*(1-K1060)</f>
      </c>
    </row>
    <row r="1061">
      <c r="A1061" t="s">
        <v>164</v>
      </c>
      <c r="B1061" t="s">
        <v>112</v>
      </c>
      <c r="C1061" s="32" t="s">
        <v>297</v>
      </c>
      <c r="D1061" t="s">
        <v>112</v>
      </c>
      <c r="E1061" t="s">
        <v>395</v>
      </c>
      <c r="F1061" s="174" t="n">
        <v>2025</v>
      </c>
      <c r="G1061" s="175" t="n">
        <v>49</v>
      </c>
      <c r="H1061" s="176" t="n">
        <v>8372.78717400613</v>
      </c>
      <c r="I1061" s="177" t="n">
        <v>3818493.26996543</v>
      </c>
      <c r="J1061" s="178" t="str">
        <f>IF(I1061&gt;0,H1061/I1061,0)</f>
      </c>
      <c r="K1061" s="179" t="str">
        <f>1-EXP(-J1061)</f>
      </c>
      <c r="L1061" s="180" t="str">
        <f>IF(G1061=30,1,M1060)</f>
      </c>
      <c r="M1061" s="181" t="str">
        <f>L1061*(1-K1061)</f>
      </c>
    </row>
    <row r="1062">
      <c r="A1062" t="s">
        <v>164</v>
      </c>
      <c r="B1062" t="s">
        <v>112</v>
      </c>
      <c r="C1062" s="32" t="s">
        <v>297</v>
      </c>
      <c r="D1062" t="s">
        <v>112</v>
      </c>
      <c r="E1062" t="s">
        <v>395</v>
      </c>
      <c r="F1062" s="174" t="n">
        <v>2025</v>
      </c>
      <c r="G1062" s="175" t="n">
        <v>50</v>
      </c>
      <c r="H1062" s="176" t="n">
        <v>9615.55870918642</v>
      </c>
      <c r="I1062" s="177" t="n">
        <v>3746208.3894556</v>
      </c>
      <c r="J1062" s="178" t="str">
        <f>IF(I1062&gt;0,H1062/I1062,0)</f>
      </c>
      <c r="K1062" s="179" t="str">
        <f>1-EXP(-J1062)</f>
      </c>
      <c r="L1062" s="180" t="str">
        <f>IF(G1062=30,1,M1061)</f>
      </c>
      <c r="M1062" s="181" t="str">
        <f>L1062*(1-K1062)</f>
      </c>
    </row>
    <row r="1063">
      <c r="A1063" t="s">
        <v>164</v>
      </c>
      <c r="B1063" t="s">
        <v>112</v>
      </c>
      <c r="C1063" s="32" t="s">
        <v>297</v>
      </c>
      <c r="D1063" t="s">
        <v>112</v>
      </c>
      <c r="E1063" t="s">
        <v>395</v>
      </c>
      <c r="F1063" s="174" t="n">
        <v>2025</v>
      </c>
      <c r="G1063" s="175" t="n">
        <v>51</v>
      </c>
      <c r="H1063" s="176" t="n">
        <v>10197.7741864065</v>
      </c>
      <c r="I1063" s="177" t="n">
        <v>3645044.21523223</v>
      </c>
      <c r="J1063" s="178" t="str">
        <f>IF(I1063&gt;0,H1063/I1063,0)</f>
      </c>
      <c r="K1063" s="179" t="str">
        <f>1-EXP(-J1063)</f>
      </c>
      <c r="L1063" s="180" t="str">
        <f>IF(G1063=30,1,M1062)</f>
      </c>
      <c r="M1063" s="181" t="str">
        <f>L1063*(1-K1063)</f>
      </c>
    </row>
    <row r="1064">
      <c r="A1064" t="s">
        <v>164</v>
      </c>
      <c r="B1064" t="s">
        <v>112</v>
      </c>
      <c r="C1064" s="32" t="s">
        <v>297</v>
      </c>
      <c r="D1064" t="s">
        <v>112</v>
      </c>
      <c r="E1064" t="s">
        <v>395</v>
      </c>
      <c r="F1064" s="174" t="n">
        <v>2025</v>
      </c>
      <c r="G1064" s="175" t="n">
        <v>52</v>
      </c>
      <c r="H1064" s="176" t="n">
        <v>10999.1856381924</v>
      </c>
      <c r="I1064" s="177" t="n">
        <v>3606935.96429087</v>
      </c>
      <c r="J1064" s="178" t="str">
        <f>IF(I1064&gt;0,H1064/I1064,0)</f>
      </c>
      <c r="K1064" s="179" t="str">
        <f>1-EXP(-J1064)</f>
      </c>
      <c r="L1064" s="180" t="str">
        <f>IF(G1064=30,1,M1063)</f>
      </c>
      <c r="M1064" s="181" t="str">
        <f>L1064*(1-K1064)</f>
      </c>
    </row>
    <row r="1065">
      <c r="A1065" t="s">
        <v>164</v>
      </c>
      <c r="B1065" t="s">
        <v>112</v>
      </c>
      <c r="C1065" s="32" t="s">
        <v>297</v>
      </c>
      <c r="D1065" t="s">
        <v>112</v>
      </c>
      <c r="E1065" t="s">
        <v>395</v>
      </c>
      <c r="F1065" s="174" t="n">
        <v>2025</v>
      </c>
      <c r="G1065" s="175" t="n">
        <v>53</v>
      </c>
      <c r="H1065" s="176" t="n">
        <v>11320.211791169</v>
      </c>
      <c r="I1065" s="177" t="n">
        <v>3400438.09374049</v>
      </c>
      <c r="J1065" s="178" t="str">
        <f>IF(I1065&gt;0,H1065/I1065,0)</f>
      </c>
      <c r="K1065" s="179" t="str">
        <f>1-EXP(-J1065)</f>
      </c>
      <c r="L1065" s="180" t="str">
        <f>IF(G1065=30,1,M1064)</f>
      </c>
      <c r="M1065" s="181" t="str">
        <f>L1065*(1-K1065)</f>
      </c>
    </row>
    <row r="1066">
      <c r="A1066" t="s">
        <v>164</v>
      </c>
      <c r="B1066" t="s">
        <v>112</v>
      </c>
      <c r="C1066" s="32" t="s">
        <v>297</v>
      </c>
      <c r="D1066" t="s">
        <v>112</v>
      </c>
      <c r="E1066" t="s">
        <v>395</v>
      </c>
      <c r="F1066" s="174" t="n">
        <v>2025</v>
      </c>
      <c r="G1066" s="175" t="n">
        <v>54</v>
      </c>
      <c r="H1066" s="176" t="n">
        <v>12058.0132264927</v>
      </c>
      <c r="I1066" s="177" t="n">
        <v>3319306.02358973</v>
      </c>
      <c r="J1066" s="178" t="str">
        <f>IF(I1066&gt;0,H1066/I1066,0)</f>
      </c>
      <c r="K1066" s="179" t="str">
        <f>1-EXP(-J1066)</f>
      </c>
      <c r="L1066" s="180" t="str">
        <f>IF(G1066=30,1,M1065)</f>
      </c>
      <c r="M1066" s="181" t="str">
        <f>L1066*(1-K1066)</f>
      </c>
    </row>
    <row r="1067">
      <c r="A1067" t="s">
        <v>164</v>
      </c>
      <c r="B1067" t="s">
        <v>112</v>
      </c>
      <c r="C1067" s="32" t="s">
        <v>297</v>
      </c>
      <c r="D1067" t="s">
        <v>112</v>
      </c>
      <c r="E1067" t="s">
        <v>395</v>
      </c>
      <c r="F1067" s="174" t="n">
        <v>2025</v>
      </c>
      <c r="G1067" s="175" t="n">
        <v>55</v>
      </c>
      <c r="H1067" s="176" t="n">
        <v>13121.8630224673</v>
      </c>
      <c r="I1067" s="177" t="n">
        <v>3243129.61757841</v>
      </c>
      <c r="J1067" s="178" t="str">
        <f>IF(I1067&gt;0,H1067/I1067,0)</f>
      </c>
      <c r="K1067" s="179" t="str">
        <f>1-EXP(-J1067)</f>
      </c>
      <c r="L1067" s="180" t="str">
        <f>IF(G1067=30,1,M1066)</f>
      </c>
      <c r="M1067" s="181" t="str">
        <f>L1067*(1-K1067)</f>
      </c>
    </row>
    <row r="1068">
      <c r="A1068" t="s">
        <v>164</v>
      </c>
      <c r="B1068" t="s">
        <v>112</v>
      </c>
      <c r="C1068" s="32" t="s">
        <v>297</v>
      </c>
      <c r="D1068" t="s">
        <v>112</v>
      </c>
      <c r="E1068" t="s">
        <v>395</v>
      </c>
      <c r="F1068" s="174" t="n">
        <v>2025</v>
      </c>
      <c r="G1068" s="175" t="n">
        <v>56</v>
      </c>
      <c r="H1068" s="176" t="n">
        <v>13949.400946191</v>
      </c>
      <c r="I1068" s="177" t="n">
        <v>3157182.63240391</v>
      </c>
      <c r="J1068" s="178" t="str">
        <f>IF(I1068&gt;0,H1068/I1068,0)</f>
      </c>
      <c r="K1068" s="179" t="str">
        <f>1-EXP(-J1068)</f>
      </c>
      <c r="L1068" s="180" t="str">
        <f>IF(G1068=30,1,M1067)</f>
      </c>
      <c r="M1068" s="181" t="str">
        <f>L1068*(1-K1068)</f>
      </c>
    </row>
    <row r="1069">
      <c r="A1069" t="s">
        <v>164</v>
      </c>
      <c r="B1069" t="s">
        <v>112</v>
      </c>
      <c r="C1069" s="32" t="s">
        <v>297</v>
      </c>
      <c r="D1069" t="s">
        <v>112</v>
      </c>
      <c r="E1069" t="s">
        <v>395</v>
      </c>
      <c r="F1069" s="174" t="n">
        <v>2025</v>
      </c>
      <c r="G1069" s="175" t="n">
        <v>57</v>
      </c>
      <c r="H1069" s="176" t="n">
        <v>14724.9347216005</v>
      </c>
      <c r="I1069" s="177" t="n">
        <v>3051443.9184786</v>
      </c>
      <c r="J1069" s="178" t="str">
        <f>IF(I1069&gt;0,H1069/I1069,0)</f>
      </c>
      <c r="K1069" s="179" t="str">
        <f>1-EXP(-J1069)</f>
      </c>
      <c r="L1069" s="180" t="str">
        <f>IF(G1069=30,1,M1068)</f>
      </c>
      <c r="M1069" s="181" t="str">
        <f>L1069*(1-K1069)</f>
      </c>
    </row>
    <row r="1070">
      <c r="A1070" t="s">
        <v>164</v>
      </c>
      <c r="B1070" t="s">
        <v>112</v>
      </c>
      <c r="C1070" s="32" t="s">
        <v>297</v>
      </c>
      <c r="D1070" t="s">
        <v>112</v>
      </c>
      <c r="E1070" t="s">
        <v>395</v>
      </c>
      <c r="F1070" s="174" t="n">
        <v>2025</v>
      </c>
      <c r="G1070" s="175" t="n">
        <v>58</v>
      </c>
      <c r="H1070" s="176" t="n">
        <v>15371.2074623554</v>
      </c>
      <c r="I1070" s="177" t="n">
        <v>2913456.20780408</v>
      </c>
      <c r="J1070" s="178" t="str">
        <f>IF(I1070&gt;0,H1070/I1070,0)</f>
      </c>
      <c r="K1070" s="179" t="str">
        <f>1-EXP(-J1070)</f>
      </c>
      <c r="L1070" s="180" t="str">
        <f>IF(G1070=30,1,M1069)</f>
      </c>
      <c r="M1070" s="181" t="str">
        <f>L1070*(1-K1070)</f>
      </c>
    </row>
    <row r="1071">
      <c r="A1071" t="s">
        <v>164</v>
      </c>
      <c r="B1071" t="s">
        <v>112</v>
      </c>
      <c r="C1071" s="32" t="s">
        <v>297</v>
      </c>
      <c r="D1071" t="s">
        <v>112</v>
      </c>
      <c r="E1071" t="s">
        <v>395</v>
      </c>
      <c r="F1071" s="174" t="n">
        <v>2025</v>
      </c>
      <c r="G1071" s="175" t="n">
        <v>59</v>
      </c>
      <c r="H1071" s="176" t="n">
        <v>16213.810962571</v>
      </c>
      <c r="I1071" s="177" t="n">
        <v>2813535.58615437</v>
      </c>
      <c r="J1071" s="178" t="str">
        <f>IF(I1071&gt;0,H1071/I1071,0)</f>
      </c>
      <c r="K1071" s="179" t="str">
        <f>1-EXP(-J1071)</f>
      </c>
      <c r="L1071" s="180" t="str">
        <f>IF(G1071=30,1,M1070)</f>
      </c>
      <c r="M1071" s="181" t="str">
        <f>L1071*(1-K1071)</f>
      </c>
    </row>
    <row r="1072">
      <c r="A1072" t="s">
        <v>164</v>
      </c>
      <c r="B1072" t="s">
        <v>112</v>
      </c>
      <c r="C1072" s="32" t="s">
        <v>297</v>
      </c>
      <c r="D1072" t="s">
        <v>112</v>
      </c>
      <c r="E1072" t="s">
        <v>395</v>
      </c>
      <c r="F1072" s="174" t="n">
        <v>2025</v>
      </c>
      <c r="G1072" s="175" t="n">
        <v>60</v>
      </c>
      <c r="H1072" s="176" t="n">
        <v>17442.466213005</v>
      </c>
      <c r="I1072" s="177" t="n">
        <v>2691047.17153736</v>
      </c>
      <c r="J1072" s="178" t="str">
        <f>IF(I1072&gt;0,H1072/I1072,0)</f>
      </c>
      <c r="K1072" s="179" t="str">
        <f>1-EXP(-J1072)</f>
      </c>
      <c r="L1072" s="180" t="str">
        <f>IF(G1072=30,1,M1071)</f>
      </c>
      <c r="M1072" s="181" t="str">
        <f>L1072*(1-K1072)</f>
      </c>
    </row>
    <row r="1073">
      <c r="A1073" t="s">
        <v>164</v>
      </c>
      <c r="B1073" t="s">
        <v>112</v>
      </c>
      <c r="C1073" s="32" t="s">
        <v>297</v>
      </c>
      <c r="D1073" t="s">
        <v>112</v>
      </c>
      <c r="E1073" t="s">
        <v>395</v>
      </c>
      <c r="F1073" s="174" t="n">
        <v>2025</v>
      </c>
      <c r="G1073" s="175" t="n">
        <v>61</v>
      </c>
      <c r="H1073" s="176" t="n">
        <v>18185.5962140586</v>
      </c>
      <c r="I1073" s="177" t="n">
        <v>2568096.94973173</v>
      </c>
      <c r="J1073" s="178" t="str">
        <f>IF(I1073&gt;0,H1073/I1073,0)</f>
      </c>
      <c r="K1073" s="179" t="str">
        <f>1-EXP(-J1073)</f>
      </c>
      <c r="L1073" s="180" t="str">
        <f>IF(G1073=30,1,M1072)</f>
      </c>
      <c r="M1073" s="181" t="str">
        <f>L1073*(1-K1073)</f>
      </c>
    </row>
    <row r="1074">
      <c r="A1074" t="s">
        <v>164</v>
      </c>
      <c r="B1074" t="s">
        <v>112</v>
      </c>
      <c r="C1074" s="32" t="s">
        <v>297</v>
      </c>
      <c r="D1074" t="s">
        <v>112</v>
      </c>
      <c r="E1074" t="s">
        <v>395</v>
      </c>
      <c r="F1074" s="174" t="n">
        <v>2025</v>
      </c>
      <c r="G1074" s="175" t="n">
        <v>62</v>
      </c>
      <c r="H1074" s="176" t="n">
        <v>18970.1376231544</v>
      </c>
      <c r="I1074" s="177" t="n">
        <v>2450910.06582199</v>
      </c>
      <c r="J1074" s="178" t="str">
        <f>IF(I1074&gt;0,H1074/I1074,0)</f>
      </c>
      <c r="K1074" s="179" t="str">
        <f>1-EXP(-J1074)</f>
      </c>
      <c r="L1074" s="180" t="str">
        <f>IF(G1074=30,1,M1073)</f>
      </c>
      <c r="M1074" s="181" t="str">
        <f>L1074*(1-K1074)</f>
      </c>
    </row>
    <row r="1075">
      <c r="A1075" t="s">
        <v>164</v>
      </c>
      <c r="B1075" t="s">
        <v>112</v>
      </c>
      <c r="C1075" s="32" t="s">
        <v>297</v>
      </c>
      <c r="D1075" t="s">
        <v>112</v>
      </c>
      <c r="E1075" t="s">
        <v>395</v>
      </c>
      <c r="F1075" s="174" t="n">
        <v>2025</v>
      </c>
      <c r="G1075" s="175" t="n">
        <v>63</v>
      </c>
      <c r="H1075" s="176" t="n">
        <v>19616.8921947261</v>
      </c>
      <c r="I1075" s="177" t="n">
        <v>2307352.6622382</v>
      </c>
      <c r="J1075" s="178" t="str">
        <f>IF(I1075&gt;0,H1075/I1075,0)</f>
      </c>
      <c r="K1075" s="179" t="str">
        <f>1-EXP(-J1075)</f>
      </c>
      <c r="L1075" s="180" t="str">
        <f>IF(G1075=30,1,M1074)</f>
      </c>
      <c r="M1075" s="181" t="str">
        <f>L1075*(1-K1075)</f>
      </c>
    </row>
    <row r="1076">
      <c r="A1076" t="s">
        <v>164</v>
      </c>
      <c r="B1076" t="s">
        <v>112</v>
      </c>
      <c r="C1076" s="32" t="s">
        <v>297</v>
      </c>
      <c r="D1076" t="s">
        <v>112</v>
      </c>
      <c r="E1076" t="s">
        <v>395</v>
      </c>
      <c r="F1076" s="174" t="n">
        <v>2025</v>
      </c>
      <c r="G1076" s="175" t="n">
        <v>64</v>
      </c>
      <c r="H1076" s="176" t="n">
        <v>20366.5260402307</v>
      </c>
      <c r="I1076" s="177" t="n">
        <v>2189442.45160812</v>
      </c>
      <c r="J1076" s="178" t="str">
        <f>IF(I1076&gt;0,H1076/I1076,0)</f>
      </c>
      <c r="K1076" s="179" t="str">
        <f>1-EXP(-J1076)</f>
      </c>
      <c r="L1076" s="180" t="str">
        <f>IF(G1076=30,1,M1075)</f>
      </c>
      <c r="M1076" s="181" t="str">
        <f>L1076*(1-K1076)</f>
      </c>
    </row>
    <row r="1077">
      <c r="A1077" t="s">
        <v>164</v>
      </c>
      <c r="B1077" t="s">
        <v>112</v>
      </c>
      <c r="C1077" s="32" t="s">
        <v>297</v>
      </c>
      <c r="D1077" t="s">
        <v>112</v>
      </c>
      <c r="E1077" t="s">
        <v>395</v>
      </c>
      <c r="F1077" s="174" t="n">
        <v>2025</v>
      </c>
      <c r="G1077" s="175" t="n">
        <v>65</v>
      </c>
      <c r="H1077" s="176" t="n">
        <v>20564.8182811926</v>
      </c>
      <c r="I1077" s="177" t="n">
        <v>2067379.29561573</v>
      </c>
      <c r="J1077" s="178" t="str">
        <f>IF(I1077&gt;0,H1077/I1077,0)</f>
      </c>
      <c r="K1077" s="179" t="str">
        <f>1-EXP(-J1077)</f>
      </c>
      <c r="L1077" s="180" t="str">
        <f>IF(G1077=30,1,M1076)</f>
      </c>
      <c r="M1077" s="181" t="str">
        <f>L1077*(1-K1077)</f>
      </c>
    </row>
    <row r="1078">
      <c r="A1078" t="s">
        <v>164</v>
      </c>
      <c r="B1078" t="s">
        <v>112</v>
      </c>
      <c r="C1078" s="32" t="s">
        <v>297</v>
      </c>
      <c r="D1078" t="s">
        <v>112</v>
      </c>
      <c r="E1078" t="s">
        <v>395</v>
      </c>
      <c r="F1078" s="174" t="n">
        <v>2025</v>
      </c>
      <c r="G1078" s="175" t="n">
        <v>66</v>
      </c>
      <c r="H1078" s="176" t="n">
        <v>21128.4842212808</v>
      </c>
      <c r="I1078" s="177" t="n">
        <v>1938977.04767675</v>
      </c>
      <c r="J1078" s="178" t="str">
        <f>IF(I1078&gt;0,H1078/I1078,0)</f>
      </c>
      <c r="K1078" s="179" t="str">
        <f>1-EXP(-J1078)</f>
      </c>
      <c r="L1078" s="180" t="str">
        <f>IF(G1078=30,1,M1077)</f>
      </c>
      <c r="M1078" s="181" t="str">
        <f>L1078*(1-K1078)</f>
      </c>
    </row>
    <row r="1079">
      <c r="A1079" t="s">
        <v>164</v>
      </c>
      <c r="B1079" t="s">
        <v>112</v>
      </c>
      <c r="C1079" s="32" t="s">
        <v>297</v>
      </c>
      <c r="D1079" t="s">
        <v>112</v>
      </c>
      <c r="E1079" t="s">
        <v>395</v>
      </c>
      <c r="F1079" s="174" t="n">
        <v>2025</v>
      </c>
      <c r="G1079" s="175" t="n">
        <v>67</v>
      </c>
      <c r="H1079" s="176" t="n">
        <v>21650.1531142985</v>
      </c>
      <c r="I1079" s="177" t="n">
        <v>1812804.58670767</v>
      </c>
      <c r="J1079" s="178" t="str">
        <f>IF(I1079&gt;0,H1079/I1079,0)</f>
      </c>
      <c r="K1079" s="179" t="str">
        <f>1-EXP(-J1079)</f>
      </c>
      <c r="L1079" s="180" t="str">
        <f>IF(G1079=30,1,M1078)</f>
      </c>
      <c r="M1079" s="181" t="str">
        <f>L1079*(1-K1079)</f>
      </c>
    </row>
    <row r="1080">
      <c r="A1080" t="s">
        <v>164</v>
      </c>
      <c r="B1080" t="s">
        <v>112</v>
      </c>
      <c r="C1080" s="32" t="s">
        <v>297</v>
      </c>
      <c r="D1080" t="s">
        <v>112</v>
      </c>
      <c r="E1080" t="s">
        <v>395</v>
      </c>
      <c r="F1080" s="174" t="n">
        <v>2025</v>
      </c>
      <c r="G1080" s="175" t="n">
        <v>68</v>
      </c>
      <c r="H1080" s="176" t="n">
        <v>22443.5912394105</v>
      </c>
      <c r="I1080" s="177" t="n">
        <v>1708817.0374287</v>
      </c>
      <c r="J1080" s="178" t="str">
        <f>IF(I1080&gt;0,H1080/I1080,0)</f>
      </c>
      <c r="K1080" s="179" t="str">
        <f>1-EXP(-J1080)</f>
      </c>
      <c r="L1080" s="180" t="str">
        <f>IF(G1080=30,1,M1079)</f>
      </c>
      <c r="M1080" s="181" t="str">
        <f>L1080*(1-K1080)</f>
      </c>
    </row>
    <row r="1081">
      <c r="A1081" t="s">
        <v>164</v>
      </c>
      <c r="B1081" t="s">
        <v>112</v>
      </c>
      <c r="C1081" s="32" t="s">
        <v>297</v>
      </c>
      <c r="D1081" t="s">
        <v>112</v>
      </c>
      <c r="E1081" t="s">
        <v>395</v>
      </c>
      <c r="F1081" s="174" t="n">
        <v>2025</v>
      </c>
      <c r="G1081" s="175" t="n">
        <v>69</v>
      </c>
      <c r="H1081" s="176" t="n">
        <v>22887.5139092692</v>
      </c>
      <c r="I1081" s="177" t="n">
        <v>1588246.5017458</v>
      </c>
      <c r="J1081" s="178" t="str">
        <f>IF(I1081&gt;0,H1081/I1081,0)</f>
      </c>
      <c r="K1081" s="179" t="str">
        <f>1-EXP(-J1081)</f>
      </c>
      <c r="L1081" s="180" t="str">
        <f>IF(G1081=30,1,M1080)</f>
      </c>
      <c r="M1081" s="181" t="str">
        <f>L1081*(1-K1081)</f>
      </c>
    </row>
    <row r="1082">
      <c r="A1082" t="s">
        <v>164</v>
      </c>
      <c r="B1082" t="s">
        <v>112</v>
      </c>
      <c r="C1082" s="32" t="s">
        <v>297</v>
      </c>
      <c r="D1082" t="s">
        <v>112</v>
      </c>
      <c r="E1082" t="s">
        <v>395</v>
      </c>
      <c r="F1082" s="174" t="n">
        <v>2026</v>
      </c>
      <c r="G1082" s="175" t="n">
        <v>30</v>
      </c>
      <c r="H1082" s="176" t="n">
        <v>1298.25984518349</v>
      </c>
      <c r="I1082" s="177" t="n">
        <v>4533066.05431128</v>
      </c>
      <c r="J1082" s="178" t="str">
        <f>IF(I1082&gt;0,H1082/I1082,0)</f>
      </c>
      <c r="K1082" s="179" t="str">
        <f>1-EXP(-J1082)</f>
      </c>
      <c r="L1082" s="180" t="str">
        <f>IF(G1082=30,1,M1081)</f>
      </c>
      <c r="M1082" s="181" t="str">
        <f>L1082*(1-K1082)</f>
      </c>
    </row>
    <row r="1083">
      <c r="A1083" t="s">
        <v>164</v>
      </c>
      <c r="B1083" t="s">
        <v>112</v>
      </c>
      <c r="C1083" s="32" t="s">
        <v>297</v>
      </c>
      <c r="D1083" t="s">
        <v>112</v>
      </c>
      <c r="E1083" t="s">
        <v>395</v>
      </c>
      <c r="F1083" s="174" t="n">
        <v>2026</v>
      </c>
      <c r="G1083" s="175" t="n">
        <v>31</v>
      </c>
      <c r="H1083" s="176" t="n">
        <v>1327.5583643582</v>
      </c>
      <c r="I1083" s="177" t="n">
        <v>4460323.13013529</v>
      </c>
      <c r="J1083" s="178" t="str">
        <f>IF(I1083&gt;0,H1083/I1083,0)</f>
      </c>
      <c r="K1083" s="179" t="str">
        <f>1-EXP(-J1083)</f>
      </c>
      <c r="L1083" s="180" t="str">
        <f>IF(G1083=30,1,M1082)</f>
      </c>
      <c r="M1083" s="181" t="str">
        <f>L1083*(1-K1083)</f>
      </c>
    </row>
    <row r="1084">
      <c r="A1084" t="s">
        <v>164</v>
      </c>
      <c r="B1084" t="s">
        <v>112</v>
      </c>
      <c r="C1084" s="32" t="s">
        <v>297</v>
      </c>
      <c r="D1084" t="s">
        <v>112</v>
      </c>
      <c r="E1084" t="s">
        <v>395</v>
      </c>
      <c r="F1084" s="174" t="n">
        <v>2026</v>
      </c>
      <c r="G1084" s="175" t="n">
        <v>32</v>
      </c>
      <c r="H1084" s="176" t="n">
        <v>1370.31215352811</v>
      </c>
      <c r="I1084" s="177" t="n">
        <v>4404105.59550118</v>
      </c>
      <c r="J1084" s="178" t="str">
        <f>IF(I1084&gt;0,H1084/I1084,0)</f>
      </c>
      <c r="K1084" s="179" t="str">
        <f>1-EXP(-J1084)</f>
      </c>
      <c r="L1084" s="180" t="str">
        <f>IF(G1084=30,1,M1083)</f>
      </c>
      <c r="M1084" s="181" t="str">
        <f>L1084*(1-K1084)</f>
      </c>
    </row>
    <row r="1085">
      <c r="A1085" t="s">
        <v>164</v>
      </c>
      <c r="B1085" t="s">
        <v>112</v>
      </c>
      <c r="C1085" s="32" t="s">
        <v>297</v>
      </c>
      <c r="D1085" t="s">
        <v>112</v>
      </c>
      <c r="E1085" t="s">
        <v>395</v>
      </c>
      <c r="F1085" s="174" t="n">
        <v>2026</v>
      </c>
      <c r="G1085" s="175" t="n">
        <v>33</v>
      </c>
      <c r="H1085" s="176" t="n">
        <v>1424.86612516391</v>
      </c>
      <c r="I1085" s="177" t="n">
        <v>4351714.92353231</v>
      </c>
      <c r="J1085" s="178" t="str">
        <f>IF(I1085&gt;0,H1085/I1085,0)</f>
      </c>
      <c r="K1085" s="179" t="str">
        <f>1-EXP(-J1085)</f>
      </c>
      <c r="L1085" s="180" t="str">
        <f>IF(G1085=30,1,M1084)</f>
      </c>
      <c r="M1085" s="181" t="str">
        <f>L1085*(1-K1085)</f>
      </c>
    </row>
    <row r="1086">
      <c r="A1086" t="s">
        <v>164</v>
      </c>
      <c r="B1086" t="s">
        <v>112</v>
      </c>
      <c r="C1086" s="32" t="s">
        <v>297</v>
      </c>
      <c r="D1086" t="s">
        <v>112</v>
      </c>
      <c r="E1086" t="s">
        <v>395</v>
      </c>
      <c r="F1086" s="174" t="n">
        <v>2026</v>
      </c>
      <c r="G1086" s="175" t="n">
        <v>34</v>
      </c>
      <c r="H1086" s="176" t="n">
        <v>1522.00636378282</v>
      </c>
      <c r="I1086" s="177" t="n">
        <v>4391577.80533736</v>
      </c>
      <c r="J1086" s="178" t="str">
        <f>IF(I1086&gt;0,H1086/I1086,0)</f>
      </c>
      <c r="K1086" s="179" t="str">
        <f>1-EXP(-J1086)</f>
      </c>
      <c r="L1086" s="180" t="str">
        <f>IF(G1086=30,1,M1085)</f>
      </c>
      <c r="M1086" s="181" t="str">
        <f>L1086*(1-K1086)</f>
      </c>
    </row>
    <row r="1087">
      <c r="A1087" t="s">
        <v>164</v>
      </c>
      <c r="B1087" t="s">
        <v>112</v>
      </c>
      <c r="C1087" s="32" t="s">
        <v>297</v>
      </c>
      <c r="D1087" t="s">
        <v>112</v>
      </c>
      <c r="E1087" t="s">
        <v>395</v>
      </c>
      <c r="F1087" s="174" t="n">
        <v>2026</v>
      </c>
      <c r="G1087" s="175" t="n">
        <v>35</v>
      </c>
      <c r="H1087" s="176" t="n">
        <v>2112.27243093716</v>
      </c>
      <c r="I1087" s="177" t="n">
        <v>4411881.63741314</v>
      </c>
      <c r="J1087" s="178" t="str">
        <f>IF(I1087&gt;0,H1087/I1087,0)</f>
      </c>
      <c r="K1087" s="179" t="str">
        <f>1-EXP(-J1087)</f>
      </c>
      <c r="L1087" s="180" t="str">
        <f>IF(G1087=30,1,M1086)</f>
      </c>
      <c r="M1087" s="181" t="str">
        <f>L1087*(1-K1087)</f>
      </c>
    </row>
    <row r="1088">
      <c r="A1088" t="s">
        <v>164</v>
      </c>
      <c r="B1088" t="s">
        <v>112</v>
      </c>
      <c r="C1088" s="32" t="s">
        <v>297</v>
      </c>
      <c r="D1088" t="s">
        <v>112</v>
      </c>
      <c r="E1088" t="s">
        <v>395</v>
      </c>
      <c r="F1088" s="174" t="n">
        <v>2026</v>
      </c>
      <c r="G1088" s="175" t="n">
        <v>36</v>
      </c>
      <c r="H1088" s="176" t="n">
        <v>3196.77101957638</v>
      </c>
      <c r="I1088" s="177" t="n">
        <v>6497474.08312581</v>
      </c>
      <c r="J1088" s="178" t="str">
        <f>IF(I1088&gt;0,H1088/I1088,0)</f>
      </c>
      <c r="K1088" s="179" t="str">
        <f>1-EXP(-J1088)</f>
      </c>
      <c r="L1088" s="180" t="str">
        <f>IF(G1088=30,1,M1087)</f>
      </c>
      <c r="M1088" s="181" t="str">
        <f>L1088*(1-K1088)</f>
      </c>
    </row>
    <row r="1089">
      <c r="A1089" t="s">
        <v>164</v>
      </c>
      <c r="B1089" t="s">
        <v>112</v>
      </c>
      <c r="C1089" s="32" t="s">
        <v>297</v>
      </c>
      <c r="D1089" t="s">
        <v>112</v>
      </c>
      <c r="E1089" t="s">
        <v>395</v>
      </c>
      <c r="F1089" s="174" t="n">
        <v>2026</v>
      </c>
      <c r="G1089" s="175" t="n">
        <v>37</v>
      </c>
      <c r="H1089" s="176" t="n">
        <v>2396.73913573997</v>
      </c>
      <c r="I1089" s="177" t="n">
        <v>4374564.95231593</v>
      </c>
      <c r="J1089" s="178" t="str">
        <f>IF(I1089&gt;0,H1089/I1089,0)</f>
      </c>
      <c r="K1089" s="179" t="str">
        <f>1-EXP(-J1089)</f>
      </c>
      <c r="L1089" s="180" t="str">
        <f>IF(G1089=30,1,M1088)</f>
      </c>
      <c r="M1089" s="181" t="str">
        <f>L1089*(1-K1089)</f>
      </c>
    </row>
    <row r="1090">
      <c r="A1090" t="s">
        <v>164</v>
      </c>
      <c r="B1090" t="s">
        <v>112</v>
      </c>
      <c r="C1090" s="32" t="s">
        <v>297</v>
      </c>
      <c r="D1090" t="s">
        <v>112</v>
      </c>
      <c r="E1090" t="s">
        <v>395</v>
      </c>
      <c r="F1090" s="174" t="n">
        <v>2026</v>
      </c>
      <c r="G1090" s="175" t="n">
        <v>38</v>
      </c>
      <c r="H1090" s="176" t="n">
        <v>2562.85375065259</v>
      </c>
      <c r="I1090" s="177" t="n">
        <v>4360550.03715021</v>
      </c>
      <c r="J1090" s="178" t="str">
        <f>IF(I1090&gt;0,H1090/I1090,0)</f>
      </c>
      <c r="K1090" s="179" t="str">
        <f>1-EXP(-J1090)</f>
      </c>
      <c r="L1090" s="180" t="str">
        <f>IF(G1090=30,1,M1089)</f>
      </c>
      <c r="M1090" s="181" t="str">
        <f>L1090*(1-K1090)</f>
      </c>
    </row>
    <row r="1091">
      <c r="A1091" t="s">
        <v>164</v>
      </c>
      <c r="B1091" t="s">
        <v>112</v>
      </c>
      <c r="C1091" s="32" t="s">
        <v>297</v>
      </c>
      <c r="D1091" t="s">
        <v>112</v>
      </c>
      <c r="E1091" t="s">
        <v>395</v>
      </c>
      <c r="F1091" s="174" t="n">
        <v>2026</v>
      </c>
      <c r="G1091" s="175" t="n">
        <v>39</v>
      </c>
      <c r="H1091" s="176" t="n">
        <v>2670.94824015565</v>
      </c>
      <c r="I1091" s="177" t="n">
        <v>4230055.14654035</v>
      </c>
      <c r="J1091" s="178" t="str">
        <f>IF(I1091&gt;0,H1091/I1091,0)</f>
      </c>
      <c r="K1091" s="179" t="str">
        <f>1-EXP(-J1091)</f>
      </c>
      <c r="L1091" s="180" t="str">
        <f>IF(G1091=30,1,M1090)</f>
      </c>
      <c r="M1091" s="181" t="str">
        <f>L1091*(1-K1091)</f>
      </c>
    </row>
    <row r="1092">
      <c r="A1092" t="s">
        <v>164</v>
      </c>
      <c r="B1092" t="s">
        <v>112</v>
      </c>
      <c r="C1092" s="32" t="s">
        <v>297</v>
      </c>
      <c r="D1092" t="s">
        <v>112</v>
      </c>
      <c r="E1092" t="s">
        <v>395</v>
      </c>
      <c r="F1092" s="174" t="n">
        <v>2026</v>
      </c>
      <c r="G1092" s="175" t="n">
        <v>40</v>
      </c>
      <c r="H1092" s="176" t="n">
        <v>3575.38603740421</v>
      </c>
      <c r="I1092" s="177" t="n">
        <v>4198447.80357072</v>
      </c>
      <c r="J1092" s="178" t="str">
        <f>IF(I1092&gt;0,H1092/I1092,0)</f>
      </c>
      <c r="K1092" s="179" t="str">
        <f>1-EXP(-J1092)</f>
      </c>
      <c r="L1092" s="180" t="str">
        <f>IF(G1092=30,1,M1091)</f>
      </c>
      <c r="M1092" s="181" t="str">
        <f>L1092*(1-K1092)</f>
      </c>
    </row>
    <row r="1093">
      <c r="A1093" t="s">
        <v>164</v>
      </c>
      <c r="B1093" t="s">
        <v>112</v>
      </c>
      <c r="C1093" s="32" t="s">
        <v>297</v>
      </c>
      <c r="D1093" t="s">
        <v>112</v>
      </c>
      <c r="E1093" t="s">
        <v>395</v>
      </c>
      <c r="F1093" s="174" t="n">
        <v>2026</v>
      </c>
      <c r="G1093" s="175" t="n">
        <v>41</v>
      </c>
      <c r="H1093" s="176" t="n">
        <v>3915.44034316398</v>
      </c>
      <c r="I1093" s="177" t="n">
        <v>4261037.22561078</v>
      </c>
      <c r="J1093" s="178" t="str">
        <f>IF(I1093&gt;0,H1093/I1093,0)</f>
      </c>
      <c r="K1093" s="179" t="str">
        <f>1-EXP(-J1093)</f>
      </c>
      <c r="L1093" s="180" t="str">
        <f>IF(G1093=30,1,M1092)</f>
      </c>
      <c r="M1093" s="181" t="str">
        <f>L1093*(1-K1093)</f>
      </c>
    </row>
    <row r="1094">
      <c r="A1094" t="s">
        <v>164</v>
      </c>
      <c r="B1094" t="s">
        <v>112</v>
      </c>
      <c r="C1094" s="32" t="s">
        <v>297</v>
      </c>
      <c r="D1094" t="s">
        <v>112</v>
      </c>
      <c r="E1094" t="s">
        <v>395</v>
      </c>
      <c r="F1094" s="174" t="n">
        <v>2026</v>
      </c>
      <c r="G1094" s="175" t="n">
        <v>42</v>
      </c>
      <c r="H1094" s="176" t="n">
        <v>4327.65018577359</v>
      </c>
      <c r="I1094" s="177" t="n">
        <v>4350355.9327113</v>
      </c>
      <c r="J1094" s="178" t="str">
        <f>IF(I1094&gt;0,H1094/I1094,0)</f>
      </c>
      <c r="K1094" s="179" t="str">
        <f>1-EXP(-J1094)</f>
      </c>
      <c r="L1094" s="180" t="str">
        <f>IF(G1094=30,1,M1093)</f>
      </c>
      <c r="M1094" s="181" t="str">
        <f>L1094*(1-K1094)</f>
      </c>
    </row>
    <row r="1095">
      <c r="A1095" t="s">
        <v>164</v>
      </c>
      <c r="B1095" t="s">
        <v>112</v>
      </c>
      <c r="C1095" s="32" t="s">
        <v>297</v>
      </c>
      <c r="D1095" t="s">
        <v>112</v>
      </c>
      <c r="E1095" t="s">
        <v>395</v>
      </c>
      <c r="F1095" s="174" t="n">
        <v>2026</v>
      </c>
      <c r="G1095" s="175" t="n">
        <v>43</v>
      </c>
      <c r="H1095" s="176" t="n">
        <v>4680.36669834254</v>
      </c>
      <c r="I1095" s="177" t="n">
        <v>4329966.95829214</v>
      </c>
      <c r="J1095" s="178" t="str">
        <f>IF(I1095&gt;0,H1095/I1095,0)</f>
      </c>
      <c r="K1095" s="179" t="str">
        <f>1-EXP(-J1095)</f>
      </c>
      <c r="L1095" s="180" t="str">
        <f>IF(G1095=30,1,M1094)</f>
      </c>
      <c r="M1095" s="181" t="str">
        <f>L1095*(1-K1095)</f>
      </c>
    </row>
    <row r="1096">
      <c r="A1096" t="s">
        <v>164</v>
      </c>
      <c r="B1096" t="s">
        <v>112</v>
      </c>
      <c r="C1096" s="32" t="s">
        <v>297</v>
      </c>
      <c r="D1096" t="s">
        <v>112</v>
      </c>
      <c r="E1096" t="s">
        <v>395</v>
      </c>
      <c r="F1096" s="174" t="n">
        <v>2026</v>
      </c>
      <c r="G1096" s="175" t="n">
        <v>44</v>
      </c>
      <c r="H1096" s="176" t="n">
        <v>4947.13230276352</v>
      </c>
      <c r="I1096" s="177" t="n">
        <v>4196064.82449968</v>
      </c>
      <c r="J1096" s="178" t="str">
        <f>IF(I1096&gt;0,H1096/I1096,0)</f>
      </c>
      <c r="K1096" s="179" t="str">
        <f>1-EXP(-J1096)</f>
      </c>
      <c r="L1096" s="180" t="str">
        <f>IF(G1096=30,1,M1095)</f>
      </c>
      <c r="M1096" s="181" t="str">
        <f>L1096*(1-K1096)</f>
      </c>
    </row>
    <row r="1097">
      <c r="A1097" t="s">
        <v>164</v>
      </c>
      <c r="B1097" t="s">
        <v>112</v>
      </c>
      <c r="C1097" s="32" t="s">
        <v>297</v>
      </c>
      <c r="D1097" t="s">
        <v>112</v>
      </c>
      <c r="E1097" t="s">
        <v>395</v>
      </c>
      <c r="F1097" s="174" t="n">
        <v>2026</v>
      </c>
      <c r="G1097" s="175" t="n">
        <v>45</v>
      </c>
      <c r="H1097" s="176" t="n">
        <v>6302.26668667559</v>
      </c>
      <c r="I1097" s="177" t="n">
        <v>4125591.44550924</v>
      </c>
      <c r="J1097" s="178" t="str">
        <f>IF(I1097&gt;0,H1097/I1097,0)</f>
      </c>
      <c r="K1097" s="179" t="str">
        <f>1-EXP(-J1097)</f>
      </c>
      <c r="L1097" s="180" t="str">
        <f>IF(G1097=30,1,M1096)</f>
      </c>
      <c r="M1097" s="181" t="str">
        <f>L1097*(1-K1097)</f>
      </c>
    </row>
    <row r="1098">
      <c r="A1098" t="s">
        <v>164</v>
      </c>
      <c r="B1098" t="s">
        <v>112</v>
      </c>
      <c r="C1098" s="32" t="s">
        <v>297</v>
      </c>
      <c r="D1098" t="s">
        <v>112</v>
      </c>
      <c r="E1098" t="s">
        <v>395</v>
      </c>
      <c r="F1098" s="174" t="n">
        <v>2026</v>
      </c>
      <c r="G1098" s="175" t="n">
        <v>46</v>
      </c>
      <c r="H1098" s="176" t="n">
        <v>6804.04421725213</v>
      </c>
      <c r="I1098" s="177" t="n">
        <v>4070423.79660791</v>
      </c>
      <c r="J1098" s="178" t="str">
        <f>IF(I1098&gt;0,H1098/I1098,0)</f>
      </c>
      <c r="K1098" s="179" t="str">
        <f>1-EXP(-J1098)</f>
      </c>
      <c r="L1098" s="180" t="str">
        <f>IF(G1098=30,1,M1097)</f>
      </c>
      <c r="M1098" s="181" t="str">
        <f>L1098*(1-K1098)</f>
      </c>
    </row>
    <row r="1099">
      <c r="A1099" t="s">
        <v>164</v>
      </c>
      <c r="B1099" t="s">
        <v>112</v>
      </c>
      <c r="C1099" s="32" t="s">
        <v>297</v>
      </c>
      <c r="D1099" t="s">
        <v>112</v>
      </c>
      <c r="E1099" t="s">
        <v>395</v>
      </c>
      <c r="F1099" s="174" t="n">
        <v>2026</v>
      </c>
      <c r="G1099" s="175" t="n">
        <v>47</v>
      </c>
      <c r="H1099" s="176" t="n">
        <v>7337.15883400713</v>
      </c>
      <c r="I1099" s="177" t="n">
        <v>4010952.63156028</v>
      </c>
      <c r="J1099" s="178" t="str">
        <f>IF(I1099&gt;0,H1099/I1099,0)</f>
      </c>
      <c r="K1099" s="179" t="str">
        <f>1-EXP(-J1099)</f>
      </c>
      <c r="L1099" s="180" t="str">
        <f>IF(G1099=30,1,M1098)</f>
      </c>
      <c r="M1099" s="181" t="str">
        <f>L1099*(1-K1099)</f>
      </c>
    </row>
    <row r="1100">
      <c r="A1100" t="s">
        <v>164</v>
      </c>
      <c r="B1100" t="s">
        <v>112</v>
      </c>
      <c r="C1100" s="32" t="s">
        <v>297</v>
      </c>
      <c r="D1100" t="s">
        <v>112</v>
      </c>
      <c r="E1100" t="s">
        <v>395</v>
      </c>
      <c r="F1100" s="174" t="n">
        <v>2026</v>
      </c>
      <c r="G1100" s="175" t="n">
        <v>48</v>
      </c>
      <c r="H1100" s="176" t="n">
        <v>7865.95563576659</v>
      </c>
      <c r="I1100" s="177" t="n">
        <v>3931934.3335516</v>
      </c>
      <c r="J1100" s="178" t="str">
        <f>IF(I1100&gt;0,H1100/I1100,0)</f>
      </c>
      <c r="K1100" s="179" t="str">
        <f>1-EXP(-J1100)</f>
      </c>
      <c r="L1100" s="180" t="str">
        <f>IF(G1100=30,1,M1099)</f>
      </c>
      <c r="M1100" s="181" t="str">
        <f>L1100*(1-K1100)</f>
      </c>
    </row>
    <row r="1101">
      <c r="A1101" t="s">
        <v>164</v>
      </c>
      <c r="B1101" t="s">
        <v>112</v>
      </c>
      <c r="C1101" s="32" t="s">
        <v>297</v>
      </c>
      <c r="D1101" t="s">
        <v>112</v>
      </c>
      <c r="E1101" t="s">
        <v>395</v>
      </c>
      <c r="F1101" s="174" t="n">
        <v>2026</v>
      </c>
      <c r="G1101" s="175" t="n">
        <v>49</v>
      </c>
      <c r="H1101" s="176" t="n">
        <v>8466.32186054943</v>
      </c>
      <c r="I1101" s="177" t="n">
        <v>3870575.54514656</v>
      </c>
      <c r="J1101" s="178" t="str">
        <f>IF(I1101&gt;0,H1101/I1101,0)</f>
      </c>
      <c r="K1101" s="179" t="str">
        <f>1-EXP(-J1101)</f>
      </c>
      <c r="L1101" s="180" t="str">
        <f>IF(G1101=30,1,M1100)</f>
      </c>
      <c r="M1101" s="181" t="str">
        <f>L1101*(1-K1101)</f>
      </c>
    </row>
    <row r="1102">
      <c r="A1102" t="s">
        <v>164</v>
      </c>
      <c r="B1102" t="s">
        <v>112</v>
      </c>
      <c r="C1102" s="32" t="s">
        <v>297</v>
      </c>
      <c r="D1102" t="s">
        <v>112</v>
      </c>
      <c r="E1102" t="s">
        <v>395</v>
      </c>
      <c r="F1102" s="174" t="n">
        <v>2026</v>
      </c>
      <c r="G1102" s="175" t="n">
        <v>50</v>
      </c>
      <c r="H1102" s="176" t="n">
        <v>9712.02723162967</v>
      </c>
      <c r="I1102" s="177" t="n">
        <v>3797304.37229286</v>
      </c>
      <c r="J1102" s="178" t="str">
        <f>IF(I1102&gt;0,H1102/I1102,0)</f>
      </c>
      <c r="K1102" s="179" t="str">
        <f>1-EXP(-J1102)</f>
      </c>
      <c r="L1102" s="180" t="str">
        <f>IF(G1102=30,1,M1101)</f>
      </c>
      <c r="M1102" s="181" t="str">
        <f>L1102*(1-K1102)</f>
      </c>
    </row>
    <row r="1103">
      <c r="A1103" t="s">
        <v>164</v>
      </c>
      <c r="B1103" t="s">
        <v>112</v>
      </c>
      <c r="C1103" s="32" t="s">
        <v>297</v>
      </c>
      <c r="D1103" t="s">
        <v>112</v>
      </c>
      <c r="E1103" t="s">
        <v>395</v>
      </c>
      <c r="F1103" s="174" t="n">
        <v>2026</v>
      </c>
      <c r="G1103" s="175" t="n">
        <v>51</v>
      </c>
      <c r="H1103" s="176" t="n">
        <v>10382.2543119766</v>
      </c>
      <c r="I1103" s="177" t="n">
        <v>3722619.16466465</v>
      </c>
      <c r="J1103" s="178" t="str">
        <f>IF(I1103&gt;0,H1103/I1103,0)</f>
      </c>
      <c r="K1103" s="179" t="str">
        <f>1-EXP(-J1103)</f>
      </c>
      <c r="L1103" s="180" t="str">
        <f>IF(G1103=30,1,M1102)</f>
      </c>
      <c r="M1103" s="181" t="str">
        <f>L1103*(1-K1103)</f>
      </c>
    </row>
    <row r="1104">
      <c r="A1104" t="s">
        <v>164</v>
      </c>
      <c r="B1104" t="s">
        <v>112</v>
      </c>
      <c r="C1104" s="32" t="s">
        <v>297</v>
      </c>
      <c r="D1104" t="s">
        <v>112</v>
      </c>
      <c r="E1104" t="s">
        <v>395</v>
      </c>
      <c r="F1104" s="174" t="n">
        <v>2026</v>
      </c>
      <c r="G1104" s="175" t="n">
        <v>52</v>
      </c>
      <c r="H1104" s="176" t="n">
        <v>11011.7856391279</v>
      </c>
      <c r="I1104" s="177" t="n">
        <v>3620908.90429281</v>
      </c>
      <c r="J1104" s="178" t="str">
        <f>IF(I1104&gt;0,H1104/I1104,0)</f>
      </c>
      <c r="K1104" s="179" t="str">
        <f>1-EXP(-J1104)</f>
      </c>
      <c r="L1104" s="180" t="str">
        <f>IF(G1104=30,1,M1103)</f>
      </c>
      <c r="M1104" s="181" t="str">
        <f>L1104*(1-K1104)</f>
      </c>
    </row>
    <row r="1105">
      <c r="A1105" t="s">
        <v>164</v>
      </c>
      <c r="B1105" t="s">
        <v>112</v>
      </c>
      <c r="C1105" s="32" t="s">
        <v>297</v>
      </c>
      <c r="D1105" t="s">
        <v>112</v>
      </c>
      <c r="E1105" t="s">
        <v>395</v>
      </c>
      <c r="F1105" s="174" t="n">
        <v>2026</v>
      </c>
      <c r="G1105" s="175" t="n">
        <v>53</v>
      </c>
      <c r="H1105" s="176" t="n">
        <v>11878.4494294315</v>
      </c>
      <c r="I1105" s="177" t="n">
        <v>3580910.06551612</v>
      </c>
      <c r="J1105" s="178" t="str">
        <f>IF(I1105&gt;0,H1105/I1105,0)</f>
      </c>
      <c r="K1105" s="179" t="str">
        <f>1-EXP(-J1105)</f>
      </c>
      <c r="L1105" s="180" t="str">
        <f>IF(G1105=30,1,M1104)</f>
      </c>
      <c r="M1105" s="181" t="str">
        <f>L1105*(1-K1105)</f>
      </c>
    </row>
    <row r="1106">
      <c r="A1106" t="s">
        <v>164</v>
      </c>
      <c r="B1106" t="s">
        <v>112</v>
      </c>
      <c r="C1106" s="32" t="s">
        <v>297</v>
      </c>
      <c r="D1106" t="s">
        <v>112</v>
      </c>
      <c r="E1106" t="s">
        <v>395</v>
      </c>
      <c r="F1106" s="174" t="n">
        <v>2026</v>
      </c>
      <c r="G1106" s="175" t="n">
        <v>54</v>
      </c>
      <c r="H1106" s="176" t="n">
        <v>12226.9084202932</v>
      </c>
      <c r="I1106" s="177" t="n">
        <v>3373668.63498524</v>
      </c>
      <c r="J1106" s="178" t="str">
        <f>IF(I1106&gt;0,H1106/I1106,0)</f>
      </c>
      <c r="K1106" s="179" t="str">
        <f>1-EXP(-J1106)</f>
      </c>
      <c r="L1106" s="180" t="str">
        <f>IF(G1106=30,1,M1105)</f>
      </c>
      <c r="M1106" s="181" t="str">
        <f>L1106*(1-K1106)</f>
      </c>
    </row>
    <row r="1107">
      <c r="A1107" t="s">
        <v>164</v>
      </c>
      <c r="B1107" t="s">
        <v>112</v>
      </c>
      <c r="C1107" s="32" t="s">
        <v>297</v>
      </c>
      <c r="D1107" t="s">
        <v>112</v>
      </c>
      <c r="E1107" t="s">
        <v>395</v>
      </c>
      <c r="F1107" s="174" t="n">
        <v>2026</v>
      </c>
      <c r="G1107" s="175" t="n">
        <v>55</v>
      </c>
      <c r="H1107" s="176" t="n">
        <v>13256.9049597389</v>
      </c>
      <c r="I1107" s="177" t="n">
        <v>3290805.96393673</v>
      </c>
      <c r="J1107" s="178" t="str">
        <f>IF(I1107&gt;0,H1107/I1107,0)</f>
      </c>
      <c r="K1107" s="179" t="str">
        <f>1-EXP(-J1107)</f>
      </c>
      <c r="L1107" s="180" t="str">
        <f>IF(G1107=30,1,M1106)</f>
      </c>
      <c r="M1107" s="181" t="str">
        <f>L1107*(1-K1107)</f>
      </c>
    </row>
    <row r="1108">
      <c r="A1108" t="s">
        <v>164</v>
      </c>
      <c r="B1108" t="s">
        <v>112</v>
      </c>
      <c r="C1108" s="32" t="s">
        <v>297</v>
      </c>
      <c r="D1108" t="s">
        <v>112</v>
      </c>
      <c r="E1108" t="s">
        <v>395</v>
      </c>
      <c r="F1108" s="174" t="n">
        <v>2026</v>
      </c>
      <c r="G1108" s="175" t="n">
        <v>56</v>
      </c>
      <c r="H1108" s="176" t="n">
        <v>14131.6712856715</v>
      </c>
      <c r="I1108" s="177" t="n">
        <v>3212214.28114487</v>
      </c>
      <c r="J1108" s="178" t="str">
        <f>IF(I1108&gt;0,H1108/I1108,0)</f>
      </c>
      <c r="K1108" s="179" t="str">
        <f>1-EXP(-J1108)</f>
      </c>
      <c r="L1108" s="180" t="str">
        <f>IF(G1108=30,1,M1107)</f>
      </c>
      <c r="M1108" s="181" t="str">
        <f>L1108*(1-K1108)</f>
      </c>
    </row>
    <row r="1109">
      <c r="A1109" t="s">
        <v>164</v>
      </c>
      <c r="B1109" t="s">
        <v>112</v>
      </c>
      <c r="C1109" s="32" t="s">
        <v>297</v>
      </c>
      <c r="D1109" t="s">
        <v>112</v>
      </c>
      <c r="E1109" t="s">
        <v>395</v>
      </c>
      <c r="F1109" s="174" t="n">
        <v>2026</v>
      </c>
      <c r="G1109" s="175" t="n">
        <v>57</v>
      </c>
      <c r="H1109" s="176" t="n">
        <v>15015.1295468761</v>
      </c>
      <c r="I1109" s="177" t="n">
        <v>3124836.70281465</v>
      </c>
      <c r="J1109" s="178" t="str">
        <f>IF(I1109&gt;0,H1109/I1109,0)</f>
      </c>
      <c r="K1109" s="179" t="str">
        <f>1-EXP(-J1109)</f>
      </c>
      <c r="L1109" s="180" t="str">
        <f>IF(G1109=30,1,M1108)</f>
      </c>
      <c r="M1109" s="181" t="str">
        <f>L1109*(1-K1109)</f>
      </c>
    </row>
    <row r="1110">
      <c r="A1110" t="s">
        <v>164</v>
      </c>
      <c r="B1110" t="s">
        <v>112</v>
      </c>
      <c r="C1110" s="32" t="s">
        <v>297</v>
      </c>
      <c r="D1110" t="s">
        <v>112</v>
      </c>
      <c r="E1110" t="s">
        <v>395</v>
      </c>
      <c r="F1110" s="174" t="n">
        <v>2026</v>
      </c>
      <c r="G1110" s="175" t="n">
        <v>58</v>
      </c>
      <c r="H1110" s="176" t="n">
        <v>15837.4306821562</v>
      </c>
      <c r="I1110" s="177" t="n">
        <v>3017305.28674744</v>
      </c>
      <c r="J1110" s="178" t="str">
        <f>IF(I1110&gt;0,H1110/I1110,0)</f>
      </c>
      <c r="K1110" s="179" t="str">
        <f>1-EXP(-J1110)</f>
      </c>
      <c r="L1110" s="180" t="str">
        <f>IF(G1110=30,1,M1109)</f>
      </c>
      <c r="M1110" s="181" t="str">
        <f>L1110*(1-K1110)</f>
      </c>
    </row>
    <row r="1111">
      <c r="A1111" t="s">
        <v>164</v>
      </c>
      <c r="B1111" t="s">
        <v>112</v>
      </c>
      <c r="C1111" s="32" t="s">
        <v>297</v>
      </c>
      <c r="D1111" t="s">
        <v>112</v>
      </c>
      <c r="E1111" t="s">
        <v>395</v>
      </c>
      <c r="F1111" s="174" t="n">
        <v>2026</v>
      </c>
      <c r="G1111" s="175" t="n">
        <v>59</v>
      </c>
      <c r="H1111" s="176" t="n">
        <v>16519.3067148287</v>
      </c>
      <c r="I1111" s="177" t="n">
        <v>2877825.9895627</v>
      </c>
      <c r="J1111" s="178" t="str">
        <f>IF(I1111&gt;0,H1111/I1111,0)</f>
      </c>
      <c r="K1111" s="179" t="str">
        <f>1-EXP(-J1111)</f>
      </c>
      <c r="L1111" s="180" t="str">
        <f>IF(G1111=30,1,M1110)</f>
      </c>
      <c r="M1111" s="181" t="str">
        <f>L1111*(1-K1111)</f>
      </c>
    </row>
    <row r="1112">
      <c r="A1112" t="s">
        <v>164</v>
      </c>
      <c r="B1112" t="s">
        <v>112</v>
      </c>
      <c r="C1112" s="32" t="s">
        <v>297</v>
      </c>
      <c r="D1112" t="s">
        <v>112</v>
      </c>
      <c r="E1112" t="s">
        <v>395</v>
      </c>
      <c r="F1112" s="174" t="n">
        <v>2026</v>
      </c>
      <c r="G1112" s="175" t="n">
        <v>60</v>
      </c>
      <c r="H1112" s="176" t="n">
        <v>17887.4661436529</v>
      </c>
      <c r="I1112" s="177" t="n">
        <v>2775955.73233662</v>
      </c>
      <c r="J1112" s="178" t="str">
        <f>IF(I1112&gt;0,H1112/I1112,0)</f>
      </c>
      <c r="K1112" s="179" t="str">
        <f>1-EXP(-J1112)</f>
      </c>
      <c r="L1112" s="180" t="str">
        <f>IF(G1112=30,1,M1111)</f>
      </c>
      <c r="M1112" s="181" t="str">
        <f>L1112*(1-K1112)</f>
      </c>
    </row>
    <row r="1113">
      <c r="A1113" t="s">
        <v>164</v>
      </c>
      <c r="B1113" t="s">
        <v>112</v>
      </c>
      <c r="C1113" s="32" t="s">
        <v>297</v>
      </c>
      <c r="D1113" t="s">
        <v>112</v>
      </c>
      <c r="E1113" t="s">
        <v>395</v>
      </c>
      <c r="F1113" s="174" t="n">
        <v>2026</v>
      </c>
      <c r="G1113" s="175" t="n">
        <v>61</v>
      </c>
      <c r="H1113" s="176" t="n">
        <v>18665.5457379897</v>
      </c>
      <c r="I1113" s="177" t="n">
        <v>2651125.82517609</v>
      </c>
      <c r="J1113" s="178" t="str">
        <f>IF(I1113&gt;0,H1113/I1113,0)</f>
      </c>
      <c r="K1113" s="179" t="str">
        <f>1-EXP(-J1113)</f>
      </c>
      <c r="L1113" s="180" t="str">
        <f>IF(G1113=30,1,M1112)</f>
      </c>
      <c r="M1113" s="181" t="str">
        <f>L1113*(1-K1113)</f>
      </c>
    </row>
    <row r="1114">
      <c r="A1114" t="s">
        <v>164</v>
      </c>
      <c r="B1114" t="s">
        <v>112</v>
      </c>
      <c r="C1114" s="32" t="s">
        <v>297</v>
      </c>
      <c r="D1114" t="s">
        <v>112</v>
      </c>
      <c r="E1114" t="s">
        <v>395</v>
      </c>
      <c r="F1114" s="174" t="n">
        <v>2026</v>
      </c>
      <c r="G1114" s="175" t="n">
        <v>62</v>
      </c>
      <c r="H1114" s="176" t="n">
        <v>19451.5332571585</v>
      </c>
      <c r="I1114" s="177" t="n">
        <v>2527118.34779537</v>
      </c>
      <c r="J1114" s="178" t="str">
        <f>IF(I1114&gt;0,H1114/I1114,0)</f>
      </c>
      <c r="K1114" s="179" t="str">
        <f>1-EXP(-J1114)</f>
      </c>
      <c r="L1114" s="180" t="str">
        <f>IF(G1114=30,1,M1113)</f>
      </c>
      <c r="M1114" s="181" t="str">
        <f>L1114*(1-K1114)</f>
      </c>
    </row>
    <row r="1115">
      <c r="A1115" t="s">
        <v>164</v>
      </c>
      <c r="B1115" t="s">
        <v>112</v>
      </c>
      <c r="C1115" s="32" t="s">
        <v>297</v>
      </c>
      <c r="D1115" t="s">
        <v>112</v>
      </c>
      <c r="E1115" t="s">
        <v>395</v>
      </c>
      <c r="F1115" s="174" t="n">
        <v>2026</v>
      </c>
      <c r="G1115" s="175" t="n">
        <v>63</v>
      </c>
      <c r="H1115" s="176" t="n">
        <v>20275.8104483265</v>
      </c>
      <c r="I1115" s="177" t="n">
        <v>2408174.82995322</v>
      </c>
      <c r="J1115" s="178" t="str">
        <f>IF(I1115&gt;0,H1115/I1115,0)</f>
      </c>
      <c r="K1115" s="179" t="str">
        <f>1-EXP(-J1115)</f>
      </c>
      <c r="L1115" s="180" t="str">
        <f>IF(G1115=30,1,M1114)</f>
      </c>
      <c r="M1115" s="181" t="str">
        <f>L1115*(1-K1115)</f>
      </c>
    </row>
    <row r="1116">
      <c r="A1116" t="s">
        <v>164</v>
      </c>
      <c r="B1116" t="s">
        <v>112</v>
      </c>
      <c r="C1116" s="32" t="s">
        <v>297</v>
      </c>
      <c r="D1116" t="s">
        <v>112</v>
      </c>
      <c r="E1116" t="s">
        <v>395</v>
      </c>
      <c r="F1116" s="174" t="n">
        <v>2026</v>
      </c>
      <c r="G1116" s="175" t="n">
        <v>64</v>
      </c>
      <c r="H1116" s="176" t="n">
        <v>20946.7419118203</v>
      </c>
      <c r="I1116" s="177" t="n">
        <v>2263177.14570695</v>
      </c>
      <c r="J1116" s="178" t="str">
        <f>IF(I1116&gt;0,H1116/I1116,0)</f>
      </c>
      <c r="K1116" s="179" t="str">
        <f>1-EXP(-J1116)</f>
      </c>
      <c r="L1116" s="180" t="str">
        <f>IF(G1116=30,1,M1115)</f>
      </c>
      <c r="M1116" s="181" t="str">
        <f>L1116*(1-K1116)</f>
      </c>
    </row>
    <row r="1117">
      <c r="A1117" t="s">
        <v>164</v>
      </c>
      <c r="B1117" t="s">
        <v>112</v>
      </c>
      <c r="C1117" s="32" t="s">
        <v>297</v>
      </c>
      <c r="D1117" t="s">
        <v>112</v>
      </c>
      <c r="E1117" t="s">
        <v>395</v>
      </c>
      <c r="F1117" s="174" t="n">
        <v>2026</v>
      </c>
      <c r="G1117" s="175" t="n">
        <v>65</v>
      </c>
      <c r="H1117" s="176" t="n">
        <v>21190.7485686303</v>
      </c>
      <c r="I1117" s="177" t="n">
        <v>2143592.88562047</v>
      </c>
      <c r="J1117" s="178" t="str">
        <f>IF(I1117&gt;0,H1117/I1117,0)</f>
      </c>
      <c r="K1117" s="179" t="str">
        <f>1-EXP(-J1117)</f>
      </c>
      <c r="L1117" s="180" t="str">
        <f>IF(G1117=30,1,M1116)</f>
      </c>
      <c r="M1117" s="181" t="str">
        <f>L1117*(1-K1117)</f>
      </c>
    </row>
    <row r="1118">
      <c r="A1118" t="s">
        <v>164</v>
      </c>
      <c r="B1118" t="s">
        <v>112</v>
      </c>
      <c r="C1118" s="32" t="s">
        <v>297</v>
      </c>
      <c r="D1118" t="s">
        <v>112</v>
      </c>
      <c r="E1118" t="s">
        <v>395</v>
      </c>
      <c r="F1118" s="174" t="n">
        <v>2026</v>
      </c>
      <c r="G1118" s="175" t="n">
        <v>66</v>
      </c>
      <c r="H1118" s="176" t="n">
        <v>21879.0790401448</v>
      </c>
      <c r="I1118" s="177" t="n">
        <v>2020123.65624815</v>
      </c>
      <c r="J1118" s="178" t="str">
        <f>IF(I1118&gt;0,H1118/I1118,0)</f>
      </c>
      <c r="K1118" s="179" t="str">
        <f>1-EXP(-J1118)</f>
      </c>
      <c r="L1118" s="180" t="str">
        <f>IF(G1118=30,1,M1117)</f>
      </c>
      <c r="M1118" s="181" t="str">
        <f>L1118*(1-K1118)</f>
      </c>
    </row>
    <row r="1119">
      <c r="A1119" t="s">
        <v>164</v>
      </c>
      <c r="B1119" t="s">
        <v>112</v>
      </c>
      <c r="C1119" s="32" t="s">
        <v>297</v>
      </c>
      <c r="D1119" t="s">
        <v>112</v>
      </c>
      <c r="E1119" t="s">
        <v>395</v>
      </c>
      <c r="F1119" s="174" t="n">
        <v>2026</v>
      </c>
      <c r="G1119" s="175" t="n">
        <v>67</v>
      </c>
      <c r="H1119" s="176" t="n">
        <v>22439.3299146271</v>
      </c>
      <c r="I1119" s="177" t="n">
        <v>1890337.26910044</v>
      </c>
      <c r="J1119" s="178" t="str">
        <f>IF(I1119&gt;0,H1119/I1119,0)</f>
      </c>
      <c r="K1119" s="179" t="str">
        <f>1-EXP(-J1119)</f>
      </c>
      <c r="L1119" s="180" t="str">
        <f>IF(G1119=30,1,M1118)</f>
      </c>
      <c r="M1119" s="181" t="str">
        <f>L1119*(1-K1119)</f>
      </c>
    </row>
    <row r="1120">
      <c r="A1120" t="s">
        <v>164</v>
      </c>
      <c r="B1120" t="s">
        <v>112</v>
      </c>
      <c r="C1120" s="32" t="s">
        <v>297</v>
      </c>
      <c r="D1120" t="s">
        <v>112</v>
      </c>
      <c r="E1120" t="s">
        <v>395</v>
      </c>
      <c r="F1120" s="174" t="n">
        <v>2026</v>
      </c>
      <c r="G1120" s="175" t="n">
        <v>68</v>
      </c>
      <c r="H1120" s="176" t="n">
        <v>22951.6502441811</v>
      </c>
      <c r="I1120" s="177" t="n">
        <v>1762993.47698247</v>
      </c>
      <c r="J1120" s="178" t="str">
        <f>IF(I1120&gt;0,H1120/I1120,0)</f>
      </c>
      <c r="K1120" s="179" t="str">
        <f>1-EXP(-J1120)</f>
      </c>
      <c r="L1120" s="180" t="str">
        <f>IF(G1120=30,1,M1119)</f>
      </c>
      <c r="M1120" s="181" t="str">
        <f>L1120*(1-K1120)</f>
      </c>
    </row>
    <row r="1121">
      <c r="A1121" t="s">
        <v>164</v>
      </c>
      <c r="B1121" t="s">
        <v>112</v>
      </c>
      <c r="C1121" s="32" t="s">
        <v>297</v>
      </c>
      <c r="D1121" t="s">
        <v>112</v>
      </c>
      <c r="E1121" t="s">
        <v>395</v>
      </c>
      <c r="F1121" s="174" t="n">
        <v>2026</v>
      </c>
      <c r="G1121" s="175" t="n">
        <v>69</v>
      </c>
      <c r="H1121" s="176" t="n">
        <v>23742.3841311184</v>
      </c>
      <c r="I1121" s="177" t="n">
        <v>1657190.39223472</v>
      </c>
      <c r="J1121" s="178" t="str">
        <f>IF(I1121&gt;0,H1121/I1121,0)</f>
      </c>
      <c r="K1121" s="179" t="str">
        <f>1-EXP(-J1121)</f>
      </c>
      <c r="L1121" s="180" t="str">
        <f>IF(G1121=30,1,M1120)</f>
      </c>
      <c r="M1121" s="181" t="str">
        <f>L1121*(1-K1121)</f>
      </c>
    </row>
    <row r="1122">
      <c r="A1122" t="s">
        <v>164</v>
      </c>
      <c r="B1122" t="s">
        <v>112</v>
      </c>
      <c r="C1122" s="32" t="s">
        <v>297</v>
      </c>
      <c r="D1122" t="s">
        <v>112</v>
      </c>
      <c r="E1122" t="s">
        <v>395</v>
      </c>
      <c r="F1122" s="174" t="n">
        <v>2027</v>
      </c>
      <c r="G1122" s="175" t="n">
        <v>30</v>
      </c>
      <c r="H1122" s="176" t="n">
        <v>1304.64237016457</v>
      </c>
      <c r="I1122" s="177" t="n">
        <v>4568808.45043002</v>
      </c>
      <c r="J1122" s="178" t="str">
        <f>IF(I1122&gt;0,H1122/I1122,0)</f>
      </c>
      <c r="K1122" s="179" t="str">
        <f>1-EXP(-J1122)</f>
      </c>
      <c r="L1122" s="180" t="str">
        <f>IF(G1122=30,1,M1121)</f>
      </c>
      <c r="M1122" s="181" t="str">
        <f>L1122*(1-K1122)</f>
      </c>
    </row>
    <row r="1123">
      <c r="A1123" t="s">
        <v>164</v>
      </c>
      <c r="B1123" t="s">
        <v>112</v>
      </c>
      <c r="C1123" s="32" t="s">
        <v>297</v>
      </c>
      <c r="D1123" t="s">
        <v>112</v>
      </c>
      <c r="E1123" t="s">
        <v>395</v>
      </c>
      <c r="F1123" s="174" t="n">
        <v>2027</v>
      </c>
      <c r="G1123" s="175" t="n">
        <v>31</v>
      </c>
      <c r="H1123" s="176" t="n">
        <v>1343.50942335751</v>
      </c>
      <c r="I1123" s="177" t="n">
        <v>4526141.25825779</v>
      </c>
      <c r="J1123" s="178" t="str">
        <f>IF(I1123&gt;0,H1123/I1123,0)</f>
      </c>
      <c r="K1123" s="179" t="str">
        <f>1-EXP(-J1123)</f>
      </c>
      <c r="L1123" s="180" t="str">
        <f>IF(G1123=30,1,M1122)</f>
      </c>
      <c r="M1123" s="181" t="str">
        <f>L1123*(1-K1123)</f>
      </c>
    </row>
    <row r="1124">
      <c r="A1124" t="s">
        <v>164</v>
      </c>
      <c r="B1124" t="s">
        <v>112</v>
      </c>
      <c r="C1124" s="32" t="s">
        <v>297</v>
      </c>
      <c r="D1124" t="s">
        <v>112</v>
      </c>
      <c r="E1124" t="s">
        <v>395</v>
      </c>
      <c r="F1124" s="174" t="n">
        <v>2027</v>
      </c>
      <c r="G1124" s="175" t="n">
        <v>32</v>
      </c>
      <c r="H1124" s="176" t="n">
        <v>1382.28580696875</v>
      </c>
      <c r="I1124" s="177" t="n">
        <v>4453752.64550719</v>
      </c>
      <c r="J1124" s="178" t="str">
        <f>IF(I1124&gt;0,H1124/I1124,0)</f>
      </c>
      <c r="K1124" s="179" t="str">
        <f>1-EXP(-J1124)</f>
      </c>
      <c r="L1124" s="180" t="str">
        <f>IF(G1124=30,1,M1123)</f>
      </c>
      <c r="M1124" s="181" t="str">
        <f>L1124*(1-K1124)</f>
      </c>
    </row>
    <row r="1125">
      <c r="A1125" t="s">
        <v>164</v>
      </c>
      <c r="B1125" t="s">
        <v>112</v>
      </c>
      <c r="C1125" s="32" t="s">
        <v>297</v>
      </c>
      <c r="D1125" t="s">
        <v>112</v>
      </c>
      <c r="E1125" t="s">
        <v>395</v>
      </c>
      <c r="F1125" s="174" t="n">
        <v>2027</v>
      </c>
      <c r="G1125" s="175" t="n">
        <v>33</v>
      </c>
      <c r="H1125" s="176" t="n">
        <v>1436.39101727569</v>
      </c>
      <c r="I1125" s="177" t="n">
        <v>4397355.4689288</v>
      </c>
      <c r="J1125" s="178" t="str">
        <f>IF(I1125&gt;0,H1125/I1125,0)</f>
      </c>
      <c r="K1125" s="179" t="str">
        <f>1-EXP(-J1125)</f>
      </c>
      <c r="L1125" s="180" t="str">
        <f>IF(G1125=30,1,M1124)</f>
      </c>
      <c r="M1125" s="181" t="str">
        <f>L1125*(1-K1125)</f>
      </c>
    </row>
    <row r="1126">
      <c r="A1126" t="s">
        <v>164</v>
      </c>
      <c r="B1126" t="s">
        <v>112</v>
      </c>
      <c r="C1126" s="32" t="s">
        <v>297</v>
      </c>
      <c r="D1126" t="s">
        <v>112</v>
      </c>
      <c r="E1126" t="s">
        <v>395</v>
      </c>
      <c r="F1126" s="174" t="n">
        <v>2027</v>
      </c>
      <c r="G1126" s="175" t="n">
        <v>34</v>
      </c>
      <c r="H1126" s="176" t="n">
        <v>1502.96267653677</v>
      </c>
      <c r="I1126" s="177" t="n">
        <v>4344733.23512884</v>
      </c>
      <c r="J1126" s="178" t="str">
        <f>IF(I1126&gt;0,H1126/I1126,0)</f>
      </c>
      <c r="K1126" s="179" t="str">
        <f>1-EXP(-J1126)</f>
      </c>
      <c r="L1126" s="180" t="str">
        <f>IF(G1126=30,1,M1125)</f>
      </c>
      <c r="M1126" s="181" t="str">
        <f>L1126*(1-K1126)</f>
      </c>
    </row>
    <row r="1127">
      <c r="A1127" t="s">
        <v>164</v>
      </c>
      <c r="B1127" t="s">
        <v>112</v>
      </c>
      <c r="C1127" s="32" t="s">
        <v>297</v>
      </c>
      <c r="D1127" t="s">
        <v>112</v>
      </c>
      <c r="E1127" t="s">
        <v>395</v>
      </c>
      <c r="F1127" s="174" t="n">
        <v>2027</v>
      </c>
      <c r="G1127" s="175" t="n">
        <v>35</v>
      </c>
      <c r="H1127" s="176" t="n">
        <v>2085.32356363488</v>
      </c>
      <c r="I1127" s="177" t="n">
        <v>4384158.74749818</v>
      </c>
      <c r="J1127" s="178" t="str">
        <f>IF(I1127&gt;0,H1127/I1127,0)</f>
      </c>
      <c r="K1127" s="179" t="str">
        <f>1-EXP(-J1127)</f>
      </c>
      <c r="L1127" s="180" t="str">
        <f>IF(G1127=30,1,M1126)</f>
      </c>
      <c r="M1127" s="181" t="str">
        <f>L1127*(1-K1127)</f>
      </c>
    </row>
    <row r="1128">
      <c r="A1128" t="s">
        <v>164</v>
      </c>
      <c r="B1128" t="s">
        <v>112</v>
      </c>
      <c r="C1128" s="32" t="s">
        <v>297</v>
      </c>
      <c r="D1128" t="s">
        <v>112</v>
      </c>
      <c r="E1128" t="s">
        <v>395</v>
      </c>
      <c r="F1128" s="174" t="n">
        <v>2027</v>
      </c>
      <c r="G1128" s="175" t="n">
        <v>36</v>
      </c>
      <c r="H1128" s="176" t="n">
        <v>2238.44524309505</v>
      </c>
      <c r="I1128" s="177" t="n">
        <v>4403443.81536012</v>
      </c>
      <c r="J1128" s="178" t="str">
        <f>IF(I1128&gt;0,H1128/I1128,0)</f>
      </c>
      <c r="K1128" s="179" t="str">
        <f>1-EXP(-J1128)</f>
      </c>
      <c r="L1128" s="180" t="str">
        <f>IF(G1128=30,1,M1127)</f>
      </c>
      <c r="M1128" s="181" t="str">
        <f>L1128*(1-K1128)</f>
      </c>
    </row>
    <row r="1129">
      <c r="A1129" t="s">
        <v>164</v>
      </c>
      <c r="B1129" t="s">
        <v>112</v>
      </c>
      <c r="C1129" s="32" t="s">
        <v>297</v>
      </c>
      <c r="D1129" t="s">
        <v>112</v>
      </c>
      <c r="E1129" t="s">
        <v>395</v>
      </c>
      <c r="F1129" s="174" t="n">
        <v>2027</v>
      </c>
      <c r="G1129" s="175" t="n">
        <v>37</v>
      </c>
      <c r="H1129" s="176" t="n">
        <v>3393.62215520545</v>
      </c>
      <c r="I1129" s="177" t="n">
        <v>6485436.87900408</v>
      </c>
      <c r="J1129" s="178" t="str">
        <f>IF(I1129&gt;0,H1129/I1129,0)</f>
      </c>
      <c r="K1129" s="179" t="str">
        <f>1-EXP(-J1129)</f>
      </c>
      <c r="L1129" s="180" t="str">
        <f>IF(G1129=30,1,M1128)</f>
      </c>
      <c r="M1129" s="181" t="str">
        <f>L1129*(1-K1129)</f>
      </c>
    </row>
    <row r="1130">
      <c r="A1130" t="s">
        <v>164</v>
      </c>
      <c r="B1130" t="s">
        <v>112</v>
      </c>
      <c r="C1130" s="32" t="s">
        <v>297</v>
      </c>
      <c r="D1130" t="s">
        <v>112</v>
      </c>
      <c r="E1130" t="s">
        <v>395</v>
      </c>
      <c r="F1130" s="174" t="n">
        <v>2027</v>
      </c>
      <c r="G1130" s="175" t="n">
        <v>38</v>
      </c>
      <c r="H1130" s="176" t="n">
        <v>2551.3447168988</v>
      </c>
      <c r="I1130" s="177" t="n">
        <v>4365602.76161905</v>
      </c>
      <c r="J1130" s="178" t="str">
        <f>IF(I1130&gt;0,H1130/I1130,0)</f>
      </c>
      <c r="K1130" s="179" t="str">
        <f>1-EXP(-J1130)</f>
      </c>
      <c r="L1130" s="180" t="str">
        <f>IF(G1130=30,1,M1129)</f>
      </c>
      <c r="M1130" s="181" t="str">
        <f>L1130*(1-K1130)</f>
      </c>
    </row>
    <row r="1131">
      <c r="A1131" t="s">
        <v>164</v>
      </c>
      <c r="B1131" t="s">
        <v>112</v>
      </c>
      <c r="C1131" s="32" t="s">
        <v>297</v>
      </c>
      <c r="D1131" t="s">
        <v>112</v>
      </c>
      <c r="E1131" t="s">
        <v>395</v>
      </c>
      <c r="F1131" s="174" t="n">
        <v>2027</v>
      </c>
      <c r="G1131" s="175" t="n">
        <v>39</v>
      </c>
      <c r="H1131" s="176" t="n">
        <v>2732.65406866223</v>
      </c>
      <c r="I1131" s="177" t="n">
        <v>4350977.16033128</v>
      </c>
      <c r="J1131" s="178" t="str">
        <f>IF(I1131&gt;0,H1131/I1131,0)</f>
      </c>
      <c r="K1131" s="179" t="str">
        <f>1-EXP(-J1131)</f>
      </c>
      <c r="L1131" s="180" t="str">
        <f>IF(G1131=30,1,M1130)</f>
      </c>
      <c r="M1131" s="181" t="str">
        <f>L1131*(1-K1131)</f>
      </c>
    </row>
    <row r="1132">
      <c r="A1132" t="s">
        <v>164</v>
      </c>
      <c r="B1132" t="s">
        <v>112</v>
      </c>
      <c r="C1132" s="32" t="s">
        <v>297</v>
      </c>
      <c r="D1132" t="s">
        <v>112</v>
      </c>
      <c r="E1132" t="s">
        <v>395</v>
      </c>
      <c r="F1132" s="174" t="n">
        <v>2027</v>
      </c>
      <c r="G1132" s="175" t="n">
        <v>40</v>
      </c>
      <c r="H1132" s="176" t="n">
        <v>3573.20668701116</v>
      </c>
      <c r="I1132" s="177" t="n">
        <v>4220088.14445423</v>
      </c>
      <c r="J1132" s="178" t="str">
        <f>IF(I1132&gt;0,H1132/I1132,0)</f>
      </c>
      <c r="K1132" s="179" t="str">
        <f>1-EXP(-J1132)</f>
      </c>
      <c r="L1132" s="180" t="str">
        <f>IF(G1132=30,1,M1131)</f>
      </c>
      <c r="M1132" s="181" t="str">
        <f>L1132*(1-K1132)</f>
      </c>
    </row>
    <row r="1133">
      <c r="A1133" t="s">
        <v>164</v>
      </c>
      <c r="B1133" t="s">
        <v>112</v>
      </c>
      <c r="C1133" s="32" t="s">
        <v>297</v>
      </c>
      <c r="D1133" t="s">
        <v>112</v>
      </c>
      <c r="E1133" t="s">
        <v>395</v>
      </c>
      <c r="F1133" s="174" t="n">
        <v>2027</v>
      </c>
      <c r="G1133" s="175" t="n">
        <v>41</v>
      </c>
      <c r="H1133" s="176" t="n">
        <v>3826.68864011136</v>
      </c>
      <c r="I1133" s="177" t="n">
        <v>4186992.08139659</v>
      </c>
      <c r="J1133" s="178" t="str">
        <f>IF(I1133&gt;0,H1133/I1133,0)</f>
      </c>
      <c r="K1133" s="179" t="str">
        <f>1-EXP(-J1133)</f>
      </c>
      <c r="L1133" s="180" t="str">
        <f>IF(G1133=30,1,M1132)</f>
      </c>
      <c r="M1133" s="181" t="str">
        <f>L1133*(1-K1133)</f>
      </c>
    </row>
    <row r="1134">
      <c r="A1134" t="s">
        <v>164</v>
      </c>
      <c r="B1134" t="s">
        <v>112</v>
      </c>
      <c r="C1134" s="32" t="s">
        <v>297</v>
      </c>
      <c r="D1134" t="s">
        <v>112</v>
      </c>
      <c r="E1134" t="s">
        <v>395</v>
      </c>
      <c r="F1134" s="174" t="n">
        <v>2027</v>
      </c>
      <c r="G1134" s="175" t="n">
        <v>42</v>
      </c>
      <c r="H1134" s="176" t="n">
        <v>4206.19113470598</v>
      </c>
      <c r="I1134" s="177" t="n">
        <v>4249351.45656534</v>
      </c>
      <c r="J1134" s="178" t="str">
        <f>IF(I1134&gt;0,H1134/I1134,0)</f>
      </c>
      <c r="K1134" s="179" t="str">
        <f>1-EXP(-J1134)</f>
      </c>
      <c r="L1134" s="180" t="str">
        <f>IF(G1134=30,1,M1133)</f>
      </c>
      <c r="M1134" s="181" t="str">
        <f>L1134*(1-K1134)</f>
      </c>
    </row>
    <row r="1135">
      <c r="A1135" t="s">
        <v>164</v>
      </c>
      <c r="B1135" t="s">
        <v>112</v>
      </c>
      <c r="C1135" s="32" t="s">
        <v>297</v>
      </c>
      <c r="D1135" t="s">
        <v>112</v>
      </c>
      <c r="E1135" t="s">
        <v>395</v>
      </c>
      <c r="F1135" s="174" t="n">
        <v>2027</v>
      </c>
      <c r="G1135" s="175" t="n">
        <v>43</v>
      </c>
      <c r="H1135" s="176" t="n">
        <v>4666.65589678812</v>
      </c>
      <c r="I1135" s="177" t="n">
        <v>4337467.62225737</v>
      </c>
      <c r="J1135" s="178" t="str">
        <f>IF(I1135&gt;0,H1135/I1135,0)</f>
      </c>
      <c r="K1135" s="179" t="str">
        <f>1-EXP(-J1135)</f>
      </c>
      <c r="L1135" s="180" t="str">
        <f>IF(G1135=30,1,M1134)</f>
      </c>
      <c r="M1135" s="181" t="str">
        <f>L1135*(1-K1135)</f>
      </c>
    </row>
    <row r="1136">
      <c r="A1136" t="s">
        <v>164</v>
      </c>
      <c r="B1136" t="s">
        <v>112</v>
      </c>
      <c r="C1136" s="32" t="s">
        <v>297</v>
      </c>
      <c r="D1136" t="s">
        <v>112</v>
      </c>
      <c r="E1136" t="s">
        <v>395</v>
      </c>
      <c r="F1136" s="174" t="n">
        <v>2027</v>
      </c>
      <c r="G1136" s="175" t="n">
        <v>44</v>
      </c>
      <c r="H1136" s="176" t="n">
        <v>5063.68937889697</v>
      </c>
      <c r="I1136" s="177" t="n">
        <v>4316061.5062467</v>
      </c>
      <c r="J1136" s="178" t="str">
        <f>IF(I1136&gt;0,H1136/I1136,0)</f>
      </c>
      <c r="K1136" s="179" t="str">
        <f>1-EXP(-J1136)</f>
      </c>
      <c r="L1136" s="180" t="str">
        <f>IF(G1136=30,1,M1135)</f>
      </c>
      <c r="M1136" s="181" t="str">
        <f>L1136*(1-K1136)</f>
      </c>
    </row>
    <row r="1137">
      <c r="A1137" t="s">
        <v>164</v>
      </c>
      <c r="B1137" t="s">
        <v>112</v>
      </c>
      <c r="C1137" s="32" t="s">
        <v>297</v>
      </c>
      <c r="D1137" t="s">
        <v>112</v>
      </c>
      <c r="E1137" t="s">
        <v>395</v>
      </c>
      <c r="F1137" s="174" t="n">
        <v>2027</v>
      </c>
      <c r="G1137" s="175" t="n">
        <v>45</v>
      </c>
      <c r="H1137" s="176" t="n">
        <v>6356.49710992993</v>
      </c>
      <c r="I1137" s="177" t="n">
        <v>4181398.88760029</v>
      </c>
      <c r="J1137" s="178" t="str">
        <f>IF(I1137&gt;0,H1137/I1137,0)</f>
      </c>
      <c r="K1137" s="179" t="str">
        <f>1-EXP(-J1137)</f>
      </c>
      <c r="L1137" s="180" t="str">
        <f>IF(G1137=30,1,M1136)</f>
      </c>
      <c r="M1137" s="181" t="str">
        <f>L1137*(1-K1137)</f>
      </c>
    </row>
    <row r="1138">
      <c r="A1138" t="s">
        <v>164</v>
      </c>
      <c r="B1138" t="s">
        <v>112</v>
      </c>
      <c r="C1138" s="32" t="s">
        <v>297</v>
      </c>
      <c r="D1138" t="s">
        <v>112</v>
      </c>
      <c r="E1138" t="s">
        <v>395</v>
      </c>
      <c r="F1138" s="174" t="n">
        <v>2027</v>
      </c>
      <c r="G1138" s="175" t="n">
        <v>46</v>
      </c>
      <c r="H1138" s="176" t="n">
        <v>6836.27231457112</v>
      </c>
      <c r="I1138" s="177" t="n">
        <v>4108799.71944288</v>
      </c>
      <c r="J1138" s="178" t="str">
        <f>IF(I1138&gt;0,H1138/I1138,0)</f>
      </c>
      <c r="K1138" s="179" t="str">
        <f>1-EXP(-J1138)</f>
      </c>
      <c r="L1138" s="180" t="str">
        <f>IF(G1138=30,1,M1137)</f>
      </c>
      <c r="M1138" s="181" t="str">
        <f>L1138*(1-K1138)</f>
      </c>
    </row>
    <row r="1139">
      <c r="A1139" t="s">
        <v>164</v>
      </c>
      <c r="B1139" t="s">
        <v>112</v>
      </c>
      <c r="C1139" s="32" t="s">
        <v>297</v>
      </c>
      <c r="D1139" t="s">
        <v>112</v>
      </c>
      <c r="E1139" t="s">
        <v>395</v>
      </c>
      <c r="F1139" s="174" t="n">
        <v>2027</v>
      </c>
      <c r="G1139" s="175" t="n">
        <v>47</v>
      </c>
      <c r="H1139" s="176" t="n">
        <v>7382.64054799015</v>
      </c>
      <c r="I1139" s="177" t="n">
        <v>4053352.48220948</v>
      </c>
      <c r="J1139" s="178" t="str">
        <f>IF(I1139&gt;0,H1139/I1139,0)</f>
      </c>
      <c r="K1139" s="179" t="str">
        <f>1-EXP(-J1139)</f>
      </c>
      <c r="L1139" s="180" t="str">
        <f>IF(G1139=30,1,M1138)</f>
      </c>
      <c r="M1139" s="181" t="str">
        <f>L1139*(1-K1139)</f>
      </c>
    </row>
    <row r="1140">
      <c r="A1140" t="s">
        <v>164</v>
      </c>
      <c r="B1140" t="s">
        <v>112</v>
      </c>
      <c r="C1140" s="32" t="s">
        <v>297</v>
      </c>
      <c r="D1140" t="s">
        <v>112</v>
      </c>
      <c r="E1140" t="s">
        <v>395</v>
      </c>
      <c r="F1140" s="174" t="n">
        <v>2027</v>
      </c>
      <c r="G1140" s="175" t="n">
        <v>48</v>
      </c>
      <c r="H1140" s="176" t="n">
        <v>7956.04027801747</v>
      </c>
      <c r="I1140" s="177" t="n">
        <v>3992547.43155247</v>
      </c>
      <c r="J1140" s="178" t="str">
        <f>IF(I1140&gt;0,H1140/I1140,0)</f>
      </c>
      <c r="K1140" s="179" t="str">
        <f>1-EXP(-J1140)</f>
      </c>
      <c r="L1140" s="180" t="str">
        <f>IF(G1140=30,1,M1139)</f>
      </c>
      <c r="M1140" s="181" t="str">
        <f>L1140*(1-K1140)</f>
      </c>
    </row>
    <row r="1141">
      <c r="A1141" t="s">
        <v>164</v>
      </c>
      <c r="B1141" t="s">
        <v>112</v>
      </c>
      <c r="C1141" s="32" t="s">
        <v>297</v>
      </c>
      <c r="D1141" t="s">
        <v>112</v>
      </c>
      <c r="E1141" t="s">
        <v>395</v>
      </c>
      <c r="F1141" s="174" t="n">
        <v>2027</v>
      </c>
      <c r="G1141" s="175" t="n">
        <v>49</v>
      </c>
      <c r="H1141" s="176" t="n">
        <v>8521.32346306782</v>
      </c>
      <c r="I1141" s="177" t="n">
        <v>3912199.10908924</v>
      </c>
      <c r="J1141" s="178" t="str">
        <f>IF(I1141&gt;0,H1141/I1141,0)</f>
      </c>
      <c r="K1141" s="179" t="str">
        <f>1-EXP(-J1141)</f>
      </c>
      <c r="L1141" s="180" t="str">
        <f>IF(G1141=30,1,M1140)</f>
      </c>
      <c r="M1141" s="181" t="str">
        <f>L1141*(1-K1141)</f>
      </c>
    </row>
    <row r="1142">
      <c r="A1142" t="s">
        <v>164</v>
      </c>
      <c r="B1142" t="s">
        <v>112</v>
      </c>
      <c r="C1142" s="32" t="s">
        <v>297</v>
      </c>
      <c r="D1142" t="s">
        <v>112</v>
      </c>
      <c r="E1142" t="s">
        <v>395</v>
      </c>
      <c r="F1142" s="174" t="n">
        <v>2027</v>
      </c>
      <c r="G1142" s="175" t="n">
        <v>50</v>
      </c>
      <c r="H1142" s="176" t="n">
        <v>9802.65378182527</v>
      </c>
      <c r="I1142" s="177" t="n">
        <v>3849330.14904578</v>
      </c>
      <c r="J1142" s="178" t="str">
        <f>IF(I1142&gt;0,H1142/I1142,0)</f>
      </c>
      <c r="K1142" s="179" t="str">
        <f>1-EXP(-J1142)</f>
      </c>
      <c r="L1142" s="180" t="str">
        <f>IF(G1142=30,1,M1141)</f>
      </c>
      <c r="M1142" s="181" t="str">
        <f>L1142*(1-K1142)</f>
      </c>
    </row>
    <row r="1143">
      <c r="A1143" t="s">
        <v>164</v>
      </c>
      <c r="B1143" t="s">
        <v>112</v>
      </c>
      <c r="C1143" s="32" t="s">
        <v>297</v>
      </c>
      <c r="D1143" t="s">
        <v>112</v>
      </c>
      <c r="E1143" t="s">
        <v>395</v>
      </c>
      <c r="F1143" s="174" t="n">
        <v>2027</v>
      </c>
      <c r="G1143" s="175" t="n">
        <v>51</v>
      </c>
      <c r="H1143" s="176" t="n">
        <v>10484.3835729037</v>
      </c>
      <c r="I1143" s="177" t="n">
        <v>3773648.83540401</v>
      </c>
      <c r="J1143" s="178" t="str">
        <f>IF(I1143&gt;0,H1143/I1143,0)</f>
      </c>
      <c r="K1143" s="179" t="str">
        <f>1-EXP(-J1143)</f>
      </c>
      <c r="L1143" s="180" t="str">
        <f>IF(G1143=30,1,M1142)</f>
      </c>
      <c r="M1143" s="181" t="str">
        <f>L1143*(1-K1143)</f>
      </c>
    </row>
    <row r="1144">
      <c r="A1144" t="s">
        <v>164</v>
      </c>
      <c r="B1144" t="s">
        <v>112</v>
      </c>
      <c r="C1144" s="32" t="s">
        <v>297</v>
      </c>
      <c r="D1144" t="s">
        <v>112</v>
      </c>
      <c r="E1144" t="s">
        <v>395</v>
      </c>
      <c r="F1144" s="174" t="n">
        <v>2027</v>
      </c>
      <c r="G1144" s="175" t="n">
        <v>52</v>
      </c>
      <c r="H1144" s="176" t="n">
        <v>11207.8932502941</v>
      </c>
      <c r="I1144" s="177" t="n">
        <v>3698211.98443596</v>
      </c>
      <c r="J1144" s="178" t="str">
        <f>IF(I1144&gt;0,H1144/I1144,0)</f>
      </c>
      <c r="K1144" s="179" t="str">
        <f>1-EXP(-J1144)</f>
      </c>
      <c r="L1144" s="180" t="str">
        <f>IF(G1144=30,1,M1143)</f>
      </c>
      <c r="M1144" s="181" t="str">
        <f>L1144*(1-K1144)</f>
      </c>
    </row>
    <row r="1145">
      <c r="A1145" t="s">
        <v>164</v>
      </c>
      <c r="B1145" t="s">
        <v>112</v>
      </c>
      <c r="C1145" s="32" t="s">
        <v>297</v>
      </c>
      <c r="D1145" t="s">
        <v>112</v>
      </c>
      <c r="E1145" t="s">
        <v>395</v>
      </c>
      <c r="F1145" s="174" t="n">
        <v>2027</v>
      </c>
      <c r="G1145" s="175" t="n">
        <v>53</v>
      </c>
      <c r="H1145" s="176" t="n">
        <v>11887.4988982951</v>
      </c>
      <c r="I1145" s="177" t="n">
        <v>3595027.19820618</v>
      </c>
      <c r="J1145" s="178" t="str">
        <f>IF(I1145&gt;0,H1145/I1145,0)</f>
      </c>
      <c r="K1145" s="179" t="str">
        <f>1-EXP(-J1145)</f>
      </c>
      <c r="L1145" s="180" t="str">
        <f>IF(G1145=30,1,M1144)</f>
      </c>
      <c r="M1145" s="181" t="str">
        <f>L1145*(1-K1145)</f>
      </c>
    </row>
    <row r="1146">
      <c r="A1146" t="s">
        <v>164</v>
      </c>
      <c r="B1146" t="s">
        <v>112</v>
      </c>
      <c r="C1146" s="32" t="s">
        <v>297</v>
      </c>
      <c r="D1146" t="s">
        <v>112</v>
      </c>
      <c r="E1146" t="s">
        <v>395</v>
      </c>
      <c r="F1146" s="174" t="n">
        <v>2027</v>
      </c>
      <c r="G1146" s="175" t="n">
        <v>54</v>
      </c>
      <c r="H1146" s="176" t="n">
        <v>12823.0676521048</v>
      </c>
      <c r="I1146" s="177" t="n">
        <v>3553002.20684453</v>
      </c>
      <c r="J1146" s="178" t="str">
        <f>IF(I1146&gt;0,H1146/I1146,0)</f>
      </c>
      <c r="K1146" s="179" t="str">
        <f>1-EXP(-J1146)</f>
      </c>
      <c r="L1146" s="180" t="str">
        <f>IF(G1146=30,1,M1145)</f>
      </c>
      <c r="M1146" s="181" t="str">
        <f>L1146*(1-K1146)</f>
      </c>
    </row>
    <row r="1147">
      <c r="A1147" t="s">
        <v>164</v>
      </c>
      <c r="B1147" t="s">
        <v>112</v>
      </c>
      <c r="C1147" s="32" t="s">
        <v>297</v>
      </c>
      <c r="D1147" t="s">
        <v>112</v>
      </c>
      <c r="E1147" t="s">
        <v>395</v>
      </c>
      <c r="F1147" s="174" t="n">
        <v>2027</v>
      </c>
      <c r="G1147" s="175" t="n">
        <v>55</v>
      </c>
      <c r="H1147" s="176" t="n">
        <v>13407.9794842427</v>
      </c>
      <c r="I1147" s="177" t="n">
        <v>3344959.48441103</v>
      </c>
      <c r="J1147" s="178" t="str">
        <f>IF(I1147&gt;0,H1147/I1147,0)</f>
      </c>
      <c r="K1147" s="179" t="str">
        <f>1-EXP(-J1147)</f>
      </c>
      <c r="L1147" s="180" t="str">
        <f>IF(G1147=30,1,M1146)</f>
      </c>
      <c r="M1147" s="181" t="str">
        <f>L1147*(1-K1147)</f>
      </c>
    </row>
    <row r="1148">
      <c r="A1148" t="s">
        <v>164</v>
      </c>
      <c r="B1148" t="s">
        <v>112</v>
      </c>
      <c r="C1148" s="32" t="s">
        <v>297</v>
      </c>
      <c r="D1148" t="s">
        <v>112</v>
      </c>
      <c r="E1148" t="s">
        <v>395</v>
      </c>
      <c r="F1148" s="174" t="n">
        <v>2027</v>
      </c>
      <c r="G1148" s="175" t="n">
        <v>56</v>
      </c>
      <c r="H1148" s="176" t="n">
        <v>14268.7685884565</v>
      </c>
      <c r="I1148" s="177" t="n">
        <v>3259736.63575088</v>
      </c>
      <c r="J1148" s="178" t="str">
        <f>IF(I1148&gt;0,H1148/I1148,0)</f>
      </c>
      <c r="K1148" s="179" t="str">
        <f>1-EXP(-J1148)</f>
      </c>
      <c r="L1148" s="180" t="str">
        <f>IF(G1148=30,1,M1147)</f>
      </c>
      <c r="M1148" s="181" t="str">
        <f>L1148*(1-K1148)</f>
      </c>
    </row>
    <row r="1149">
      <c r="A1149" t="s">
        <v>164</v>
      </c>
      <c r="B1149" t="s">
        <v>112</v>
      </c>
      <c r="C1149" s="32" t="s">
        <v>297</v>
      </c>
      <c r="D1149" t="s">
        <v>112</v>
      </c>
      <c r="E1149" t="s">
        <v>395</v>
      </c>
      <c r="F1149" s="174" t="n">
        <v>2027</v>
      </c>
      <c r="G1149" s="175" t="n">
        <v>57</v>
      </c>
      <c r="H1149" s="176" t="n">
        <v>15203.1986519157</v>
      </c>
      <c r="I1149" s="177" t="n">
        <v>3179593.51740233</v>
      </c>
      <c r="J1149" s="178" t="str">
        <f>IF(I1149&gt;0,H1149/I1149,0)</f>
      </c>
      <c r="K1149" s="179" t="str">
        <f>1-EXP(-J1149)</f>
      </c>
      <c r="L1149" s="180" t="str">
        <f>IF(G1149=30,1,M1148)</f>
      </c>
      <c r="M1149" s="181" t="str">
        <f>L1149*(1-K1149)</f>
      </c>
    </row>
    <row r="1150">
      <c r="A1150" t="s">
        <v>164</v>
      </c>
      <c r="B1150" t="s">
        <v>112</v>
      </c>
      <c r="C1150" s="32" t="s">
        <v>297</v>
      </c>
      <c r="D1150" t="s">
        <v>112</v>
      </c>
      <c r="E1150" t="s">
        <v>395</v>
      </c>
      <c r="F1150" s="174" t="n">
        <v>2027</v>
      </c>
      <c r="G1150" s="175" t="n">
        <v>58</v>
      </c>
      <c r="H1150" s="176" t="n">
        <v>16142.2524500568</v>
      </c>
      <c r="I1150" s="177" t="n">
        <v>3090183.089322</v>
      </c>
      <c r="J1150" s="178" t="str">
        <f>IF(I1150&gt;0,H1150/I1150,0)</f>
      </c>
      <c r="K1150" s="179" t="str">
        <f>1-EXP(-J1150)</f>
      </c>
      <c r="L1150" s="180" t="str">
        <f>IF(G1150=30,1,M1149)</f>
      </c>
      <c r="M1150" s="181" t="str">
        <f>L1150*(1-K1150)</f>
      </c>
    </row>
    <row r="1151">
      <c r="A1151" t="s">
        <v>164</v>
      </c>
      <c r="B1151" t="s">
        <v>112</v>
      </c>
      <c r="C1151" s="32" t="s">
        <v>297</v>
      </c>
      <c r="D1151" t="s">
        <v>112</v>
      </c>
      <c r="E1151" t="s">
        <v>395</v>
      </c>
      <c r="F1151" s="174" t="n">
        <v>2027</v>
      </c>
      <c r="G1151" s="175" t="n">
        <v>59</v>
      </c>
      <c r="H1151" s="176" t="n">
        <v>17013.7353543207</v>
      </c>
      <c r="I1151" s="177" t="n">
        <v>2980758.87302829</v>
      </c>
      <c r="J1151" s="178" t="str">
        <f>IF(I1151&gt;0,H1151/I1151,0)</f>
      </c>
      <c r="K1151" s="179" t="str">
        <f>1-EXP(-J1151)</f>
      </c>
      <c r="L1151" s="180" t="str">
        <f>IF(G1151=30,1,M1150)</f>
      </c>
      <c r="M1151" s="181" t="str">
        <f>L1151*(1-K1151)</f>
      </c>
    </row>
    <row r="1152">
      <c r="A1152" t="s">
        <v>164</v>
      </c>
      <c r="B1152" t="s">
        <v>112</v>
      </c>
      <c r="C1152" s="32" t="s">
        <v>297</v>
      </c>
      <c r="D1152" t="s">
        <v>112</v>
      </c>
      <c r="E1152" t="s">
        <v>395</v>
      </c>
      <c r="F1152" s="174" t="n">
        <v>2027</v>
      </c>
      <c r="G1152" s="175" t="n">
        <v>60</v>
      </c>
      <c r="H1152" s="176" t="n">
        <v>18176.5065704924</v>
      </c>
      <c r="I1152" s="177" t="n">
        <v>2839714.31178712</v>
      </c>
      <c r="J1152" s="178" t="str">
        <f>IF(I1152&gt;0,H1152/I1152,0)</f>
      </c>
      <c r="K1152" s="179" t="str">
        <f>1-EXP(-J1152)</f>
      </c>
      <c r="L1152" s="180" t="str">
        <f>IF(G1152=30,1,M1151)</f>
      </c>
      <c r="M1152" s="181" t="str">
        <f>L1152*(1-K1152)</f>
      </c>
    </row>
    <row r="1153">
      <c r="A1153" t="s">
        <v>164</v>
      </c>
      <c r="B1153" t="s">
        <v>112</v>
      </c>
      <c r="C1153" s="32" t="s">
        <v>297</v>
      </c>
      <c r="D1153" t="s">
        <v>112</v>
      </c>
      <c r="E1153" t="s">
        <v>395</v>
      </c>
      <c r="F1153" s="174" t="n">
        <v>2027</v>
      </c>
      <c r="G1153" s="175" t="n">
        <v>61</v>
      </c>
      <c r="H1153" s="176" t="n">
        <v>19136.1343776047</v>
      </c>
      <c r="I1153" s="177" t="n">
        <v>2735142.02962848</v>
      </c>
      <c r="J1153" s="178" t="str">
        <f>IF(I1153&gt;0,H1153/I1153,0)</f>
      </c>
      <c r="K1153" s="179" t="str">
        <f>1-EXP(-J1153)</f>
      </c>
      <c r="L1153" s="180" t="str">
        <f>IF(G1153=30,1,M1152)</f>
      </c>
      <c r="M1153" s="181" t="str">
        <f>L1153*(1-K1153)</f>
      </c>
    </row>
    <row r="1154">
      <c r="A1154" t="s">
        <v>164</v>
      </c>
      <c r="B1154" t="s">
        <v>112</v>
      </c>
      <c r="C1154" s="32" t="s">
        <v>297</v>
      </c>
      <c r="D1154" t="s">
        <v>112</v>
      </c>
      <c r="E1154" t="s">
        <v>395</v>
      </c>
      <c r="F1154" s="174" t="n">
        <v>2027</v>
      </c>
      <c r="G1154" s="175" t="n">
        <v>62</v>
      </c>
      <c r="H1154" s="176" t="n">
        <v>19958.9177508784</v>
      </c>
      <c r="I1154" s="177" t="n">
        <v>2609163.31215564</v>
      </c>
      <c r="J1154" s="178" t="str">
        <f>IF(I1154&gt;0,H1154/I1154,0)</f>
      </c>
      <c r="K1154" s="179" t="str">
        <f>1-EXP(-J1154)</f>
      </c>
      <c r="L1154" s="180" t="str">
        <f>IF(G1154=30,1,M1153)</f>
      </c>
      <c r="M1154" s="181" t="str">
        <f>L1154*(1-K1154)</f>
      </c>
    </row>
    <row r="1155">
      <c r="A1155" t="s">
        <v>164</v>
      </c>
      <c r="B1155" t="s">
        <v>112</v>
      </c>
      <c r="C1155" s="32" t="s">
        <v>297</v>
      </c>
      <c r="D1155" t="s">
        <v>112</v>
      </c>
      <c r="E1155" t="s">
        <v>395</v>
      </c>
      <c r="F1155" s="174" t="n">
        <v>2027</v>
      </c>
      <c r="G1155" s="175" t="n">
        <v>63</v>
      </c>
      <c r="H1155" s="176" t="n">
        <v>20783.8423613142</v>
      </c>
      <c r="I1155" s="177" t="n">
        <v>2483400.29066574</v>
      </c>
      <c r="J1155" s="178" t="str">
        <f>IF(I1155&gt;0,H1155/I1155,0)</f>
      </c>
      <c r="K1155" s="179" t="str">
        <f>1-EXP(-J1155)</f>
      </c>
      <c r="L1155" s="180" t="str">
        <f>IF(G1155=30,1,M1154)</f>
      </c>
      <c r="M1155" s="181" t="str">
        <f>L1155*(1-K1155)</f>
      </c>
    </row>
    <row r="1156">
      <c r="A1156" t="s">
        <v>164</v>
      </c>
      <c r="B1156" t="s">
        <v>112</v>
      </c>
      <c r="C1156" s="32" t="s">
        <v>297</v>
      </c>
      <c r="D1156" t="s">
        <v>112</v>
      </c>
      <c r="E1156" t="s">
        <v>395</v>
      </c>
      <c r="F1156" s="174" t="n">
        <v>2027</v>
      </c>
      <c r="G1156" s="175" t="n">
        <v>64</v>
      </c>
      <c r="H1156" s="176" t="n">
        <v>21644.7958683747</v>
      </c>
      <c r="I1156" s="177" t="n">
        <v>2362617.9861867</v>
      </c>
      <c r="J1156" s="178" t="str">
        <f>IF(I1156&gt;0,H1156/I1156,0)</f>
      </c>
      <c r="K1156" s="179" t="str">
        <f>1-EXP(-J1156)</f>
      </c>
      <c r="L1156" s="180" t="str">
        <f>IF(G1156=30,1,M1155)</f>
      </c>
      <c r="M1156" s="181" t="str">
        <f>L1156*(1-K1156)</f>
      </c>
    </row>
    <row r="1157">
      <c r="A1157" t="s">
        <v>164</v>
      </c>
      <c r="B1157" t="s">
        <v>112</v>
      </c>
      <c r="C1157" s="32" t="s">
        <v>297</v>
      </c>
      <c r="D1157" t="s">
        <v>112</v>
      </c>
      <c r="E1157" t="s">
        <v>395</v>
      </c>
      <c r="F1157" s="174" t="n">
        <v>2027</v>
      </c>
      <c r="G1157" s="175" t="n">
        <v>65</v>
      </c>
      <c r="H1157" s="176" t="n">
        <v>21756.2014563949</v>
      </c>
      <c r="I1157" s="177" t="n">
        <v>2216128.96626478</v>
      </c>
      <c r="J1157" s="178" t="str">
        <f>IF(I1157&gt;0,H1157/I1157,0)</f>
      </c>
      <c r="K1157" s="179" t="str">
        <f>1-EXP(-J1157)</f>
      </c>
      <c r="L1157" s="180" t="str">
        <f>IF(G1157=30,1,M1156)</f>
      </c>
      <c r="M1157" s="181" t="str">
        <f>L1157*(1-K1157)</f>
      </c>
    </row>
    <row r="1158">
      <c r="A1158" t="s">
        <v>164</v>
      </c>
      <c r="B1158" t="s">
        <v>112</v>
      </c>
      <c r="C1158" s="32" t="s">
        <v>297</v>
      </c>
      <c r="D1158" t="s">
        <v>112</v>
      </c>
      <c r="E1158" t="s">
        <v>395</v>
      </c>
      <c r="F1158" s="174" t="n">
        <v>2027</v>
      </c>
      <c r="G1158" s="175" t="n">
        <v>66</v>
      </c>
      <c r="H1158" s="176" t="n">
        <v>22536.157978997</v>
      </c>
      <c r="I1158" s="177" t="n">
        <v>2094965.17772269</v>
      </c>
      <c r="J1158" s="178" t="str">
        <f>IF(I1158&gt;0,H1158/I1158,0)</f>
      </c>
      <c r="K1158" s="179" t="str">
        <f>1-EXP(-J1158)</f>
      </c>
      <c r="L1158" s="180" t="str">
        <f>IF(G1158=30,1,M1157)</f>
      </c>
      <c r="M1158" s="181" t="str">
        <f>L1158*(1-K1158)</f>
      </c>
    </row>
    <row r="1159">
      <c r="A1159" t="s">
        <v>164</v>
      </c>
      <c r="B1159" t="s">
        <v>112</v>
      </c>
      <c r="C1159" s="32" t="s">
        <v>297</v>
      </c>
      <c r="D1159" t="s">
        <v>112</v>
      </c>
      <c r="E1159" t="s">
        <v>395</v>
      </c>
      <c r="F1159" s="174" t="n">
        <v>2027</v>
      </c>
      <c r="G1159" s="175" t="n">
        <v>67</v>
      </c>
      <c r="H1159" s="176" t="n">
        <v>23227.2641563752</v>
      </c>
      <c r="I1159" s="177" t="n">
        <v>1969800.16127879</v>
      </c>
      <c r="J1159" s="178" t="str">
        <f>IF(I1159&gt;0,H1159/I1159,0)</f>
      </c>
      <c r="K1159" s="179" t="str">
        <f>1-EXP(-J1159)</f>
      </c>
      <c r="L1159" s="180" t="str">
        <f>IF(G1159=30,1,M1158)</f>
      </c>
      <c r="M1159" s="181" t="str">
        <f>L1159*(1-K1159)</f>
      </c>
    </row>
    <row r="1160">
      <c r="A1160" t="s">
        <v>164</v>
      </c>
      <c r="B1160" t="s">
        <v>112</v>
      </c>
      <c r="C1160" s="32" t="s">
        <v>297</v>
      </c>
      <c r="D1160" t="s">
        <v>112</v>
      </c>
      <c r="E1160" t="s">
        <v>395</v>
      </c>
      <c r="F1160" s="174" t="n">
        <v>2027</v>
      </c>
      <c r="G1160" s="175" t="n">
        <v>68</v>
      </c>
      <c r="H1160" s="176" t="n">
        <v>23779.4649126788</v>
      </c>
      <c r="I1160" s="177" t="n">
        <v>1838757.2389523</v>
      </c>
      <c r="J1160" s="178" t="str">
        <f>IF(I1160&gt;0,H1160/I1160,0)</f>
      </c>
      <c r="K1160" s="179" t="str">
        <f>1-EXP(-J1160)</f>
      </c>
      <c r="L1160" s="180" t="str">
        <f>IF(G1160=30,1,M1159)</f>
      </c>
      <c r="M1160" s="181" t="str">
        <f>L1160*(1-K1160)</f>
      </c>
    </row>
    <row r="1161">
      <c r="A1161" t="s">
        <v>164</v>
      </c>
      <c r="B1161" t="s">
        <v>112</v>
      </c>
      <c r="C1161" s="32" t="s">
        <v>297</v>
      </c>
      <c r="D1161" t="s">
        <v>112</v>
      </c>
      <c r="E1161" t="s">
        <v>395</v>
      </c>
      <c r="F1161" s="174" t="n">
        <v>2027</v>
      </c>
      <c r="G1161" s="175" t="n">
        <v>69</v>
      </c>
      <c r="H1161" s="176" t="n">
        <v>24276.3563604012</v>
      </c>
      <c r="I1161" s="177" t="n">
        <v>1710271.90798235</v>
      </c>
      <c r="J1161" s="178" t="str">
        <f>IF(I1161&gt;0,H1161/I1161,0)</f>
      </c>
      <c r="K1161" s="179" t="str">
        <f>1-EXP(-J1161)</f>
      </c>
      <c r="L1161" s="180" t="str">
        <f>IF(G1161=30,1,M1160)</f>
      </c>
      <c r="M1161" s="181" t="str">
        <f>L1161*(1-K1161)</f>
      </c>
    </row>
    <row r="1162">
      <c r="A1162" t="s">
        <v>164</v>
      </c>
      <c r="B1162" t="s">
        <v>112</v>
      </c>
      <c r="C1162" s="32" t="s">
        <v>297</v>
      </c>
      <c r="D1162" t="s">
        <v>112</v>
      </c>
      <c r="E1162" t="s">
        <v>395</v>
      </c>
      <c r="F1162" s="174" t="n">
        <v>2028</v>
      </c>
      <c r="G1162" s="175" t="n">
        <v>30</v>
      </c>
      <c r="H1162" s="176" t="n">
        <v>986.004927108551</v>
      </c>
      <c r="I1162" s="177" t="n">
        <v>4420053.28578776</v>
      </c>
      <c r="J1162" s="178" t="str">
        <f>IF(I1162&gt;0,H1162/I1162,0)</f>
      </c>
      <c r="K1162" s="179" t="str">
        <f>1-EXP(-J1162)</f>
      </c>
      <c r="L1162" s="180" t="str">
        <f>IF(G1162=30,1,M1161)</f>
      </c>
      <c r="M1162" s="181" t="str">
        <f>L1162*(1-K1162)</f>
      </c>
    </row>
    <row r="1163">
      <c r="A1163" t="s">
        <v>164</v>
      </c>
      <c r="B1163" t="s">
        <v>112</v>
      </c>
      <c r="C1163" s="32" t="s">
        <v>297</v>
      </c>
      <c r="D1163" t="s">
        <v>112</v>
      </c>
      <c r="E1163" t="s">
        <v>395</v>
      </c>
      <c r="F1163" s="174" t="n">
        <v>2028</v>
      </c>
      <c r="G1163" s="175" t="n">
        <v>31</v>
      </c>
      <c r="H1163" s="176" t="n">
        <v>1348.75160870914</v>
      </c>
      <c r="I1163" s="177" t="n">
        <v>4561944.67980585</v>
      </c>
      <c r="J1163" s="178" t="str">
        <f>IF(I1163&gt;0,H1163/I1163,0)</f>
      </c>
      <c r="K1163" s="179" t="str">
        <f>1-EXP(-J1163)</f>
      </c>
      <c r="L1163" s="180" t="str">
        <f>IF(G1163=30,1,M1162)</f>
      </c>
      <c r="M1163" s="181" t="str">
        <f>L1163*(1-K1163)</f>
      </c>
    </row>
    <row r="1164">
      <c r="A1164" t="s">
        <v>164</v>
      </c>
      <c r="B1164" t="s">
        <v>112</v>
      </c>
      <c r="C1164" s="32" t="s">
        <v>297</v>
      </c>
      <c r="D1164" t="s">
        <v>112</v>
      </c>
      <c r="E1164" t="s">
        <v>395</v>
      </c>
      <c r="F1164" s="174" t="n">
        <v>2028</v>
      </c>
      <c r="G1164" s="175" t="n">
        <v>32</v>
      </c>
      <c r="H1164" s="176" t="n">
        <v>1397.44082171636</v>
      </c>
      <c r="I1164" s="177" t="n">
        <v>4519587.61636361</v>
      </c>
      <c r="J1164" s="178" t="str">
        <f>IF(I1164&gt;0,H1164/I1164,0)</f>
      </c>
      <c r="K1164" s="179" t="str">
        <f>1-EXP(-J1164)</f>
      </c>
      <c r="L1164" s="180" t="str">
        <f>IF(G1164=30,1,M1163)</f>
      </c>
      <c r="M1164" s="181" t="str">
        <f>L1164*(1-K1164)</f>
      </c>
    </row>
    <row r="1165">
      <c r="A1165" t="s">
        <v>164</v>
      </c>
      <c r="B1165" t="s">
        <v>112</v>
      </c>
      <c r="C1165" s="32" t="s">
        <v>297</v>
      </c>
      <c r="D1165" t="s">
        <v>112</v>
      </c>
      <c r="E1165" t="s">
        <v>395</v>
      </c>
      <c r="F1165" s="174" t="n">
        <v>2028</v>
      </c>
      <c r="G1165" s="175" t="n">
        <v>33</v>
      </c>
      <c r="H1165" s="176" t="n">
        <v>1447.40689837727</v>
      </c>
      <c r="I1165" s="177" t="n">
        <v>4447041.22617452</v>
      </c>
      <c r="J1165" s="178" t="str">
        <f>IF(I1165&gt;0,H1165/I1165,0)</f>
      </c>
      <c r="K1165" s="179" t="str">
        <f>1-EXP(-J1165)</f>
      </c>
      <c r="L1165" s="180" t="str">
        <f>IF(G1165=30,1,M1164)</f>
      </c>
      <c r="M1165" s="181" t="str">
        <f>L1165*(1-K1165)</f>
      </c>
    </row>
    <row r="1166">
      <c r="A1166" t="s">
        <v>164</v>
      </c>
      <c r="B1166" t="s">
        <v>112</v>
      </c>
      <c r="C1166" s="32" t="s">
        <v>297</v>
      </c>
      <c r="D1166" t="s">
        <v>112</v>
      </c>
      <c r="E1166" t="s">
        <v>395</v>
      </c>
      <c r="F1166" s="174" t="n">
        <v>2028</v>
      </c>
      <c r="G1166" s="175" t="n">
        <v>34</v>
      </c>
      <c r="H1166" s="176" t="n">
        <v>1513.53298482814</v>
      </c>
      <c r="I1166" s="177" t="n">
        <v>4390417.85901974</v>
      </c>
      <c r="J1166" s="178" t="str">
        <f>IF(I1166&gt;0,H1166/I1166,0)</f>
      </c>
      <c r="K1166" s="179" t="str">
        <f>1-EXP(-J1166)</f>
      </c>
      <c r="L1166" s="180" t="str">
        <f>IF(G1166=30,1,M1165)</f>
      </c>
      <c r="M1166" s="181" t="str">
        <f>L1166*(1-K1166)</f>
      </c>
    </row>
    <row r="1167">
      <c r="A1167" t="s">
        <v>164</v>
      </c>
      <c r="B1167" t="s">
        <v>112</v>
      </c>
      <c r="C1167" s="32" t="s">
        <v>297</v>
      </c>
      <c r="D1167" t="s">
        <v>112</v>
      </c>
      <c r="E1167" t="s">
        <v>395</v>
      </c>
      <c r="F1167" s="174" t="n">
        <v>2028</v>
      </c>
      <c r="G1167" s="175" t="n">
        <v>35</v>
      </c>
      <c r="H1167" s="176" t="n">
        <v>2049.0230557139</v>
      </c>
      <c r="I1167" s="177" t="n">
        <v>4337509.93349034</v>
      </c>
      <c r="J1167" s="178" t="str">
        <f>IF(I1167&gt;0,H1167/I1167,0)</f>
      </c>
      <c r="K1167" s="179" t="str">
        <f>1-EXP(-J1167)</f>
      </c>
      <c r="L1167" s="180" t="str">
        <f>IF(G1167=30,1,M1166)</f>
      </c>
      <c r="M1167" s="181" t="str">
        <f>L1167*(1-K1167)</f>
      </c>
    </row>
    <row r="1168">
      <c r="A1168" t="s">
        <v>164</v>
      </c>
      <c r="B1168" t="s">
        <v>112</v>
      </c>
      <c r="C1168" s="32" t="s">
        <v>297</v>
      </c>
      <c r="D1168" t="s">
        <v>112</v>
      </c>
      <c r="E1168" t="s">
        <v>395</v>
      </c>
      <c r="F1168" s="174" t="n">
        <v>2028</v>
      </c>
      <c r="G1168" s="175" t="n">
        <v>36</v>
      </c>
      <c r="H1168" s="176" t="n">
        <v>2208.32306509608</v>
      </c>
      <c r="I1168" s="177" t="n">
        <v>4375912.93833686</v>
      </c>
      <c r="J1168" s="178" t="str">
        <f>IF(I1168&gt;0,H1168/I1168,0)</f>
      </c>
      <c r="K1168" s="179" t="str">
        <f>1-EXP(-J1168)</f>
      </c>
      <c r="L1168" s="180" t="str">
        <f>IF(G1168=30,1,M1167)</f>
      </c>
      <c r="M1168" s="181" t="str">
        <f>L1168*(1-K1168)</f>
      </c>
    </row>
    <row r="1169">
      <c r="A1169" t="s">
        <v>164</v>
      </c>
      <c r="B1169" t="s">
        <v>112</v>
      </c>
      <c r="C1169" s="32" t="s">
        <v>297</v>
      </c>
      <c r="D1169" t="s">
        <v>112</v>
      </c>
      <c r="E1169" t="s">
        <v>395</v>
      </c>
      <c r="F1169" s="174" t="n">
        <v>2028</v>
      </c>
      <c r="G1169" s="175" t="n">
        <v>37</v>
      </c>
      <c r="H1169" s="176" t="n">
        <v>2377.08462513817</v>
      </c>
      <c r="I1169" s="177" t="n">
        <v>4395143.84372367</v>
      </c>
      <c r="J1169" s="178" t="str">
        <f>IF(I1169&gt;0,H1169/I1169,0)</f>
      </c>
      <c r="K1169" s="179" t="str">
        <f>1-EXP(-J1169)</f>
      </c>
      <c r="L1169" s="180" t="str">
        <f>IF(G1169=30,1,M1168)</f>
      </c>
      <c r="M1169" s="181" t="str">
        <f>L1169*(1-K1169)</f>
      </c>
    </row>
    <row r="1170">
      <c r="A1170" t="s">
        <v>164</v>
      </c>
      <c r="B1170" t="s">
        <v>112</v>
      </c>
      <c r="C1170" s="32" t="s">
        <v>297</v>
      </c>
      <c r="D1170" t="s">
        <v>112</v>
      </c>
      <c r="E1170" t="s">
        <v>395</v>
      </c>
      <c r="F1170" s="174" t="n">
        <v>2028</v>
      </c>
      <c r="G1170" s="175" t="n">
        <v>38</v>
      </c>
      <c r="H1170" s="176" t="n">
        <v>3605.851532561</v>
      </c>
      <c r="I1170" s="177" t="n">
        <v>6472803.17772374</v>
      </c>
      <c r="J1170" s="178" t="str">
        <f>IF(I1170&gt;0,H1170/I1170,0)</f>
      </c>
      <c r="K1170" s="179" t="str">
        <f>1-EXP(-J1170)</f>
      </c>
      <c r="L1170" s="180" t="str">
        <f>IF(G1170=30,1,M1169)</f>
      </c>
      <c r="M1170" s="181" t="str">
        <f>L1170*(1-K1170)</f>
      </c>
    </row>
    <row r="1171">
      <c r="A1171" t="s">
        <v>164</v>
      </c>
      <c r="B1171" t="s">
        <v>112</v>
      </c>
      <c r="C1171" s="32" t="s">
        <v>297</v>
      </c>
      <c r="D1171" t="s">
        <v>112</v>
      </c>
      <c r="E1171" t="s">
        <v>395</v>
      </c>
      <c r="F1171" s="174" t="n">
        <v>2028</v>
      </c>
      <c r="G1171" s="175" t="n">
        <v>39</v>
      </c>
      <c r="H1171" s="176" t="n">
        <v>2719.55952936503</v>
      </c>
      <c r="I1171" s="177" t="n">
        <v>4356168.97213635</v>
      </c>
      <c r="J1171" s="178" t="str">
        <f>IF(I1171&gt;0,H1171/I1171,0)</f>
      </c>
      <c r="K1171" s="179" t="str">
        <f>1-EXP(-J1171)</f>
      </c>
      <c r="L1171" s="180" t="str">
        <f>IF(G1171=30,1,M1170)</f>
      </c>
      <c r="M1171" s="181" t="str">
        <f>L1171*(1-K1171)</f>
      </c>
    </row>
    <row r="1172">
      <c r="A1172" t="s">
        <v>164</v>
      </c>
      <c r="B1172" t="s">
        <v>112</v>
      </c>
      <c r="C1172" s="32" t="s">
        <v>297</v>
      </c>
      <c r="D1172" t="s">
        <v>112</v>
      </c>
      <c r="E1172" t="s">
        <v>395</v>
      </c>
      <c r="F1172" s="174" t="n">
        <v>2028</v>
      </c>
      <c r="G1172" s="175" t="n">
        <v>40</v>
      </c>
      <c r="H1172" s="176" t="n">
        <v>3650.93520962329</v>
      </c>
      <c r="I1172" s="177" t="n">
        <v>4340882.87820302</v>
      </c>
      <c r="J1172" s="178" t="str">
        <f>IF(I1172&gt;0,H1172/I1172,0)</f>
      </c>
      <c r="K1172" s="179" t="str">
        <f>1-EXP(-J1172)</f>
      </c>
      <c r="L1172" s="180" t="str">
        <f>IF(G1172=30,1,M1171)</f>
      </c>
      <c r="M1172" s="181" t="str">
        <f>L1172*(1-K1172)</f>
      </c>
    </row>
    <row r="1173">
      <c r="A1173" t="s">
        <v>164</v>
      </c>
      <c r="B1173" t="s">
        <v>112</v>
      </c>
      <c r="C1173" s="32" t="s">
        <v>297</v>
      </c>
      <c r="D1173" t="s">
        <v>112</v>
      </c>
      <c r="E1173" t="s">
        <v>395</v>
      </c>
      <c r="F1173" s="174" t="n">
        <v>2028</v>
      </c>
      <c r="G1173" s="175" t="n">
        <v>41</v>
      </c>
      <c r="H1173" s="176" t="n">
        <v>3823.72680382325</v>
      </c>
      <c r="I1173" s="177" t="n">
        <v>4208739.15467603</v>
      </c>
      <c r="J1173" s="178" t="str">
        <f>IF(I1173&gt;0,H1173/I1173,0)</f>
      </c>
      <c r="K1173" s="179" t="str">
        <f>1-EXP(-J1173)</f>
      </c>
      <c r="L1173" s="180" t="str">
        <f>IF(G1173=30,1,M1172)</f>
      </c>
      <c r="M1173" s="181" t="str">
        <f>L1173*(1-K1173)</f>
      </c>
    </row>
    <row r="1174">
      <c r="A1174" t="s">
        <v>164</v>
      </c>
      <c r="B1174" t="s">
        <v>112</v>
      </c>
      <c r="C1174" s="32" t="s">
        <v>297</v>
      </c>
      <c r="D1174" t="s">
        <v>112</v>
      </c>
      <c r="E1174" t="s">
        <v>395</v>
      </c>
      <c r="F1174" s="174" t="n">
        <v>2028</v>
      </c>
      <c r="G1174" s="175" t="n">
        <v>42</v>
      </c>
      <c r="H1174" s="176" t="n">
        <v>4110.03742797513</v>
      </c>
      <c r="I1174" s="177" t="n">
        <v>4175672.94149674</v>
      </c>
      <c r="J1174" s="178" t="str">
        <f>IF(I1174&gt;0,H1174/I1174,0)</f>
      </c>
      <c r="K1174" s="179" t="str">
        <f>1-EXP(-J1174)</f>
      </c>
      <c r="L1174" s="180" t="str">
        <f>IF(G1174=30,1,M1173)</f>
      </c>
      <c r="M1174" s="181" t="str">
        <f>L1174*(1-K1174)</f>
      </c>
    </row>
    <row r="1175">
      <c r="A1175" t="s">
        <v>164</v>
      </c>
      <c r="B1175" t="s">
        <v>112</v>
      </c>
      <c r="C1175" s="32" t="s">
        <v>297</v>
      </c>
      <c r="D1175" t="s">
        <v>112</v>
      </c>
      <c r="E1175" t="s">
        <v>395</v>
      </c>
      <c r="F1175" s="174" t="n">
        <v>2028</v>
      </c>
      <c r="G1175" s="175" t="n">
        <v>43</v>
      </c>
      <c r="H1175" s="176" t="n">
        <v>4534.63507290002</v>
      </c>
      <c r="I1175" s="177" t="n">
        <v>4236935.91917249</v>
      </c>
      <c r="J1175" s="178" t="str">
        <f>IF(I1175&gt;0,H1175/I1175,0)</f>
      </c>
      <c r="K1175" s="179" t="str">
        <f>1-EXP(-J1175)</f>
      </c>
      <c r="L1175" s="180" t="str">
        <f>IF(G1175=30,1,M1174)</f>
      </c>
      <c r="M1175" s="181" t="str">
        <f>L1175*(1-K1175)</f>
      </c>
    </row>
    <row r="1176">
      <c r="A1176" t="s">
        <v>164</v>
      </c>
      <c r="B1176" t="s">
        <v>112</v>
      </c>
      <c r="C1176" s="32" t="s">
        <v>297</v>
      </c>
      <c r="D1176" t="s">
        <v>112</v>
      </c>
      <c r="E1176" t="s">
        <v>395</v>
      </c>
      <c r="F1176" s="174" t="n">
        <v>2028</v>
      </c>
      <c r="G1176" s="175" t="n">
        <v>44</v>
      </c>
      <c r="H1176" s="176" t="n">
        <v>5047.67519735825</v>
      </c>
      <c r="I1176" s="177" t="n">
        <v>4323725.01833132</v>
      </c>
      <c r="J1176" s="178" t="str">
        <f>IF(I1176&gt;0,H1176/I1176,0)</f>
      </c>
      <c r="K1176" s="179" t="str">
        <f>1-EXP(-J1176)</f>
      </c>
      <c r="L1176" s="180" t="str">
        <f>IF(G1176=30,1,M1175)</f>
      </c>
      <c r="M1176" s="181" t="str">
        <f>L1176*(1-K1176)</f>
      </c>
    </row>
    <row r="1177">
      <c r="A1177" t="s">
        <v>164</v>
      </c>
      <c r="B1177" t="s">
        <v>112</v>
      </c>
      <c r="C1177" s="32" t="s">
        <v>297</v>
      </c>
      <c r="D1177" t="s">
        <v>112</v>
      </c>
      <c r="E1177" t="s">
        <v>395</v>
      </c>
      <c r="F1177" s="174" t="n">
        <v>2028</v>
      </c>
      <c r="G1177" s="175" t="n">
        <v>45</v>
      </c>
      <c r="H1177" s="176" t="n">
        <v>6499.8978308857</v>
      </c>
      <c r="I1177" s="177" t="n">
        <v>4301180.92515842</v>
      </c>
      <c r="J1177" s="178" t="str">
        <f>IF(I1177&gt;0,H1177/I1177,0)</f>
      </c>
      <c r="K1177" s="179" t="str">
        <f>1-EXP(-J1177)</f>
      </c>
      <c r="L1177" s="180" t="str">
        <f>IF(G1177=30,1,M1176)</f>
      </c>
      <c r="M1177" s="181" t="str">
        <f>L1177*(1-K1177)</f>
      </c>
    </row>
    <row r="1178">
      <c r="A1178" t="s">
        <v>164</v>
      </c>
      <c r="B1178" t="s">
        <v>112</v>
      </c>
      <c r="C1178" s="32" t="s">
        <v>297</v>
      </c>
      <c r="D1178" t="s">
        <v>112</v>
      </c>
      <c r="E1178" t="s">
        <v>395</v>
      </c>
      <c r="F1178" s="174" t="n">
        <v>2028</v>
      </c>
      <c r="G1178" s="175" t="n">
        <v>46</v>
      </c>
      <c r="H1178" s="176" t="n">
        <v>6894.31104278522</v>
      </c>
      <c r="I1178" s="177" t="n">
        <v>4164596.76992723</v>
      </c>
      <c r="J1178" s="178" t="str">
        <f>IF(I1178&gt;0,H1178/I1178,0)</f>
      </c>
      <c r="K1178" s="179" t="str">
        <f>1-EXP(-J1178)</f>
      </c>
      <c r="L1178" s="180" t="str">
        <f>IF(G1178=30,1,M1177)</f>
      </c>
      <c r="M1178" s="181" t="str">
        <f>L1178*(1-K1178)</f>
      </c>
    </row>
    <row r="1179">
      <c r="A1179" t="s">
        <v>164</v>
      </c>
      <c r="B1179" t="s">
        <v>112</v>
      </c>
      <c r="C1179" s="32" t="s">
        <v>297</v>
      </c>
      <c r="D1179" t="s">
        <v>112</v>
      </c>
      <c r="E1179" t="s">
        <v>395</v>
      </c>
      <c r="F1179" s="174" t="n">
        <v>2028</v>
      </c>
      <c r="G1179" s="175" t="n">
        <v>47</v>
      </c>
      <c r="H1179" s="176" t="n">
        <v>7417.86218847671</v>
      </c>
      <c r="I1179" s="177" t="n">
        <v>4091785.71291177</v>
      </c>
      <c r="J1179" s="178" t="str">
        <f>IF(I1179&gt;0,H1179/I1179,0)</f>
      </c>
      <c r="K1179" s="179" t="str">
        <f>1-EXP(-J1179)</f>
      </c>
      <c r="L1179" s="180" t="str">
        <f>IF(G1179=30,1,M1178)</f>
      </c>
      <c r="M1179" s="181" t="str">
        <f>L1179*(1-K1179)</f>
      </c>
    </row>
    <row r="1180">
      <c r="A1180" t="s">
        <v>164</v>
      </c>
      <c r="B1180" t="s">
        <v>112</v>
      </c>
      <c r="C1180" s="32" t="s">
        <v>297</v>
      </c>
      <c r="D1180" t="s">
        <v>112</v>
      </c>
      <c r="E1180" t="s">
        <v>395</v>
      </c>
      <c r="F1180" s="174" t="n">
        <v>2028</v>
      </c>
      <c r="G1180" s="175" t="n">
        <v>48</v>
      </c>
      <c r="H1180" s="176" t="n">
        <v>8006.91839007541</v>
      </c>
      <c r="I1180" s="177" t="n">
        <v>4034983.61130144</v>
      </c>
      <c r="J1180" s="178" t="str">
        <f>IF(I1180&gt;0,H1180/I1180,0)</f>
      </c>
      <c r="K1180" s="179" t="str">
        <f>1-EXP(-J1180)</f>
      </c>
      <c r="L1180" s="180" t="str">
        <f>IF(G1180=30,1,M1179)</f>
      </c>
      <c r="M1180" s="181" t="str">
        <f>L1180*(1-K1180)</f>
      </c>
    </row>
    <row r="1181">
      <c r="A1181" t="s">
        <v>164</v>
      </c>
      <c r="B1181" t="s">
        <v>112</v>
      </c>
      <c r="C1181" s="32" t="s">
        <v>297</v>
      </c>
      <c r="D1181" t="s">
        <v>112</v>
      </c>
      <c r="E1181" t="s">
        <v>395</v>
      </c>
      <c r="F1181" s="174" t="n">
        <v>2028</v>
      </c>
      <c r="G1181" s="175" t="n">
        <v>49</v>
      </c>
      <c r="H1181" s="176" t="n">
        <v>8621.79462836895</v>
      </c>
      <c r="I1181" s="177" t="n">
        <v>3972749.81643991</v>
      </c>
      <c r="J1181" s="178" t="str">
        <f>IF(I1181&gt;0,H1181/I1181,0)</f>
      </c>
      <c r="K1181" s="179" t="str">
        <f>1-EXP(-J1181)</f>
      </c>
      <c r="L1181" s="180" t="str">
        <f>IF(G1181=30,1,M1180)</f>
      </c>
      <c r="M1181" s="181" t="str">
        <f>L1181*(1-K1181)</f>
      </c>
    </row>
    <row r="1182">
      <c r="A1182" t="s">
        <v>164</v>
      </c>
      <c r="B1182" t="s">
        <v>112</v>
      </c>
      <c r="C1182" s="32" t="s">
        <v>297</v>
      </c>
      <c r="D1182" t="s">
        <v>112</v>
      </c>
      <c r="E1182" t="s">
        <v>395</v>
      </c>
      <c r="F1182" s="174" t="n">
        <v>2028</v>
      </c>
      <c r="G1182" s="175" t="n">
        <v>50</v>
      </c>
      <c r="H1182" s="176" t="n">
        <v>9853.63033835849</v>
      </c>
      <c r="I1182" s="177" t="n">
        <v>3890988.95316797</v>
      </c>
      <c r="J1182" s="178" t="str">
        <f>IF(I1182&gt;0,H1182/I1182,0)</f>
      </c>
      <c r="K1182" s="179" t="str">
        <f>1-EXP(-J1182)</f>
      </c>
      <c r="L1182" s="180" t="str">
        <f>IF(G1182=30,1,M1181)</f>
      </c>
      <c r="M1182" s="181" t="str">
        <f>L1182*(1-K1182)</f>
      </c>
    </row>
    <row r="1183">
      <c r="A1183" t="s">
        <v>164</v>
      </c>
      <c r="B1183" t="s">
        <v>112</v>
      </c>
      <c r="C1183" s="32" t="s">
        <v>297</v>
      </c>
      <c r="D1183" t="s">
        <v>112</v>
      </c>
      <c r="E1183" t="s">
        <v>395</v>
      </c>
      <c r="F1183" s="174" t="n">
        <v>2028</v>
      </c>
      <c r="G1183" s="175" t="n">
        <v>51</v>
      </c>
      <c r="H1183" s="176" t="n">
        <v>10586.3081982961</v>
      </c>
      <c r="I1183" s="177" t="n">
        <v>3825622.75985549</v>
      </c>
      <c r="J1183" s="178" t="str">
        <f>IF(I1183&gt;0,H1183/I1183,0)</f>
      </c>
      <c r="K1183" s="179" t="str">
        <f>1-EXP(-J1183)</f>
      </c>
      <c r="L1183" s="180" t="str">
        <f>IF(G1183=30,1,M1182)</f>
      </c>
      <c r="M1183" s="181" t="str">
        <f>L1183*(1-K1183)</f>
      </c>
    </row>
    <row r="1184">
      <c r="A1184" t="s">
        <v>164</v>
      </c>
      <c r="B1184" t="s">
        <v>112</v>
      </c>
      <c r="C1184" s="32" t="s">
        <v>297</v>
      </c>
      <c r="D1184" t="s">
        <v>112</v>
      </c>
      <c r="E1184" t="s">
        <v>395</v>
      </c>
      <c r="F1184" s="174" t="n">
        <v>2028</v>
      </c>
      <c r="G1184" s="175" t="n">
        <v>52</v>
      </c>
      <c r="H1184" s="176" t="n">
        <v>11322.0024227386</v>
      </c>
      <c r="I1184" s="177" t="n">
        <v>3749165.1408497</v>
      </c>
      <c r="J1184" s="178" t="str">
        <f>IF(I1184&gt;0,H1184/I1184,0)</f>
      </c>
      <c r="K1184" s="179" t="str">
        <f>1-EXP(-J1184)</f>
      </c>
      <c r="L1184" s="180" t="str">
        <f>IF(G1184=30,1,M1183)</f>
      </c>
      <c r="M1184" s="181" t="str">
        <f>L1184*(1-K1184)</f>
      </c>
    </row>
    <row r="1185">
      <c r="A1185" t="s">
        <v>164</v>
      </c>
      <c r="B1185" t="s">
        <v>112</v>
      </c>
      <c r="C1185" s="32" t="s">
        <v>297</v>
      </c>
      <c r="D1185" t="s">
        <v>112</v>
      </c>
      <c r="E1185" t="s">
        <v>395</v>
      </c>
      <c r="F1185" s="174" t="n">
        <v>2028</v>
      </c>
      <c r="G1185" s="175" t="n">
        <v>53</v>
      </c>
      <c r="H1185" s="176" t="n">
        <v>12102.4064248495</v>
      </c>
      <c r="I1185" s="177" t="n">
        <v>3672043.23223773</v>
      </c>
      <c r="J1185" s="178" t="str">
        <f>IF(I1185&gt;0,H1185/I1185,0)</f>
      </c>
      <c r="K1185" s="179" t="str">
        <f>1-EXP(-J1185)</f>
      </c>
      <c r="L1185" s="180" t="str">
        <f>IF(G1185=30,1,M1184)</f>
      </c>
      <c r="M1185" s="181" t="str">
        <f>L1185*(1-K1185)</f>
      </c>
    </row>
    <row r="1186">
      <c r="A1186" t="s">
        <v>164</v>
      </c>
      <c r="B1186" t="s">
        <v>112</v>
      </c>
      <c r="C1186" s="32" t="s">
        <v>297</v>
      </c>
      <c r="D1186" t="s">
        <v>112</v>
      </c>
      <c r="E1186" t="s">
        <v>395</v>
      </c>
      <c r="F1186" s="174" t="n">
        <v>2028</v>
      </c>
      <c r="G1186" s="175" t="n">
        <v>54</v>
      </c>
      <c r="H1186" s="176" t="n">
        <v>12835.4261870621</v>
      </c>
      <c r="I1186" s="177" t="n">
        <v>3567281.15153721</v>
      </c>
      <c r="J1186" s="178" t="str">
        <f>IF(I1186&gt;0,H1186/I1186,0)</f>
      </c>
      <c r="K1186" s="179" t="str">
        <f>1-EXP(-J1186)</f>
      </c>
      <c r="L1186" s="180" t="str">
        <f>IF(G1186=30,1,M1185)</f>
      </c>
      <c r="M1186" s="181" t="str">
        <f>L1186*(1-K1186)</f>
      </c>
    </row>
    <row r="1187">
      <c r="A1187" t="s">
        <v>164</v>
      </c>
      <c r="B1187" t="s">
        <v>112</v>
      </c>
      <c r="C1187" s="32" t="s">
        <v>297</v>
      </c>
      <c r="D1187" t="s">
        <v>112</v>
      </c>
      <c r="E1187" t="s">
        <v>395</v>
      </c>
      <c r="F1187" s="174" t="n">
        <v>2028</v>
      </c>
      <c r="G1187" s="175" t="n">
        <v>55</v>
      </c>
      <c r="H1187" s="176" t="n">
        <v>14036.3871887126</v>
      </c>
      <c r="I1187" s="177" t="n">
        <v>3523084.2163612</v>
      </c>
      <c r="J1187" s="178" t="str">
        <f>IF(I1187&gt;0,H1187/I1187,0)</f>
      </c>
      <c r="K1187" s="179" t="str">
        <f>1-EXP(-J1187)</f>
      </c>
      <c r="L1187" s="180" t="str">
        <f>IF(G1187=30,1,M1186)</f>
      </c>
      <c r="M1187" s="181" t="str">
        <f>L1187*(1-K1187)</f>
      </c>
    </row>
    <row r="1188">
      <c r="A1188" t="s">
        <v>164</v>
      </c>
      <c r="B1188" t="s">
        <v>112</v>
      </c>
      <c r="C1188" s="32" t="s">
        <v>297</v>
      </c>
      <c r="D1188" t="s">
        <v>112</v>
      </c>
      <c r="E1188" t="s">
        <v>395</v>
      </c>
      <c r="F1188" s="174" t="n">
        <v>2028</v>
      </c>
      <c r="G1188" s="175" t="n">
        <v>56</v>
      </c>
      <c r="H1188" s="176" t="n">
        <v>14433.7558251005</v>
      </c>
      <c r="I1188" s="177" t="n">
        <v>3313699.99900365</v>
      </c>
      <c r="J1188" s="178" t="str">
        <f>IF(I1188&gt;0,H1188/I1188,0)</f>
      </c>
      <c r="K1188" s="179" t="str">
        <f>1-EXP(-J1188)</f>
      </c>
      <c r="L1188" s="180" t="str">
        <f>IF(G1188=30,1,M1187)</f>
      </c>
      <c r="M1188" s="181" t="str">
        <f>L1188*(1-K1188)</f>
      </c>
    </row>
    <row r="1189">
      <c r="A1189" t="s">
        <v>164</v>
      </c>
      <c r="B1189" t="s">
        <v>112</v>
      </c>
      <c r="C1189" s="32" t="s">
        <v>297</v>
      </c>
      <c r="D1189" t="s">
        <v>112</v>
      </c>
      <c r="E1189" t="s">
        <v>395</v>
      </c>
      <c r="F1189" s="174" t="n">
        <v>2028</v>
      </c>
      <c r="G1189" s="175" t="n">
        <v>57</v>
      </c>
      <c r="H1189" s="176" t="n">
        <v>15354.3499065824</v>
      </c>
      <c r="I1189" s="177" t="n">
        <v>3226946.37720527</v>
      </c>
      <c r="J1189" s="178" t="str">
        <f>IF(I1189&gt;0,H1189/I1189,0)</f>
      </c>
      <c r="K1189" s="179" t="str">
        <f>1-EXP(-J1189)</f>
      </c>
      <c r="L1189" s="180" t="str">
        <f>IF(G1189=30,1,M1188)</f>
      </c>
      <c r="M1189" s="181" t="str">
        <f>L1189*(1-K1189)</f>
      </c>
    </row>
    <row r="1190">
      <c r="A1190" t="s">
        <v>164</v>
      </c>
      <c r="B1190" t="s">
        <v>112</v>
      </c>
      <c r="C1190" s="32" t="s">
        <v>297</v>
      </c>
      <c r="D1190" t="s">
        <v>112</v>
      </c>
      <c r="E1190" t="s">
        <v>395</v>
      </c>
      <c r="F1190" s="174" t="n">
        <v>2028</v>
      </c>
      <c r="G1190" s="175" t="n">
        <v>58</v>
      </c>
      <c r="H1190" s="176" t="n">
        <v>16350.1394763948</v>
      </c>
      <c r="I1190" s="177" t="n">
        <v>3144663.41594354</v>
      </c>
      <c r="J1190" s="178" t="str">
        <f>IF(I1190&gt;0,H1190/I1190,0)</f>
      </c>
      <c r="K1190" s="179" t="str">
        <f>1-EXP(-J1190)</f>
      </c>
      <c r="L1190" s="180" t="str">
        <f>IF(G1190=30,1,M1189)</f>
      </c>
      <c r="M1190" s="181" t="str">
        <f>L1190*(1-K1190)</f>
      </c>
    </row>
    <row r="1191">
      <c r="A1191" t="s">
        <v>164</v>
      </c>
      <c r="B1191" t="s">
        <v>112</v>
      </c>
      <c r="C1191" s="32" t="s">
        <v>297</v>
      </c>
      <c r="D1191" t="s">
        <v>112</v>
      </c>
      <c r="E1191" t="s">
        <v>395</v>
      </c>
      <c r="F1191" s="174" t="n">
        <v>2028</v>
      </c>
      <c r="G1191" s="175" t="n">
        <v>59</v>
      </c>
      <c r="H1191" s="176" t="n">
        <v>17349.1536234247</v>
      </c>
      <c r="I1191" s="177" t="n">
        <v>3053101.8159012</v>
      </c>
      <c r="J1191" s="178" t="str">
        <f>IF(I1191&gt;0,H1191/I1191,0)</f>
      </c>
      <c r="K1191" s="179" t="str">
        <f>1-EXP(-J1191)</f>
      </c>
      <c r="L1191" s="180" t="str">
        <f>IF(G1191=30,1,M1190)</f>
      </c>
      <c r="M1191" s="181" t="str">
        <f>L1191*(1-K1191)</f>
      </c>
    </row>
    <row r="1192">
      <c r="A1192" t="s">
        <v>164</v>
      </c>
      <c r="B1192" t="s">
        <v>112</v>
      </c>
      <c r="C1192" s="32" t="s">
        <v>297</v>
      </c>
      <c r="D1192" t="s">
        <v>112</v>
      </c>
      <c r="E1192" t="s">
        <v>395</v>
      </c>
      <c r="F1192" s="174" t="n">
        <v>2028</v>
      </c>
      <c r="G1192" s="175" t="n">
        <v>60</v>
      </c>
      <c r="H1192" s="176" t="n">
        <v>18688.9352053873</v>
      </c>
      <c r="I1192" s="177" t="n">
        <v>2941682.0240385</v>
      </c>
      <c r="J1192" s="178" t="str">
        <f>IF(I1192&gt;0,H1192/I1192,0)</f>
      </c>
      <c r="K1192" s="179" t="str">
        <f>1-EXP(-J1192)</f>
      </c>
      <c r="L1192" s="180" t="str">
        <f>IF(G1192=30,1,M1191)</f>
      </c>
      <c r="M1192" s="181" t="str">
        <f>L1192*(1-K1192)</f>
      </c>
    </row>
    <row r="1193">
      <c r="A1193" t="s">
        <v>164</v>
      </c>
      <c r="B1193" t="s">
        <v>112</v>
      </c>
      <c r="C1193" s="32" t="s">
        <v>297</v>
      </c>
      <c r="D1193" t="s">
        <v>112</v>
      </c>
      <c r="E1193" t="s">
        <v>395</v>
      </c>
      <c r="F1193" s="174" t="n">
        <v>2028</v>
      </c>
      <c r="G1193" s="175" t="n">
        <v>61</v>
      </c>
      <c r="H1193" s="176" t="n">
        <v>19456.7298904534</v>
      </c>
      <c r="I1193" s="177" t="n">
        <v>2798367.68205206</v>
      </c>
      <c r="J1193" s="178" t="str">
        <f>IF(I1193&gt;0,H1193/I1193,0)</f>
      </c>
      <c r="K1193" s="179" t="str">
        <f>1-EXP(-J1193)</f>
      </c>
      <c r="L1193" s="180" t="str">
        <f>IF(G1193=30,1,M1192)</f>
      </c>
      <c r="M1193" s="181" t="str">
        <f>L1193*(1-K1193)</f>
      </c>
    </row>
    <row r="1194">
      <c r="A1194" t="s">
        <v>164</v>
      </c>
      <c r="B1194" t="s">
        <v>112</v>
      </c>
      <c r="C1194" s="32" t="s">
        <v>297</v>
      </c>
      <c r="D1194" t="s">
        <v>112</v>
      </c>
      <c r="E1194" t="s">
        <v>395</v>
      </c>
      <c r="F1194" s="174" t="n">
        <v>2028</v>
      </c>
      <c r="G1194" s="175" t="n">
        <v>62</v>
      </c>
      <c r="H1194" s="176" t="n">
        <v>20474.3560417192</v>
      </c>
      <c r="I1194" s="177" t="n">
        <v>2692220.70208312</v>
      </c>
      <c r="J1194" s="178" t="str">
        <f>IF(I1194&gt;0,H1194/I1194,0)</f>
      </c>
      <c r="K1194" s="179" t="str">
        <f>1-EXP(-J1194)</f>
      </c>
      <c r="L1194" s="180" t="str">
        <f>IF(G1194=30,1,M1193)</f>
      </c>
      <c r="M1194" s="181" t="str">
        <f>L1194*(1-K1194)</f>
      </c>
    </row>
    <row r="1195">
      <c r="A1195" t="s">
        <v>164</v>
      </c>
      <c r="B1195" t="s">
        <v>112</v>
      </c>
      <c r="C1195" s="32" t="s">
        <v>297</v>
      </c>
      <c r="D1195" t="s">
        <v>112</v>
      </c>
      <c r="E1195" t="s">
        <v>395</v>
      </c>
      <c r="F1195" s="174" t="n">
        <v>2028</v>
      </c>
      <c r="G1195" s="175" t="n">
        <v>63</v>
      </c>
      <c r="H1195" s="176" t="n">
        <v>21338.8631537678</v>
      </c>
      <c r="I1195" s="177" t="n">
        <v>2564408.14697145</v>
      </c>
      <c r="J1195" s="178" t="str">
        <f>IF(I1195&gt;0,H1195/I1195,0)</f>
      </c>
      <c r="K1195" s="179" t="str">
        <f>1-EXP(-J1195)</f>
      </c>
      <c r="L1195" s="180" t="str">
        <f>IF(G1195=30,1,M1194)</f>
      </c>
      <c r="M1195" s="181" t="str">
        <f>L1195*(1-K1195)</f>
      </c>
    </row>
    <row r="1196">
      <c r="A1196" t="s">
        <v>164</v>
      </c>
      <c r="B1196" t="s">
        <v>112</v>
      </c>
      <c r="C1196" s="32" t="s">
        <v>297</v>
      </c>
      <c r="D1196" t="s">
        <v>112</v>
      </c>
      <c r="E1196" t="s">
        <v>395</v>
      </c>
      <c r="F1196" s="174" t="n">
        <v>2028</v>
      </c>
      <c r="G1196" s="175" t="n">
        <v>64</v>
      </c>
      <c r="H1196" s="176" t="n">
        <v>22200.3995921389</v>
      </c>
      <c r="I1196" s="177" t="n">
        <v>2436808.97997393</v>
      </c>
      <c r="J1196" s="178" t="str">
        <f>IF(I1196&gt;0,H1196/I1196,0)</f>
      </c>
      <c r="K1196" s="179" t="str">
        <f>1-EXP(-J1196)</f>
      </c>
      <c r="L1196" s="180" t="str">
        <f>IF(G1196=30,1,M1195)</f>
      </c>
      <c r="M1196" s="181" t="str">
        <f>L1196*(1-K1196)</f>
      </c>
    </row>
    <row r="1197">
      <c r="A1197" t="s">
        <v>164</v>
      </c>
      <c r="B1197" t="s">
        <v>112</v>
      </c>
      <c r="C1197" s="32" t="s">
        <v>297</v>
      </c>
      <c r="D1197" t="s">
        <v>112</v>
      </c>
      <c r="E1197" t="s">
        <v>395</v>
      </c>
      <c r="F1197" s="174" t="n">
        <v>2028</v>
      </c>
      <c r="G1197" s="175" t="n">
        <v>65</v>
      </c>
      <c r="H1197" s="176" t="n">
        <v>22480.8797781989</v>
      </c>
      <c r="I1197" s="177" t="n">
        <v>2314110.87660723</v>
      </c>
      <c r="J1197" s="178" t="str">
        <f>IF(I1197&gt;0,H1197/I1197,0)</f>
      </c>
      <c r="K1197" s="179" t="str">
        <f>1-EXP(-J1197)</f>
      </c>
      <c r="L1197" s="180" t="str">
        <f>IF(G1197=30,1,M1196)</f>
      </c>
      <c r="M1197" s="181" t="str">
        <f>L1197*(1-K1197)</f>
      </c>
    </row>
    <row r="1198">
      <c r="A1198" t="s">
        <v>164</v>
      </c>
      <c r="B1198" t="s">
        <v>112</v>
      </c>
      <c r="C1198" s="32" t="s">
        <v>297</v>
      </c>
      <c r="D1198" t="s">
        <v>112</v>
      </c>
      <c r="E1198" t="s">
        <v>395</v>
      </c>
      <c r="F1198" s="174" t="n">
        <v>2028</v>
      </c>
      <c r="G1198" s="175" t="n">
        <v>66</v>
      </c>
      <c r="H1198" s="176" t="n">
        <v>23151.2272054209</v>
      </c>
      <c r="I1198" s="177" t="n">
        <v>2166271.33296895</v>
      </c>
      <c r="J1198" s="178" t="str">
        <f>IF(I1198&gt;0,H1198/I1198,0)</f>
      </c>
      <c r="K1198" s="179" t="str">
        <f>1-EXP(-J1198)</f>
      </c>
      <c r="L1198" s="180" t="str">
        <f>IF(G1198=30,1,M1197)</f>
      </c>
      <c r="M1198" s="181" t="str">
        <f>L1198*(1-K1198)</f>
      </c>
    </row>
    <row r="1199">
      <c r="A1199" t="s">
        <v>164</v>
      </c>
      <c r="B1199" t="s">
        <v>112</v>
      </c>
      <c r="C1199" s="32" t="s">
        <v>297</v>
      </c>
      <c r="D1199" t="s">
        <v>112</v>
      </c>
      <c r="E1199" t="s">
        <v>395</v>
      </c>
      <c r="F1199" s="174" t="n">
        <v>2028</v>
      </c>
      <c r="G1199" s="175" t="n">
        <v>67</v>
      </c>
      <c r="H1199" s="176" t="n">
        <v>23939.3178386476</v>
      </c>
      <c r="I1199" s="177" t="n">
        <v>2043175.60473171</v>
      </c>
      <c r="J1199" s="178" t="str">
        <f>IF(I1199&gt;0,H1199/I1199,0)</f>
      </c>
      <c r="K1199" s="179" t="str">
        <f>1-EXP(-J1199)</f>
      </c>
      <c r="L1199" s="180" t="str">
        <f>IF(G1199=30,1,M1198)</f>
      </c>
      <c r="M1199" s="181" t="str">
        <f>L1199*(1-K1199)</f>
      </c>
    </row>
    <row r="1200">
      <c r="A1200" t="s">
        <v>164</v>
      </c>
      <c r="B1200" t="s">
        <v>112</v>
      </c>
      <c r="C1200" s="32" t="s">
        <v>297</v>
      </c>
      <c r="D1200" t="s">
        <v>112</v>
      </c>
      <c r="E1200" t="s">
        <v>395</v>
      </c>
      <c r="F1200" s="174" t="n">
        <v>2028</v>
      </c>
      <c r="G1200" s="175" t="n">
        <v>68</v>
      </c>
      <c r="H1200" s="176" t="n">
        <v>24630.3191979731</v>
      </c>
      <c r="I1200" s="177" t="n">
        <v>1916456.05314639</v>
      </c>
      <c r="J1200" s="178" t="str">
        <f>IF(I1200&gt;0,H1200/I1200,0)</f>
      </c>
      <c r="K1200" s="179" t="str">
        <f>1-EXP(-J1200)</f>
      </c>
      <c r="L1200" s="180" t="str">
        <f>IF(G1200=30,1,M1199)</f>
      </c>
      <c r="M1200" s="181" t="str">
        <f>L1200*(1-K1200)</f>
      </c>
    </row>
    <row r="1201">
      <c r="A1201" t="s">
        <v>164</v>
      </c>
      <c r="B1201" t="s">
        <v>112</v>
      </c>
      <c r="C1201" s="32" t="s">
        <v>297</v>
      </c>
      <c r="D1201" t="s">
        <v>112</v>
      </c>
      <c r="E1201" t="s">
        <v>395</v>
      </c>
      <c r="F1201" s="174" t="n">
        <v>2028</v>
      </c>
      <c r="G1201" s="175" t="n">
        <v>69</v>
      </c>
      <c r="H1201" s="176" t="n">
        <v>25169.4709894141</v>
      </c>
      <c r="I1201" s="177" t="n">
        <v>1784184.28841199</v>
      </c>
      <c r="J1201" s="178" t="str">
        <f>IF(I1201&gt;0,H1201/I1201,0)</f>
      </c>
      <c r="K1201" s="179" t="str">
        <f>1-EXP(-J1201)</f>
      </c>
      <c r="L1201" s="180" t="str">
        <f>IF(G1201=30,1,M1200)</f>
      </c>
      <c r="M1201" s="181" t="str">
        <f>L1201*(1-K1201)</f>
      </c>
    </row>
    <row r="1202">
      <c r="A1202" t="s">
        <v>164</v>
      </c>
      <c r="B1202" t="s">
        <v>112</v>
      </c>
      <c r="C1202" s="32" t="s">
        <v>297</v>
      </c>
      <c r="D1202" t="s">
        <v>112</v>
      </c>
      <c r="E1202" t="s">
        <v>395</v>
      </c>
      <c r="F1202" s="174" t="n">
        <v>2029</v>
      </c>
      <c r="G1202" s="175" t="n">
        <v>30</v>
      </c>
      <c r="H1202" s="176" t="n">
        <v>966.089666279396</v>
      </c>
      <c r="I1202" s="177" t="n">
        <v>4353617.72664716</v>
      </c>
      <c r="J1202" s="178" t="str">
        <f>IF(I1202&gt;0,H1202/I1202,0)</f>
      </c>
      <c r="K1202" s="179" t="str">
        <f>1-EXP(-J1202)</f>
      </c>
      <c r="L1202" s="180" t="str">
        <f>IF(G1202=30,1,M1201)</f>
      </c>
      <c r="M1202" s="181" t="str">
        <f>L1202*(1-K1202)</f>
      </c>
    </row>
    <row r="1203">
      <c r="A1203" t="s">
        <v>164</v>
      </c>
      <c r="B1203" t="s">
        <v>112</v>
      </c>
      <c r="C1203" s="32" t="s">
        <v>297</v>
      </c>
      <c r="D1203" t="s">
        <v>112</v>
      </c>
      <c r="E1203" t="s">
        <v>395</v>
      </c>
      <c r="F1203" s="174" t="n">
        <v>2029</v>
      </c>
      <c r="G1203" s="175" t="n">
        <v>31</v>
      </c>
      <c r="H1203" s="176" t="n">
        <v>1118.3296221397</v>
      </c>
      <c r="I1203" s="177" t="n">
        <v>4413831.85508253</v>
      </c>
      <c r="J1203" s="178" t="str">
        <f>IF(I1203&gt;0,H1203/I1203,0)</f>
      </c>
      <c r="K1203" s="179" t="str">
        <f>1-EXP(-J1203)</f>
      </c>
      <c r="L1203" s="180" t="str">
        <f>IF(G1203=30,1,M1202)</f>
      </c>
      <c r="M1203" s="181" t="str">
        <f>L1203*(1-K1203)</f>
      </c>
    </row>
    <row r="1204">
      <c r="A1204" t="s">
        <v>164</v>
      </c>
      <c r="B1204" t="s">
        <v>112</v>
      </c>
      <c r="C1204" s="32" t="s">
        <v>297</v>
      </c>
      <c r="D1204" t="s">
        <v>112</v>
      </c>
      <c r="E1204" t="s">
        <v>395</v>
      </c>
      <c r="F1204" s="174" t="n">
        <v>2029</v>
      </c>
      <c r="G1204" s="175" t="n">
        <v>32</v>
      </c>
      <c r="H1204" s="176" t="n">
        <v>1407.06743935983</v>
      </c>
      <c r="I1204" s="177" t="n">
        <v>4555458.45774326</v>
      </c>
      <c r="J1204" s="178" t="str">
        <f>IF(I1204&gt;0,H1204/I1204,0)</f>
      </c>
      <c r="K1204" s="179" t="str">
        <f>1-EXP(-J1204)</f>
      </c>
      <c r="L1204" s="180" t="str">
        <f>IF(G1204=30,1,M1203)</f>
      </c>
      <c r="M1204" s="181" t="str">
        <f>L1204*(1-K1204)</f>
      </c>
    </row>
    <row r="1205">
      <c r="A1205" t="s">
        <v>164</v>
      </c>
      <c r="B1205" t="s">
        <v>112</v>
      </c>
      <c r="C1205" s="32" t="s">
        <v>297</v>
      </c>
      <c r="D1205" t="s">
        <v>112</v>
      </c>
      <c r="E1205" t="s">
        <v>395</v>
      </c>
      <c r="F1205" s="174" t="n">
        <v>2029</v>
      </c>
      <c r="G1205" s="175" t="n">
        <v>33</v>
      </c>
      <c r="H1205" s="176" t="n">
        <v>1467.38068217306</v>
      </c>
      <c r="I1205" s="177" t="n">
        <v>4512898.10108475</v>
      </c>
      <c r="J1205" s="178" t="str">
        <f>IF(I1205&gt;0,H1205/I1205,0)</f>
      </c>
      <c r="K1205" s="179" t="str">
        <f>1-EXP(-J1205)</f>
      </c>
      <c r="L1205" s="180" t="str">
        <f>IF(G1205=30,1,M1204)</f>
      </c>
      <c r="M1205" s="181" t="str">
        <f>L1205*(1-K1205)</f>
      </c>
    </row>
    <row r="1206">
      <c r="A1206" t="s">
        <v>164</v>
      </c>
      <c r="B1206" t="s">
        <v>112</v>
      </c>
      <c r="C1206" s="32" t="s">
        <v>297</v>
      </c>
      <c r="D1206" t="s">
        <v>112</v>
      </c>
      <c r="E1206" t="s">
        <v>395</v>
      </c>
      <c r="F1206" s="174" t="n">
        <v>2029</v>
      </c>
      <c r="G1206" s="175" t="n">
        <v>34</v>
      </c>
      <c r="H1206" s="176" t="n">
        <v>1529.20850579549</v>
      </c>
      <c r="I1206" s="177" t="n">
        <v>4440148.39287326</v>
      </c>
      <c r="J1206" s="178" t="str">
        <f>IF(I1206&gt;0,H1206/I1206,0)</f>
      </c>
      <c r="K1206" s="179" t="str">
        <f>1-EXP(-J1206)</f>
      </c>
      <c r="L1206" s="180" t="str">
        <f>IF(G1206=30,1,M1205)</f>
      </c>
      <c r="M1206" s="181" t="str">
        <f>L1206*(1-K1206)</f>
      </c>
    </row>
    <row r="1207">
      <c r="A1207" t="s">
        <v>164</v>
      </c>
      <c r="B1207" t="s">
        <v>112</v>
      </c>
      <c r="C1207" s="32" t="s">
        <v>297</v>
      </c>
      <c r="D1207" t="s">
        <v>112</v>
      </c>
      <c r="E1207" t="s">
        <v>395</v>
      </c>
      <c r="F1207" s="174" t="n">
        <v>2029</v>
      </c>
      <c r="G1207" s="175" t="n">
        <v>35</v>
      </c>
      <c r="H1207" s="176" t="n">
        <v>2060.17431457558</v>
      </c>
      <c r="I1207" s="177" t="n">
        <v>4383245.48249098</v>
      </c>
      <c r="J1207" s="178" t="str">
        <f>IF(I1207&gt;0,H1207/I1207,0)</f>
      </c>
      <c r="K1207" s="179" t="str">
        <f>1-EXP(-J1207)</f>
      </c>
      <c r="L1207" s="180" t="str">
        <f>IF(G1207=30,1,M1206)</f>
      </c>
      <c r="M1207" s="181" t="str">
        <f>L1207*(1-K1207)</f>
      </c>
    </row>
    <row r="1208">
      <c r="A1208" t="s">
        <v>164</v>
      </c>
      <c r="B1208" t="s">
        <v>112</v>
      </c>
      <c r="C1208" s="32" t="s">
        <v>297</v>
      </c>
      <c r="D1208" t="s">
        <v>112</v>
      </c>
      <c r="E1208" t="s">
        <v>395</v>
      </c>
      <c r="F1208" s="174" t="n">
        <v>2029</v>
      </c>
      <c r="G1208" s="175" t="n">
        <v>36</v>
      </c>
      <c r="H1208" s="176" t="n">
        <v>2175.69412608884</v>
      </c>
      <c r="I1208" s="177" t="n">
        <v>4329488.68477239</v>
      </c>
      <c r="J1208" s="178" t="str">
        <f>IF(I1208&gt;0,H1208/I1208,0)</f>
      </c>
      <c r="K1208" s="179" t="str">
        <f>1-EXP(-J1208)</f>
      </c>
      <c r="L1208" s="180" t="str">
        <f>IF(G1208=30,1,M1207)</f>
      </c>
      <c r="M1208" s="181" t="str">
        <f>L1208*(1-K1208)</f>
      </c>
    </row>
    <row r="1209">
      <c r="A1209" t="s">
        <v>164</v>
      </c>
      <c r="B1209" t="s">
        <v>112</v>
      </c>
      <c r="C1209" s="32" t="s">
        <v>297</v>
      </c>
      <c r="D1209" t="s">
        <v>112</v>
      </c>
      <c r="E1209" t="s">
        <v>395</v>
      </c>
      <c r="F1209" s="174" t="n">
        <v>2029</v>
      </c>
      <c r="G1209" s="175" t="n">
        <v>37</v>
      </c>
      <c r="H1209" s="176" t="n">
        <v>2351.32115687178</v>
      </c>
      <c r="I1209" s="177" t="n">
        <v>4367805.25067724</v>
      </c>
      <c r="J1209" s="178" t="str">
        <f>IF(I1209&gt;0,H1209/I1209,0)</f>
      </c>
      <c r="K1209" s="179" t="str">
        <f>1-EXP(-J1209)</f>
      </c>
      <c r="L1209" s="180" t="str">
        <f>IF(G1209=30,1,M1208)</f>
      </c>
      <c r="M1209" s="181" t="str">
        <f>L1209*(1-K1209)</f>
      </c>
    </row>
    <row r="1210">
      <c r="A1210" t="s">
        <v>164</v>
      </c>
      <c r="B1210" t="s">
        <v>112</v>
      </c>
      <c r="C1210" s="32" t="s">
        <v>297</v>
      </c>
      <c r="D1210" t="s">
        <v>112</v>
      </c>
      <c r="E1210" t="s">
        <v>395</v>
      </c>
      <c r="F1210" s="174" t="n">
        <v>2029</v>
      </c>
      <c r="G1210" s="175" t="n">
        <v>38</v>
      </c>
      <c r="H1210" s="176" t="n">
        <v>2536.0168954999</v>
      </c>
      <c r="I1210" s="177" t="n">
        <v>4386431.42700649</v>
      </c>
      <c r="J1210" s="178" t="str">
        <f>IF(I1210&gt;0,H1210/I1210,0)</f>
      </c>
      <c r="K1210" s="179" t="str">
        <f>1-EXP(-J1210)</f>
      </c>
      <c r="L1210" s="180" t="str">
        <f>IF(G1210=30,1,M1209)</f>
      </c>
      <c r="M1210" s="181" t="str">
        <f>L1210*(1-K1210)</f>
      </c>
    </row>
    <row r="1211">
      <c r="A1211" t="s">
        <v>164</v>
      </c>
      <c r="B1211" t="s">
        <v>112</v>
      </c>
      <c r="C1211" s="32" t="s">
        <v>297</v>
      </c>
      <c r="D1211" t="s">
        <v>112</v>
      </c>
      <c r="E1211" t="s">
        <v>395</v>
      </c>
      <c r="F1211" s="174" t="n">
        <v>2029</v>
      </c>
      <c r="G1211" s="175" t="n">
        <v>39</v>
      </c>
      <c r="H1211" s="176" t="n">
        <v>3846.35625698774</v>
      </c>
      <c r="I1211" s="177" t="n">
        <v>6459524.19496562</v>
      </c>
      <c r="J1211" s="178" t="str">
        <f>IF(I1211&gt;0,H1211/I1211,0)</f>
      </c>
      <c r="K1211" s="179" t="str">
        <f>1-EXP(-J1211)</f>
      </c>
      <c r="L1211" s="180" t="str">
        <f>IF(G1211=30,1,M1210)</f>
      </c>
      <c r="M1211" s="181" t="str">
        <f>L1211*(1-K1211)</f>
      </c>
    </row>
    <row r="1212">
      <c r="A1212" t="s">
        <v>164</v>
      </c>
      <c r="B1212" t="s">
        <v>112</v>
      </c>
      <c r="C1212" s="32" t="s">
        <v>297</v>
      </c>
      <c r="D1212" t="s">
        <v>112</v>
      </c>
      <c r="E1212" t="s">
        <v>395</v>
      </c>
      <c r="F1212" s="174" t="n">
        <v>2029</v>
      </c>
      <c r="G1212" s="175" t="n">
        <v>40</v>
      </c>
      <c r="H1212" s="176" t="n">
        <v>3638.6980764886</v>
      </c>
      <c r="I1212" s="177" t="n">
        <v>4346223.45409534</v>
      </c>
      <c r="J1212" s="178" t="str">
        <f>IF(I1212&gt;0,H1212/I1212,0)</f>
      </c>
      <c r="K1212" s="179" t="str">
        <f>1-EXP(-J1212)</f>
      </c>
      <c r="L1212" s="180" t="str">
        <f>IF(G1212=30,1,M1211)</f>
      </c>
      <c r="M1212" s="181" t="str">
        <f>L1212*(1-K1212)</f>
      </c>
    </row>
    <row r="1213">
      <c r="A1213" t="s">
        <v>164</v>
      </c>
      <c r="B1213" t="s">
        <v>112</v>
      </c>
      <c r="C1213" s="32" t="s">
        <v>297</v>
      </c>
      <c r="D1213" t="s">
        <v>112</v>
      </c>
      <c r="E1213" t="s">
        <v>395</v>
      </c>
      <c r="F1213" s="174" t="n">
        <v>2029</v>
      </c>
      <c r="G1213" s="175" t="n">
        <v>41</v>
      </c>
      <c r="H1213" s="176" t="n">
        <v>3916.15660914291</v>
      </c>
      <c r="I1213" s="177" t="n">
        <v>4329386.69895838</v>
      </c>
      <c r="J1213" s="178" t="str">
        <f>IF(I1213&gt;0,H1213/I1213,0)</f>
      </c>
      <c r="K1213" s="179" t="str">
        <f>1-EXP(-J1213)</f>
      </c>
      <c r="L1213" s="180" t="str">
        <f>IF(G1213=30,1,M1212)</f>
      </c>
      <c r="M1213" s="181" t="str">
        <f>L1213*(1-K1213)</f>
      </c>
    </row>
    <row r="1214">
      <c r="A1214" t="s">
        <v>164</v>
      </c>
      <c r="B1214" t="s">
        <v>112</v>
      </c>
      <c r="C1214" s="32" t="s">
        <v>297</v>
      </c>
      <c r="D1214" t="s">
        <v>112</v>
      </c>
      <c r="E1214" t="s">
        <v>395</v>
      </c>
      <c r="F1214" s="174" t="n">
        <v>2029</v>
      </c>
      <c r="G1214" s="175" t="n">
        <v>42</v>
      </c>
      <c r="H1214" s="176" t="n">
        <v>4115.88529443122</v>
      </c>
      <c r="I1214" s="177" t="n">
        <v>4197528.6705031</v>
      </c>
      <c r="J1214" s="178" t="str">
        <f>IF(I1214&gt;0,H1214/I1214,0)</f>
      </c>
      <c r="K1214" s="179" t="str">
        <f>1-EXP(-J1214)</f>
      </c>
      <c r="L1214" s="180" t="str">
        <f>IF(G1214=30,1,M1213)</f>
      </c>
      <c r="M1214" s="181" t="str">
        <f>L1214*(1-K1214)</f>
      </c>
    </row>
    <row r="1215">
      <c r="A1215" t="s">
        <v>164</v>
      </c>
      <c r="B1215" t="s">
        <v>112</v>
      </c>
      <c r="C1215" s="32" t="s">
        <v>297</v>
      </c>
      <c r="D1215" t="s">
        <v>112</v>
      </c>
      <c r="E1215" t="s">
        <v>395</v>
      </c>
      <c r="F1215" s="174" t="n">
        <v>2029</v>
      </c>
      <c r="G1215" s="175" t="n">
        <v>43</v>
      </c>
      <c r="H1215" s="176" t="n">
        <v>4439.8092680881</v>
      </c>
      <c r="I1215" s="177" t="n">
        <v>4163647.58952133</v>
      </c>
      <c r="J1215" s="178" t="str">
        <f>IF(I1215&gt;0,H1215/I1215,0)</f>
      </c>
      <c r="K1215" s="179" t="str">
        <f>1-EXP(-J1215)</f>
      </c>
      <c r="L1215" s="180" t="str">
        <f>IF(G1215=30,1,M1214)</f>
      </c>
      <c r="M1215" s="181" t="str">
        <f>L1215*(1-K1215)</f>
      </c>
    </row>
    <row r="1216">
      <c r="A1216" t="s">
        <v>164</v>
      </c>
      <c r="B1216" t="s">
        <v>112</v>
      </c>
      <c r="C1216" s="32" t="s">
        <v>297</v>
      </c>
      <c r="D1216" t="s">
        <v>112</v>
      </c>
      <c r="E1216" t="s">
        <v>395</v>
      </c>
      <c r="F1216" s="174" t="n">
        <v>2029</v>
      </c>
      <c r="G1216" s="175" t="n">
        <v>44</v>
      </c>
      <c r="H1216" s="176" t="n">
        <v>4913.87714113811</v>
      </c>
      <c r="I1216" s="177" t="n">
        <v>4223698.47933568</v>
      </c>
      <c r="J1216" s="178" t="str">
        <f>IF(I1216&gt;0,H1216/I1216,0)</f>
      </c>
      <c r="K1216" s="179" t="str">
        <f>1-EXP(-J1216)</f>
      </c>
      <c r="L1216" s="180" t="str">
        <f>IF(G1216=30,1,M1215)</f>
      </c>
      <c r="M1216" s="181" t="str">
        <f>L1216*(1-K1216)</f>
      </c>
    </row>
    <row r="1217">
      <c r="A1217" t="s">
        <v>164</v>
      </c>
      <c r="B1217" t="s">
        <v>112</v>
      </c>
      <c r="C1217" s="32" t="s">
        <v>297</v>
      </c>
      <c r="D1217" t="s">
        <v>112</v>
      </c>
      <c r="E1217" t="s">
        <v>395</v>
      </c>
      <c r="F1217" s="174" t="n">
        <v>2029</v>
      </c>
      <c r="G1217" s="175" t="n">
        <v>45</v>
      </c>
      <c r="H1217" s="176" t="n">
        <v>6486.28431747217</v>
      </c>
      <c r="I1217" s="177" t="n">
        <v>4309020.23235756</v>
      </c>
      <c r="J1217" s="178" t="str">
        <f>IF(I1217&gt;0,H1217/I1217,0)</f>
      </c>
      <c r="K1217" s="179" t="str">
        <f>1-EXP(-J1217)</f>
      </c>
      <c r="L1217" s="180" t="str">
        <f>IF(G1217=30,1,M1216)</f>
      </c>
      <c r="M1217" s="181" t="str">
        <f>L1217*(1-K1217)</f>
      </c>
    </row>
    <row r="1218">
      <c r="A1218" t="s">
        <v>164</v>
      </c>
      <c r="B1218" t="s">
        <v>112</v>
      </c>
      <c r="C1218" s="32" t="s">
        <v>297</v>
      </c>
      <c r="D1218" t="s">
        <v>112</v>
      </c>
      <c r="E1218" t="s">
        <v>395</v>
      </c>
      <c r="F1218" s="174" t="n">
        <v>2029</v>
      </c>
      <c r="G1218" s="175" t="n">
        <v>46</v>
      </c>
      <c r="H1218" s="176" t="n">
        <v>7061.29141232361</v>
      </c>
      <c r="I1218" s="177" t="n">
        <v>4284132.29700429</v>
      </c>
      <c r="J1218" s="178" t="str">
        <f>IF(I1218&gt;0,H1218/I1218,0)</f>
      </c>
      <c r="K1218" s="179" t="str">
        <f>1-EXP(-J1218)</f>
      </c>
      <c r="L1218" s="180" t="str">
        <f>IF(G1218=30,1,M1217)</f>
      </c>
      <c r="M1218" s="181" t="str">
        <f>L1218*(1-K1218)</f>
      </c>
    </row>
    <row r="1219">
      <c r="A1219" t="s">
        <v>164</v>
      </c>
      <c r="B1219" t="s">
        <v>112</v>
      </c>
      <c r="C1219" s="32" t="s">
        <v>297</v>
      </c>
      <c r="D1219" t="s">
        <v>112</v>
      </c>
      <c r="E1219" t="s">
        <v>395</v>
      </c>
      <c r="F1219" s="174" t="n">
        <v>2029</v>
      </c>
      <c r="G1219" s="175" t="n">
        <v>47</v>
      </c>
      <c r="H1219" s="176" t="n">
        <v>7493.34692776567</v>
      </c>
      <c r="I1219" s="177" t="n">
        <v>4147575.22854625</v>
      </c>
      <c r="J1219" s="178" t="str">
        <f>IF(I1219&gt;0,H1219/I1219,0)</f>
      </c>
      <c r="K1219" s="179" t="str">
        <f>1-EXP(-J1219)</f>
      </c>
      <c r="L1219" s="180" t="str">
        <f>IF(G1219=30,1,M1218)</f>
      </c>
      <c r="M1219" s="181" t="str">
        <f>L1219*(1-K1219)</f>
      </c>
    </row>
    <row r="1220">
      <c r="A1220" t="s">
        <v>164</v>
      </c>
      <c r="B1220" t="s">
        <v>112</v>
      </c>
      <c r="C1220" s="32" t="s">
        <v>297</v>
      </c>
      <c r="D1220" t="s">
        <v>112</v>
      </c>
      <c r="E1220" t="s">
        <v>395</v>
      </c>
      <c r="F1220" s="174" t="n">
        <v>2029</v>
      </c>
      <c r="G1220" s="175" t="n">
        <v>48</v>
      </c>
      <c r="H1220" s="176" t="n">
        <v>8058.76064723403</v>
      </c>
      <c r="I1220" s="177" t="n">
        <v>4073477.61978893</v>
      </c>
      <c r="J1220" s="178" t="str">
        <f>IF(I1220&gt;0,H1220/I1220,0)</f>
      </c>
      <c r="K1220" s="179" t="str">
        <f>1-EXP(-J1220)</f>
      </c>
      <c r="L1220" s="180" t="str">
        <f>IF(G1220=30,1,M1219)</f>
      </c>
      <c r="M1220" s="181" t="str">
        <f>L1220*(1-K1220)</f>
      </c>
    </row>
    <row r="1221">
      <c r="A1221" t="s">
        <v>164</v>
      </c>
      <c r="B1221" t="s">
        <v>112</v>
      </c>
      <c r="C1221" s="32" t="s">
        <v>297</v>
      </c>
      <c r="D1221" t="s">
        <v>112</v>
      </c>
      <c r="E1221" t="s">
        <v>395</v>
      </c>
      <c r="F1221" s="174" t="n">
        <v>2029</v>
      </c>
      <c r="G1221" s="175" t="n">
        <v>49</v>
      </c>
      <c r="H1221" s="176" t="n">
        <v>8691.66196114949</v>
      </c>
      <c r="I1221" s="177" t="n">
        <v>4015221.11470839</v>
      </c>
      <c r="J1221" s="178" t="str">
        <f>IF(I1221&gt;0,H1221/I1221,0)</f>
      </c>
      <c r="K1221" s="179" t="str">
        <f>1-EXP(-J1221)</f>
      </c>
      <c r="L1221" s="180" t="str">
        <f>IF(G1221=30,1,M1220)</f>
      </c>
      <c r="M1221" s="181" t="str">
        <f>L1221*(1-K1221)</f>
      </c>
    </row>
    <row r="1222">
      <c r="A1222" t="s">
        <v>164</v>
      </c>
      <c r="B1222" t="s">
        <v>112</v>
      </c>
      <c r="C1222" s="32" t="s">
        <v>297</v>
      </c>
      <c r="D1222" t="s">
        <v>112</v>
      </c>
      <c r="E1222" t="s">
        <v>395</v>
      </c>
      <c r="F1222" s="174" t="n">
        <v>2029</v>
      </c>
      <c r="G1222" s="175" t="n">
        <v>50</v>
      </c>
      <c r="H1222" s="176" t="n">
        <v>9969.81591504338</v>
      </c>
      <c r="I1222" s="177" t="n">
        <v>3951465.16914741</v>
      </c>
      <c r="J1222" s="178" t="str">
        <f>IF(I1222&gt;0,H1222/I1222,0)</f>
      </c>
      <c r="K1222" s="179" t="str">
        <f>1-EXP(-J1222)</f>
      </c>
      <c r="L1222" s="180" t="str">
        <f>IF(G1222=30,1,M1221)</f>
      </c>
      <c r="M1222" s="181" t="str">
        <f>L1222*(1-K1222)</f>
      </c>
    </row>
    <row r="1223">
      <c r="A1223" t="s">
        <v>164</v>
      </c>
      <c r="B1223" t="s">
        <v>112</v>
      </c>
      <c r="C1223" s="32" t="s">
        <v>297</v>
      </c>
      <c r="D1223" t="s">
        <v>112</v>
      </c>
      <c r="E1223" t="s">
        <v>395</v>
      </c>
      <c r="F1223" s="174" t="n">
        <v>2029</v>
      </c>
      <c r="G1223" s="175" t="n">
        <v>51</v>
      </c>
      <c r="H1223" s="176" t="n">
        <v>10656.6494309409</v>
      </c>
      <c r="I1223" s="177" t="n">
        <v>3867320.50839159</v>
      </c>
      <c r="J1223" s="178" t="str">
        <f>IF(I1223&gt;0,H1223/I1223,0)</f>
      </c>
      <c r="K1223" s="179" t="str">
        <f>1-EXP(-J1223)</f>
      </c>
      <c r="L1223" s="180" t="str">
        <f>IF(G1223=30,1,M1222)</f>
      </c>
      <c r="M1223" s="181" t="str">
        <f>L1223*(1-K1223)</f>
      </c>
    </row>
    <row r="1224">
      <c r="A1224" t="s">
        <v>164</v>
      </c>
      <c r="B1224" t="s">
        <v>112</v>
      </c>
      <c r="C1224" s="32" t="s">
        <v>297</v>
      </c>
      <c r="D1224" t="s">
        <v>112</v>
      </c>
      <c r="E1224" t="s">
        <v>395</v>
      </c>
      <c r="F1224" s="174" t="n">
        <v>2029</v>
      </c>
      <c r="G1224" s="175" t="n">
        <v>52</v>
      </c>
      <c r="H1224" s="176" t="n">
        <v>11447.4588542662</v>
      </c>
      <c r="I1224" s="177" t="n">
        <v>3801063.38645294</v>
      </c>
      <c r="J1224" s="178" t="str">
        <f>IF(I1224&gt;0,H1224/I1224,0)</f>
      </c>
      <c r="K1224" s="179" t="str">
        <f>1-EXP(-J1224)</f>
      </c>
      <c r="L1224" s="180" t="str">
        <f>IF(G1224=30,1,M1223)</f>
      </c>
      <c r="M1224" s="181" t="str">
        <f>L1224*(1-K1224)</f>
      </c>
    </row>
    <row r="1225">
      <c r="A1225" t="s">
        <v>164</v>
      </c>
      <c r="B1225" t="s">
        <v>112</v>
      </c>
      <c r="C1225" s="32" t="s">
        <v>297</v>
      </c>
      <c r="D1225" t="s">
        <v>112</v>
      </c>
      <c r="E1225" t="s">
        <v>395</v>
      </c>
      <c r="F1225" s="174" t="n">
        <v>2029</v>
      </c>
      <c r="G1225" s="175" t="n">
        <v>53</v>
      </c>
      <c r="H1225" s="176" t="n">
        <v>12239.9178004342</v>
      </c>
      <c r="I1225" s="177" t="n">
        <v>3722902.82214135</v>
      </c>
      <c r="J1225" s="178" t="str">
        <f>IF(I1225&gt;0,H1225/I1225,0)</f>
      </c>
      <c r="K1225" s="179" t="str">
        <f>1-EXP(-J1225)</f>
      </c>
      <c r="L1225" s="180" t="str">
        <f>IF(G1225=30,1,M1224)</f>
      </c>
      <c r="M1225" s="181" t="str">
        <f>L1225*(1-K1225)</f>
      </c>
    </row>
    <row r="1226">
      <c r="A1226" t="s">
        <v>164</v>
      </c>
      <c r="B1226" t="s">
        <v>112</v>
      </c>
      <c r="C1226" s="32" t="s">
        <v>297</v>
      </c>
      <c r="D1226" t="s">
        <v>112</v>
      </c>
      <c r="E1226" t="s">
        <v>395</v>
      </c>
      <c r="F1226" s="174" t="n">
        <v>2029</v>
      </c>
      <c r="G1226" s="175" t="n">
        <v>54</v>
      </c>
      <c r="H1226" s="176" t="n">
        <v>13080.5613288293</v>
      </c>
      <c r="I1226" s="177" t="n">
        <v>3643978.71737933</v>
      </c>
      <c r="J1226" s="178" t="str">
        <f>IF(I1226&gt;0,H1226/I1226,0)</f>
      </c>
      <c r="K1226" s="179" t="str">
        <f>1-EXP(-J1226)</f>
      </c>
      <c r="L1226" s="180" t="str">
        <f>IF(G1226=30,1,M1225)</f>
      </c>
      <c r="M1226" s="181" t="str">
        <f>L1226*(1-K1226)</f>
      </c>
    </row>
    <row r="1227">
      <c r="A1227" t="s">
        <v>164</v>
      </c>
      <c r="B1227" t="s">
        <v>112</v>
      </c>
      <c r="C1227" s="32" t="s">
        <v>297</v>
      </c>
      <c r="D1227" t="s">
        <v>112</v>
      </c>
      <c r="E1227" t="s">
        <v>395</v>
      </c>
      <c r="F1227" s="174" t="n">
        <v>2029</v>
      </c>
      <c r="G1227" s="175" t="n">
        <v>55</v>
      </c>
      <c r="H1227" s="176" t="n">
        <v>14034.4304888541</v>
      </c>
      <c r="I1227" s="177" t="n">
        <v>3537527.18700445</v>
      </c>
      <c r="J1227" s="178" t="str">
        <f>IF(I1227&gt;0,H1227/I1227,0)</f>
      </c>
      <c r="K1227" s="179" t="str">
        <f>1-EXP(-J1227)</f>
      </c>
      <c r="L1227" s="180" t="str">
        <f>IF(G1227=30,1,M1226)</f>
      </c>
      <c r="M1227" s="181" t="str">
        <f>L1227*(1-K1227)</f>
      </c>
    </row>
    <row r="1228">
      <c r="A1228" t="s">
        <v>164</v>
      </c>
      <c r="B1228" t="s">
        <v>112</v>
      </c>
      <c r="C1228" s="32" t="s">
        <v>297</v>
      </c>
      <c r="D1228" t="s">
        <v>112</v>
      </c>
      <c r="E1228" t="s">
        <v>395</v>
      </c>
      <c r="F1228" s="174" t="n">
        <v>2029</v>
      </c>
      <c r="G1228" s="175" t="n">
        <v>56</v>
      </c>
      <c r="H1228" s="176" t="n">
        <v>15121.5033797661</v>
      </c>
      <c r="I1228" s="177" t="n">
        <v>3490524.3422138</v>
      </c>
      <c r="J1228" s="178" t="str">
        <f>IF(I1228&gt;0,H1228/I1228,0)</f>
      </c>
      <c r="K1228" s="179" t="str">
        <f>1-EXP(-J1228)</f>
      </c>
      <c r="L1228" s="180" t="str">
        <f>IF(G1228=30,1,M1227)</f>
      </c>
      <c r="M1228" s="181" t="str">
        <f>L1228*(1-K1228)</f>
      </c>
    </row>
    <row r="1229">
      <c r="A1229" t="s">
        <v>164</v>
      </c>
      <c r="B1229" t="s">
        <v>112</v>
      </c>
      <c r="C1229" s="32" t="s">
        <v>297</v>
      </c>
      <c r="D1229" t="s">
        <v>112</v>
      </c>
      <c r="E1229" t="s">
        <v>395</v>
      </c>
      <c r="F1229" s="174" t="n">
        <v>2029</v>
      </c>
      <c r="G1229" s="175" t="n">
        <v>57</v>
      </c>
      <c r="H1229" s="176" t="n">
        <v>15543.983222116</v>
      </c>
      <c r="I1229" s="177" t="n">
        <v>3280677.41766223</v>
      </c>
      <c r="J1229" s="178" t="str">
        <f>IF(I1229&gt;0,H1229/I1229,0)</f>
      </c>
      <c r="K1229" s="179" t="str">
        <f>1-EXP(-J1229)</f>
      </c>
      <c r="L1229" s="180" t="str">
        <f>IF(G1229=30,1,M1228)</f>
      </c>
      <c r="M1229" s="181" t="str">
        <f>L1229*(1-K1229)</f>
      </c>
    </row>
    <row r="1230">
      <c r="A1230" t="s">
        <v>164</v>
      </c>
      <c r="B1230" t="s">
        <v>112</v>
      </c>
      <c r="C1230" s="32" t="s">
        <v>297</v>
      </c>
      <c r="D1230" t="s">
        <v>112</v>
      </c>
      <c r="E1230" t="s">
        <v>395</v>
      </c>
      <c r="F1230" s="174" t="n">
        <v>2029</v>
      </c>
      <c r="G1230" s="175" t="n">
        <v>58</v>
      </c>
      <c r="H1230" s="176" t="n">
        <v>16526.1369186541</v>
      </c>
      <c r="I1230" s="177" t="n">
        <v>3191825.83906932</v>
      </c>
      <c r="J1230" s="178" t="str">
        <f>IF(I1230&gt;0,H1230/I1230,0)</f>
      </c>
      <c r="K1230" s="179" t="str">
        <f>1-EXP(-J1230)</f>
      </c>
      <c r="L1230" s="180" t="str">
        <f>IF(G1230=30,1,M1229)</f>
      </c>
      <c r="M1230" s="181" t="str">
        <f>L1230*(1-K1230)</f>
      </c>
    </row>
    <row r="1231">
      <c r="A1231" t="s">
        <v>164</v>
      </c>
      <c r="B1231" t="s">
        <v>112</v>
      </c>
      <c r="C1231" s="32" t="s">
        <v>297</v>
      </c>
      <c r="D1231" t="s">
        <v>112</v>
      </c>
      <c r="E1231" t="s">
        <v>395</v>
      </c>
      <c r="F1231" s="174" t="n">
        <v>2029</v>
      </c>
      <c r="G1231" s="175" t="n">
        <v>59</v>
      </c>
      <c r="H1231" s="176" t="n">
        <v>17587.5322128681</v>
      </c>
      <c r="I1231" s="177" t="n">
        <v>3107273.08358121</v>
      </c>
      <c r="J1231" s="178" t="str">
        <f>IF(I1231&gt;0,H1231/I1231,0)</f>
      </c>
      <c r="K1231" s="179" t="str">
        <f>1-EXP(-J1231)</f>
      </c>
      <c r="L1231" s="180" t="str">
        <f>IF(G1231=30,1,M1230)</f>
      </c>
      <c r="M1231" s="181" t="str">
        <f>L1231*(1-K1231)</f>
      </c>
    </row>
    <row r="1232">
      <c r="A1232" t="s">
        <v>164</v>
      </c>
      <c r="B1232" t="s">
        <v>112</v>
      </c>
      <c r="C1232" s="32" t="s">
        <v>297</v>
      </c>
      <c r="D1232" t="s">
        <v>112</v>
      </c>
      <c r="E1232" t="s">
        <v>395</v>
      </c>
      <c r="F1232" s="174" t="n">
        <v>2029</v>
      </c>
      <c r="G1232" s="175" t="n">
        <v>60</v>
      </c>
      <c r="H1232" s="176" t="n">
        <v>19030.448933651</v>
      </c>
      <c r="I1232" s="177" t="n">
        <v>3013434.69861547</v>
      </c>
      <c r="J1232" s="178" t="str">
        <f>IF(I1232&gt;0,H1232/I1232,0)</f>
      </c>
      <c r="K1232" s="179" t="str">
        <f>1-EXP(-J1232)</f>
      </c>
      <c r="L1232" s="180" t="str">
        <f>IF(G1232=30,1,M1231)</f>
      </c>
      <c r="M1232" s="181" t="str">
        <f>L1232*(1-K1232)</f>
      </c>
    </row>
    <row r="1233">
      <c r="A1233" t="s">
        <v>164</v>
      </c>
      <c r="B1233" t="s">
        <v>112</v>
      </c>
      <c r="C1233" s="32" t="s">
        <v>297</v>
      </c>
      <c r="D1233" t="s">
        <v>112</v>
      </c>
      <c r="E1233" t="s">
        <v>395</v>
      </c>
      <c r="F1233" s="174" t="n">
        <v>2029</v>
      </c>
      <c r="G1233" s="175" t="n">
        <v>61</v>
      </c>
      <c r="H1233" s="176" t="n">
        <v>20021.7307920977</v>
      </c>
      <c r="I1233" s="177" t="n">
        <v>2899296.76636074</v>
      </c>
      <c r="J1233" s="178" t="str">
        <f>IF(I1233&gt;0,H1233/I1233,0)</f>
      </c>
      <c r="K1233" s="179" t="str">
        <f>1-EXP(-J1233)</f>
      </c>
      <c r="L1233" s="180" t="str">
        <f>IF(G1233=30,1,M1232)</f>
      </c>
      <c r="M1233" s="181" t="str">
        <f>L1233*(1-K1233)</f>
      </c>
    </row>
    <row r="1234">
      <c r="A1234" t="s">
        <v>164</v>
      </c>
      <c r="B1234" t="s">
        <v>112</v>
      </c>
      <c r="C1234" s="32" t="s">
        <v>297</v>
      </c>
      <c r="D1234" t="s">
        <v>112</v>
      </c>
      <c r="E1234" t="s">
        <v>395</v>
      </c>
      <c r="F1234" s="174" t="n">
        <v>2029</v>
      </c>
      <c r="G1234" s="175" t="n">
        <v>62</v>
      </c>
      <c r="H1234" s="176" t="n">
        <v>20833.8453660072</v>
      </c>
      <c r="I1234" s="177" t="n">
        <v>2754827.19395821</v>
      </c>
      <c r="J1234" s="178" t="str">
        <f>IF(I1234&gt;0,H1234/I1234,0)</f>
      </c>
      <c r="K1234" s="179" t="str">
        <f>1-EXP(-J1234)</f>
      </c>
      <c r="L1234" s="180" t="str">
        <f>IF(G1234=30,1,M1233)</f>
      </c>
      <c r="M1234" s="181" t="str">
        <f>L1234*(1-K1234)</f>
      </c>
    </row>
    <row r="1235">
      <c r="A1235" t="s">
        <v>164</v>
      </c>
      <c r="B1235" t="s">
        <v>112</v>
      </c>
      <c r="C1235" s="32" t="s">
        <v>297</v>
      </c>
      <c r="D1235" t="s">
        <v>112</v>
      </c>
      <c r="E1235" t="s">
        <v>395</v>
      </c>
      <c r="F1235" s="174" t="n">
        <v>2029</v>
      </c>
      <c r="G1235" s="175" t="n">
        <v>63</v>
      </c>
      <c r="H1235" s="176" t="n">
        <v>21906.1496511284</v>
      </c>
      <c r="I1235" s="177" t="n">
        <v>2646414.93847185</v>
      </c>
      <c r="J1235" s="178" t="str">
        <f>IF(I1235&gt;0,H1235/I1235,0)</f>
      </c>
      <c r="K1235" s="179" t="str">
        <f>1-EXP(-J1235)</f>
      </c>
      <c r="L1235" s="180" t="str">
        <f>IF(G1235=30,1,M1234)</f>
      </c>
      <c r="M1235" s="181" t="str">
        <f>L1235*(1-K1235)</f>
      </c>
    </row>
    <row r="1236">
      <c r="A1236" t="s">
        <v>164</v>
      </c>
      <c r="B1236" t="s">
        <v>112</v>
      </c>
      <c r="C1236" s="32" t="s">
        <v>297</v>
      </c>
      <c r="D1236" t="s">
        <v>112</v>
      </c>
      <c r="E1236" t="s">
        <v>395</v>
      </c>
      <c r="F1236" s="174" t="n">
        <v>2029</v>
      </c>
      <c r="G1236" s="175" t="n">
        <v>64</v>
      </c>
      <c r="H1236" s="176" t="n">
        <v>22808.7325304729</v>
      </c>
      <c r="I1236" s="177" t="n">
        <v>2516681.71206821</v>
      </c>
      <c r="J1236" s="178" t="str">
        <f>IF(I1236&gt;0,H1236/I1236,0)</f>
      </c>
      <c r="K1236" s="179" t="str">
        <f>1-EXP(-J1236)</f>
      </c>
      <c r="L1236" s="180" t="str">
        <f>IF(G1236=30,1,M1235)</f>
      </c>
      <c r="M1236" s="181" t="str">
        <f>L1236*(1-K1236)</f>
      </c>
    </row>
    <row r="1237">
      <c r="A1237" t="s">
        <v>164</v>
      </c>
      <c r="B1237" t="s">
        <v>112</v>
      </c>
      <c r="C1237" s="32" t="s">
        <v>297</v>
      </c>
      <c r="D1237" t="s">
        <v>112</v>
      </c>
      <c r="E1237" t="s">
        <v>395</v>
      </c>
      <c r="F1237" s="174" t="n">
        <v>2029</v>
      </c>
      <c r="G1237" s="175" t="n">
        <v>65</v>
      </c>
      <c r="H1237" s="176" t="n">
        <v>23041.077458081</v>
      </c>
      <c r="I1237" s="177" t="n">
        <v>2387169.45028782</v>
      </c>
      <c r="J1237" s="178" t="str">
        <f>IF(I1237&gt;0,H1237/I1237,0)</f>
      </c>
      <c r="K1237" s="179" t="str">
        <f>1-EXP(-J1237)</f>
      </c>
      <c r="L1237" s="180" t="str">
        <f>IF(G1237=30,1,M1236)</f>
      </c>
      <c r="M1237" s="181" t="str">
        <f>L1237*(1-K1237)</f>
      </c>
    </row>
    <row r="1238">
      <c r="A1238" t="s">
        <v>164</v>
      </c>
      <c r="B1238" t="s">
        <v>112</v>
      </c>
      <c r="C1238" s="32" t="s">
        <v>297</v>
      </c>
      <c r="D1238" t="s">
        <v>112</v>
      </c>
      <c r="E1238" t="s">
        <v>395</v>
      </c>
      <c r="F1238" s="174" t="n">
        <v>2029</v>
      </c>
      <c r="G1238" s="175" t="n">
        <v>66</v>
      </c>
      <c r="H1238" s="176" t="n">
        <v>23939.2758200833</v>
      </c>
      <c r="I1238" s="177" t="n">
        <v>2262682.98795294</v>
      </c>
      <c r="J1238" s="178" t="str">
        <f>IF(I1238&gt;0,H1238/I1238,0)</f>
      </c>
      <c r="K1238" s="179" t="str">
        <f>1-EXP(-J1238)</f>
      </c>
      <c r="L1238" s="180" t="str">
        <f>IF(G1238=30,1,M1237)</f>
      </c>
      <c r="M1238" s="181" t="str">
        <f>L1238*(1-K1238)</f>
      </c>
    </row>
    <row r="1239">
      <c r="A1239" t="s">
        <v>164</v>
      </c>
      <c r="B1239" t="s">
        <v>112</v>
      </c>
      <c r="C1239" s="32" t="s">
        <v>297</v>
      </c>
      <c r="D1239" t="s">
        <v>112</v>
      </c>
      <c r="E1239" t="s">
        <v>395</v>
      </c>
      <c r="F1239" s="174" t="n">
        <v>2029</v>
      </c>
      <c r="G1239" s="175" t="n">
        <v>67</v>
      </c>
      <c r="H1239" s="176" t="n">
        <v>24605.5217657442</v>
      </c>
      <c r="I1239" s="177" t="n">
        <v>2113115.79412733</v>
      </c>
      <c r="J1239" s="178" t="str">
        <f>IF(I1239&gt;0,H1239/I1239,0)</f>
      </c>
      <c r="K1239" s="179" t="str">
        <f>1-EXP(-J1239)</f>
      </c>
      <c r="L1239" s="180" t="str">
        <f>IF(G1239=30,1,M1238)</f>
      </c>
      <c r="M1239" s="181" t="str">
        <f>L1239*(1-K1239)</f>
      </c>
    </row>
    <row r="1240">
      <c r="A1240" t="s">
        <v>164</v>
      </c>
      <c r="B1240" t="s">
        <v>112</v>
      </c>
      <c r="C1240" s="32" t="s">
        <v>297</v>
      </c>
      <c r="D1240" t="s">
        <v>112</v>
      </c>
      <c r="E1240" t="s">
        <v>395</v>
      </c>
      <c r="F1240" s="174" t="n">
        <v>2029</v>
      </c>
      <c r="G1240" s="175" t="n">
        <v>68</v>
      </c>
      <c r="H1240" s="176" t="n">
        <v>25398.396633084</v>
      </c>
      <c r="I1240" s="177" t="n">
        <v>1988245.51846291</v>
      </c>
      <c r="J1240" s="178" t="str">
        <f>IF(I1240&gt;0,H1240/I1240,0)</f>
      </c>
      <c r="K1240" s="179" t="str">
        <f>1-EXP(-J1240)</f>
      </c>
      <c r="L1240" s="180" t="str">
        <f>IF(G1240=30,1,M1239)</f>
      </c>
      <c r="M1240" s="181" t="str">
        <f>L1240*(1-K1240)</f>
      </c>
    </row>
    <row r="1241">
      <c r="A1241" t="s">
        <v>164</v>
      </c>
      <c r="B1241" t="s">
        <v>112</v>
      </c>
      <c r="C1241" s="32" t="s">
        <v>297</v>
      </c>
      <c r="D1241" t="s">
        <v>112</v>
      </c>
      <c r="E1241" t="s">
        <v>395</v>
      </c>
      <c r="F1241" s="174" t="n">
        <v>2029</v>
      </c>
      <c r="G1241" s="175" t="n">
        <v>69</v>
      </c>
      <c r="H1241" s="176" t="n">
        <v>26083.3256147966</v>
      </c>
      <c r="I1241" s="177" t="n">
        <v>1859982.10933492</v>
      </c>
      <c r="J1241" s="178" t="str">
        <f>IF(I1241&gt;0,H1241/I1241,0)</f>
      </c>
      <c r="K1241" s="179" t="str">
        <f>1-EXP(-J1241)</f>
      </c>
      <c r="L1241" s="180" t="str">
        <f>IF(G1241=30,1,M1240)</f>
      </c>
      <c r="M1241" s="181" t="str">
        <f>L1241*(1-K1241)</f>
      </c>
    </row>
    <row r="1242">
      <c r="A1242" t="s">
        <v>164</v>
      </c>
      <c r="B1242" t="s">
        <v>112</v>
      </c>
      <c r="C1242" s="32" t="s">
        <v>297</v>
      </c>
      <c r="D1242" t="s">
        <v>112</v>
      </c>
      <c r="E1242" t="s">
        <v>395</v>
      </c>
      <c r="F1242" s="174" t="n">
        <v>2030</v>
      </c>
      <c r="G1242" s="175" t="n">
        <v>30</v>
      </c>
      <c r="H1242" s="176" t="n">
        <v>954.561909011068</v>
      </c>
      <c r="I1242" s="177" t="n">
        <v>4327148.80938421</v>
      </c>
      <c r="J1242" s="178" t="str">
        <f>IF(I1242&gt;0,H1242/I1242,0)</f>
      </c>
      <c r="K1242" s="179" t="str">
        <f>1-EXP(-J1242)</f>
      </c>
      <c r="L1242" s="180" t="str">
        <f>IF(G1242=30,1,M1241)</f>
      </c>
      <c r="M1242" s="181" t="str">
        <f>L1242*(1-K1242)</f>
      </c>
    </row>
    <row r="1243">
      <c r="A1243" t="s">
        <v>164</v>
      </c>
      <c r="B1243" t="s">
        <v>112</v>
      </c>
      <c r="C1243" s="32" t="s">
        <v>297</v>
      </c>
      <c r="D1243" t="s">
        <v>112</v>
      </c>
      <c r="E1243" t="s">
        <v>395</v>
      </c>
      <c r="F1243" s="174" t="n">
        <v>2030</v>
      </c>
      <c r="G1243" s="175" t="n">
        <v>31</v>
      </c>
      <c r="H1243" s="176" t="n">
        <v>1095.81515926344</v>
      </c>
      <c r="I1243" s="177" t="n">
        <v>4347585.95869366</v>
      </c>
      <c r="J1243" s="178" t="str">
        <f>IF(I1243&gt;0,H1243/I1243,0)</f>
      </c>
      <c r="K1243" s="179" t="str">
        <f>1-EXP(-J1243)</f>
      </c>
      <c r="L1243" s="180" t="str">
        <f>IF(G1243=30,1,M1242)</f>
      </c>
      <c r="M1243" s="181" t="str">
        <f>L1243*(1-K1243)</f>
      </c>
    </row>
    <row r="1244">
      <c r="A1244" t="s">
        <v>164</v>
      </c>
      <c r="B1244" t="s">
        <v>112</v>
      </c>
      <c r="C1244" s="32" t="s">
        <v>297</v>
      </c>
      <c r="D1244" t="s">
        <v>112</v>
      </c>
      <c r="E1244" t="s">
        <v>395</v>
      </c>
      <c r="F1244" s="174" t="n">
        <v>2030</v>
      </c>
      <c r="G1244" s="175" t="n">
        <v>32</v>
      </c>
      <c r="H1244" s="176" t="n">
        <v>1169.03203808486</v>
      </c>
      <c r="I1244" s="177" t="n">
        <v>4407855.66705833</v>
      </c>
      <c r="J1244" s="178" t="str">
        <f>IF(I1244&gt;0,H1244/I1244,0)</f>
      </c>
      <c r="K1244" s="179" t="str">
        <f>1-EXP(-J1244)</f>
      </c>
      <c r="L1244" s="180" t="str">
        <f>IF(G1244=30,1,M1243)</f>
      </c>
      <c r="M1244" s="181" t="str">
        <f>L1244*(1-K1244)</f>
      </c>
    </row>
    <row r="1245">
      <c r="A1245" t="s">
        <v>164</v>
      </c>
      <c r="B1245" t="s">
        <v>112</v>
      </c>
      <c r="C1245" s="32" t="s">
        <v>297</v>
      </c>
      <c r="D1245" t="s">
        <v>112</v>
      </c>
      <c r="E1245" t="s">
        <v>395</v>
      </c>
      <c r="F1245" s="174" t="n">
        <v>2030</v>
      </c>
      <c r="G1245" s="175" t="n">
        <v>33</v>
      </c>
      <c r="H1245" s="176" t="n">
        <v>1474.49028913935</v>
      </c>
      <c r="I1245" s="177" t="n">
        <v>4548815.20803026</v>
      </c>
      <c r="J1245" s="178" t="str">
        <f>IF(I1245&gt;0,H1245/I1245,0)</f>
      </c>
      <c r="K1245" s="179" t="str">
        <f>1-EXP(-J1245)</f>
      </c>
      <c r="L1245" s="180" t="str">
        <f>IF(G1245=30,1,M1244)</f>
      </c>
      <c r="M1245" s="181" t="str">
        <f>L1245*(1-K1245)</f>
      </c>
    </row>
    <row r="1246">
      <c r="A1246" t="s">
        <v>164</v>
      </c>
      <c r="B1246" t="s">
        <v>112</v>
      </c>
      <c r="C1246" s="32" t="s">
        <v>297</v>
      </c>
      <c r="D1246" t="s">
        <v>112</v>
      </c>
      <c r="E1246" t="s">
        <v>395</v>
      </c>
      <c r="F1246" s="174" t="n">
        <v>2030</v>
      </c>
      <c r="G1246" s="175" t="n">
        <v>34</v>
      </c>
      <c r="H1246" s="176" t="n">
        <v>1547.2120886667</v>
      </c>
      <c r="I1246" s="177" t="n">
        <v>4506005.52207515</v>
      </c>
      <c r="J1246" s="178" t="str">
        <f>IF(I1246&gt;0,H1246/I1246,0)</f>
      </c>
      <c r="K1246" s="179" t="str">
        <f>1-EXP(-J1246)</f>
      </c>
      <c r="L1246" s="180" t="str">
        <f>IF(G1246=30,1,M1245)</f>
      </c>
      <c r="M1246" s="181" t="str">
        <f>L1246*(1-K1246)</f>
      </c>
    </row>
    <row r="1247">
      <c r="A1247" t="s">
        <v>164</v>
      </c>
      <c r="B1247" t="s">
        <v>112</v>
      </c>
      <c r="C1247" s="32" t="s">
        <v>297</v>
      </c>
      <c r="D1247" t="s">
        <v>112</v>
      </c>
      <c r="E1247" t="s">
        <v>395</v>
      </c>
      <c r="F1247" s="174" t="n">
        <v>2030</v>
      </c>
      <c r="G1247" s="175" t="n">
        <v>35</v>
      </c>
      <c r="H1247" s="176" t="n">
        <v>2069.22139859699</v>
      </c>
      <c r="I1247" s="177" t="n">
        <v>4433000.42805841</v>
      </c>
      <c r="J1247" s="178" t="str">
        <f>IF(I1247&gt;0,H1247/I1247,0)</f>
      </c>
      <c r="K1247" s="179" t="str">
        <f>1-EXP(-J1247)</f>
      </c>
      <c r="L1247" s="180" t="str">
        <f>IF(G1247=30,1,M1246)</f>
      </c>
      <c r="M1247" s="181" t="str">
        <f>L1247*(1-K1247)</f>
      </c>
    </row>
    <row r="1248">
      <c r="A1248" t="s">
        <v>164</v>
      </c>
      <c r="B1248" t="s">
        <v>112</v>
      </c>
      <c r="C1248" s="32" t="s">
        <v>297</v>
      </c>
      <c r="D1248" t="s">
        <v>112</v>
      </c>
      <c r="E1248" t="s">
        <v>395</v>
      </c>
      <c r="F1248" s="174" t="n">
        <v>2030</v>
      </c>
      <c r="G1248" s="175" t="n">
        <v>36</v>
      </c>
      <c r="H1248" s="176" t="n">
        <v>2183.98021981426</v>
      </c>
      <c r="I1248" s="177" t="n">
        <v>4375259.18122334</v>
      </c>
      <c r="J1248" s="178" t="str">
        <f>IF(I1248&gt;0,H1248/I1248,0)</f>
      </c>
      <c r="K1248" s="179" t="str">
        <f>1-EXP(-J1248)</f>
      </c>
      <c r="L1248" s="180" t="str">
        <f>IF(G1248=30,1,M1247)</f>
      </c>
      <c r="M1248" s="181" t="str">
        <f>L1248*(1-K1248)</f>
      </c>
    </row>
    <row r="1249">
      <c r="A1249" t="s">
        <v>164</v>
      </c>
      <c r="B1249" t="s">
        <v>112</v>
      </c>
      <c r="C1249" s="32" t="s">
        <v>297</v>
      </c>
      <c r="D1249" t="s">
        <v>112</v>
      </c>
      <c r="E1249" t="s">
        <v>395</v>
      </c>
      <c r="F1249" s="174" t="n">
        <v>2030</v>
      </c>
      <c r="G1249" s="175" t="n">
        <v>37</v>
      </c>
      <c r="H1249" s="176" t="n">
        <v>2313.18732154473</v>
      </c>
      <c r="I1249" s="177" t="n">
        <v>4321578.0387858</v>
      </c>
      <c r="J1249" s="178" t="str">
        <f>IF(I1249&gt;0,H1249/I1249,0)</f>
      </c>
      <c r="K1249" s="179" t="str">
        <f>1-EXP(-J1249)</f>
      </c>
      <c r="L1249" s="180" t="str">
        <f>IF(G1249=30,1,M1248)</f>
      </c>
      <c r="M1249" s="181" t="str">
        <f>L1249*(1-K1249)</f>
      </c>
    </row>
    <row r="1250">
      <c r="A1250" t="s">
        <v>164</v>
      </c>
      <c r="B1250" t="s">
        <v>112</v>
      </c>
      <c r="C1250" s="32" t="s">
        <v>297</v>
      </c>
      <c r="D1250" t="s">
        <v>112</v>
      </c>
      <c r="E1250" t="s">
        <v>395</v>
      </c>
      <c r="F1250" s="174" t="n">
        <v>2030</v>
      </c>
      <c r="G1250" s="175" t="n">
        <v>38</v>
      </c>
      <c r="H1250" s="176" t="n">
        <v>2505.22702809124</v>
      </c>
      <c r="I1250" s="177" t="n">
        <v>4359270.44073093</v>
      </c>
      <c r="J1250" s="178" t="str">
        <f>IF(I1250&gt;0,H1250/I1250,0)</f>
      </c>
      <c r="K1250" s="179" t="str">
        <f>1-EXP(-J1250)</f>
      </c>
      <c r="L1250" s="180" t="str">
        <f>IF(G1250=30,1,M1249)</f>
      </c>
      <c r="M1250" s="181" t="str">
        <f>L1250*(1-K1250)</f>
      </c>
    </row>
    <row r="1251">
      <c r="A1251" t="s">
        <v>164</v>
      </c>
      <c r="B1251" t="s">
        <v>112</v>
      </c>
      <c r="C1251" s="32" t="s">
        <v>297</v>
      </c>
      <c r="D1251" t="s">
        <v>112</v>
      </c>
      <c r="E1251" t="s">
        <v>395</v>
      </c>
      <c r="F1251" s="174" t="n">
        <v>2030</v>
      </c>
      <c r="G1251" s="175" t="n">
        <v>39</v>
      </c>
      <c r="H1251" s="176" t="n">
        <v>2707.01984507836</v>
      </c>
      <c r="I1251" s="177" t="n">
        <v>4377237.85152591</v>
      </c>
      <c r="J1251" s="178" t="str">
        <f>IF(I1251&gt;0,H1251/I1251,0)</f>
      </c>
      <c r="K1251" s="179" t="str">
        <f>1-EXP(-J1251)</f>
      </c>
      <c r="L1251" s="180" t="str">
        <f>IF(G1251=30,1,M1250)</f>
      </c>
      <c r="M1251" s="181" t="str">
        <f>L1251*(1-K1251)</f>
      </c>
    </row>
    <row r="1252">
      <c r="A1252" t="s">
        <v>164</v>
      </c>
      <c r="B1252" t="s">
        <v>112</v>
      </c>
      <c r="C1252" s="32" t="s">
        <v>297</v>
      </c>
      <c r="D1252" t="s">
        <v>112</v>
      </c>
      <c r="E1252" t="s">
        <v>395</v>
      </c>
      <c r="F1252" s="174" t="n">
        <v>2030</v>
      </c>
      <c r="G1252" s="175" t="n">
        <v>40</v>
      </c>
      <c r="H1252" s="176" t="n">
        <v>5117.9545902282</v>
      </c>
      <c r="I1252" s="177" t="n">
        <v>6445507.71588637</v>
      </c>
      <c r="J1252" s="178" t="str">
        <f>IF(I1252&gt;0,H1252/I1252,0)</f>
      </c>
      <c r="K1252" s="179" t="str">
        <f>1-EXP(-J1252)</f>
      </c>
      <c r="L1252" s="180" t="str">
        <f>IF(G1252=30,1,M1251)</f>
      </c>
      <c r="M1252" s="181" t="str">
        <f>L1252*(1-K1252)</f>
      </c>
    </row>
    <row r="1253">
      <c r="A1253" t="s">
        <v>164</v>
      </c>
      <c r="B1253" t="s">
        <v>112</v>
      </c>
      <c r="C1253" s="32" t="s">
        <v>297</v>
      </c>
      <c r="D1253" t="s">
        <v>112</v>
      </c>
      <c r="E1253" t="s">
        <v>395</v>
      </c>
      <c r="F1253" s="174" t="n">
        <v>2030</v>
      </c>
      <c r="G1253" s="175" t="n">
        <v>41</v>
      </c>
      <c r="H1253" s="176" t="n">
        <v>3899.01871072117</v>
      </c>
      <c r="I1253" s="177" t="n">
        <v>4334862.18842344</v>
      </c>
      <c r="J1253" s="178" t="str">
        <f>IF(I1253&gt;0,H1253/I1253,0)</f>
      </c>
      <c r="K1253" s="179" t="str">
        <f>1-EXP(-J1253)</f>
      </c>
      <c r="L1253" s="180" t="str">
        <f>IF(G1253=30,1,M1252)</f>
      </c>
      <c r="M1253" s="181" t="str">
        <f>L1253*(1-K1253)</f>
      </c>
    </row>
    <row r="1254">
      <c r="A1254" t="s">
        <v>164</v>
      </c>
      <c r="B1254" t="s">
        <v>112</v>
      </c>
      <c r="C1254" s="32" t="s">
        <v>297</v>
      </c>
      <c r="D1254" t="s">
        <v>112</v>
      </c>
      <c r="E1254" t="s">
        <v>395</v>
      </c>
      <c r="F1254" s="174" t="n">
        <v>2030</v>
      </c>
      <c r="G1254" s="175" t="n">
        <v>42</v>
      </c>
      <c r="H1254" s="176" t="n">
        <v>4210.94436701803</v>
      </c>
      <c r="I1254" s="177" t="n">
        <v>4318004.00138514</v>
      </c>
      <c r="J1254" s="178" t="str">
        <f>IF(I1254&gt;0,H1254/I1254,0)</f>
      </c>
      <c r="K1254" s="179" t="str">
        <f>1-EXP(-J1254)</f>
      </c>
      <c r="L1254" s="180" t="str">
        <f>IF(G1254=30,1,M1253)</f>
      </c>
      <c r="M1254" s="181" t="str">
        <f>L1254*(1-K1254)</f>
      </c>
    </row>
    <row r="1255">
      <c r="A1255" t="s">
        <v>164</v>
      </c>
      <c r="B1255" t="s">
        <v>112</v>
      </c>
      <c r="C1255" s="32" t="s">
        <v>297</v>
      </c>
      <c r="D1255" t="s">
        <v>112</v>
      </c>
      <c r="E1255" t="s">
        <v>395</v>
      </c>
      <c r="F1255" s="174" t="n">
        <v>2030</v>
      </c>
      <c r="G1255" s="175" t="n">
        <v>43</v>
      </c>
      <c r="H1255" s="176" t="n">
        <v>4441.45767535182</v>
      </c>
      <c r="I1255" s="177" t="n">
        <v>4185589.6639859</v>
      </c>
      <c r="J1255" s="178" t="str">
        <f>IF(I1255&gt;0,H1255/I1255,0)</f>
      </c>
      <c r="K1255" s="179" t="str">
        <f>1-EXP(-J1255)</f>
      </c>
      <c r="L1255" s="180" t="str">
        <f>IF(G1255=30,1,M1254)</f>
      </c>
      <c r="M1255" s="181" t="str">
        <f>L1255*(1-K1255)</f>
      </c>
    </row>
    <row r="1256">
      <c r="A1256" t="s">
        <v>164</v>
      </c>
      <c r="B1256" t="s">
        <v>112</v>
      </c>
      <c r="C1256" s="32" t="s">
        <v>297</v>
      </c>
      <c r="D1256" t="s">
        <v>112</v>
      </c>
      <c r="E1256" t="s">
        <v>395</v>
      </c>
      <c r="F1256" s="174" t="n">
        <v>2030</v>
      </c>
      <c r="G1256" s="175" t="n">
        <v>44</v>
      </c>
      <c r="H1256" s="176" t="n">
        <v>4806.08729626529</v>
      </c>
      <c r="I1256" s="177" t="n">
        <v>4150797.36947069</v>
      </c>
      <c r="J1256" s="178" t="str">
        <f>IF(I1256&gt;0,H1256/I1256,0)</f>
      </c>
      <c r="K1256" s="179" t="str">
        <f>1-EXP(-J1256)</f>
      </c>
      <c r="L1256" s="180" t="str">
        <f>IF(G1256=30,1,M1255)</f>
      </c>
      <c r="M1256" s="181" t="str">
        <f>L1256*(1-K1256)</f>
      </c>
    </row>
    <row r="1257">
      <c r="A1257" t="s">
        <v>164</v>
      </c>
      <c r="B1257" t="s">
        <v>112</v>
      </c>
      <c r="C1257" s="32" t="s">
        <v>297</v>
      </c>
      <c r="D1257" t="s">
        <v>112</v>
      </c>
      <c r="E1257" t="s">
        <v>395</v>
      </c>
      <c r="F1257" s="174" t="n">
        <v>2030</v>
      </c>
      <c r="G1257" s="175" t="n">
        <v>45</v>
      </c>
      <c r="H1257" s="176" t="n">
        <v>6304.07058072601</v>
      </c>
      <c r="I1257" s="177" t="n">
        <v>4209505.00499586</v>
      </c>
      <c r="J1257" s="178" t="str">
        <f>IF(I1257&gt;0,H1257/I1257,0)</f>
      </c>
      <c r="K1257" s="179" t="str">
        <f>1-EXP(-J1257)</f>
      </c>
      <c r="L1257" s="180" t="str">
        <f>IF(G1257=30,1,M1256)</f>
      </c>
      <c r="M1257" s="181" t="str">
        <f>L1257*(1-K1257)</f>
      </c>
    </row>
    <row r="1258">
      <c r="A1258" t="s">
        <v>164</v>
      </c>
      <c r="B1258" t="s">
        <v>112</v>
      </c>
      <c r="C1258" s="32" t="s">
        <v>297</v>
      </c>
      <c r="D1258" t="s">
        <v>112</v>
      </c>
      <c r="E1258" t="s">
        <v>395</v>
      </c>
      <c r="F1258" s="174" t="n">
        <v>2030</v>
      </c>
      <c r="G1258" s="175" t="n">
        <v>46</v>
      </c>
      <c r="H1258" s="176" t="n">
        <v>7040.19572668887</v>
      </c>
      <c r="I1258" s="177" t="n">
        <v>4292137.77896133</v>
      </c>
      <c r="J1258" s="178" t="str">
        <f>IF(I1258&gt;0,H1258/I1258,0)</f>
      </c>
      <c r="K1258" s="179" t="str">
        <f>1-EXP(-J1258)</f>
      </c>
      <c r="L1258" s="180" t="str">
        <f>IF(G1258=30,1,M1257)</f>
      </c>
      <c r="M1258" s="181" t="str">
        <f>L1258*(1-K1258)</f>
      </c>
    </row>
    <row r="1259">
      <c r="A1259" t="s">
        <v>164</v>
      </c>
      <c r="B1259" t="s">
        <v>112</v>
      </c>
      <c r="C1259" s="32" t="s">
        <v>297</v>
      </c>
      <c r="D1259" t="s">
        <v>112</v>
      </c>
      <c r="E1259" t="s">
        <v>395</v>
      </c>
      <c r="F1259" s="174" t="n">
        <v>2030</v>
      </c>
      <c r="G1259" s="175" t="n">
        <v>47</v>
      </c>
      <c r="H1259" s="176" t="n">
        <v>7668.8709571623</v>
      </c>
      <c r="I1259" s="177" t="n">
        <v>4266832.22534156</v>
      </c>
      <c r="J1259" s="178" t="str">
        <f>IF(I1259&gt;0,H1259/I1259,0)</f>
      </c>
      <c r="K1259" s="179" t="str">
        <f>1-EXP(-J1259)</f>
      </c>
      <c r="L1259" s="180" t="str">
        <f>IF(G1259=30,1,M1258)</f>
      </c>
      <c r="M1259" s="181" t="str">
        <f>L1259*(1-K1259)</f>
      </c>
    </row>
    <row r="1260">
      <c r="A1260" t="s">
        <v>164</v>
      </c>
      <c r="B1260" t="s">
        <v>112</v>
      </c>
      <c r="C1260" s="32" t="s">
        <v>297</v>
      </c>
      <c r="D1260" t="s">
        <v>112</v>
      </c>
      <c r="E1260" t="s">
        <v>395</v>
      </c>
      <c r="F1260" s="174" t="n">
        <v>2030</v>
      </c>
      <c r="G1260" s="175" t="n">
        <v>48</v>
      </c>
      <c r="H1260" s="176" t="n">
        <v>8136.13145304129</v>
      </c>
      <c r="I1260" s="177" t="n">
        <v>4129226.87682948</v>
      </c>
      <c r="J1260" s="178" t="str">
        <f>IF(I1260&gt;0,H1260/I1260,0)</f>
      </c>
      <c r="K1260" s="179" t="str">
        <f>1-EXP(-J1260)</f>
      </c>
      <c r="L1260" s="180" t="str">
        <f>IF(G1260=30,1,M1259)</f>
      </c>
      <c r="M1260" s="181" t="str">
        <f>L1260*(1-K1260)</f>
      </c>
    </row>
    <row r="1261">
      <c r="A1261" t="s">
        <v>164</v>
      </c>
      <c r="B1261" t="s">
        <v>112</v>
      </c>
      <c r="C1261" s="32" t="s">
        <v>297</v>
      </c>
      <c r="D1261" t="s">
        <v>112</v>
      </c>
      <c r="E1261" t="s">
        <v>395</v>
      </c>
      <c r="F1261" s="174" t="n">
        <v>2030</v>
      </c>
      <c r="G1261" s="175" t="n">
        <v>49</v>
      </c>
      <c r="H1261" s="176" t="n">
        <v>8744.21176261784</v>
      </c>
      <c r="I1261" s="177" t="n">
        <v>4053745.69430008</v>
      </c>
      <c r="J1261" s="178" t="str">
        <f>IF(I1261&gt;0,H1261/I1261,0)</f>
      </c>
      <c r="K1261" s="179" t="str">
        <f>1-EXP(-J1261)</f>
      </c>
      <c r="L1261" s="180" t="str">
        <f>IF(G1261=30,1,M1260)</f>
      </c>
      <c r="M1261" s="181" t="str">
        <f>L1261*(1-K1261)</f>
      </c>
    </row>
    <row r="1262">
      <c r="A1262" t="s">
        <v>164</v>
      </c>
      <c r="B1262" t="s">
        <v>112</v>
      </c>
      <c r="C1262" s="32" t="s">
        <v>297</v>
      </c>
      <c r="D1262" t="s">
        <v>112</v>
      </c>
      <c r="E1262" t="s">
        <v>395</v>
      </c>
      <c r="F1262" s="174" t="n">
        <v>2030</v>
      </c>
      <c r="G1262" s="175" t="n">
        <v>50</v>
      </c>
      <c r="H1262" s="176" t="n">
        <v>10030.9803688319</v>
      </c>
      <c r="I1262" s="177" t="n">
        <v>3993936.43743749</v>
      </c>
      <c r="J1262" s="178" t="str">
        <f>IF(I1262&gt;0,H1262/I1262,0)</f>
      </c>
      <c r="K1262" s="179" t="str">
        <f>1-EXP(-J1262)</f>
      </c>
      <c r="L1262" s="180" t="str">
        <f>IF(G1262=30,1,M1261)</f>
      </c>
      <c r="M1262" s="181" t="str">
        <f>L1262*(1-K1262)</f>
      </c>
    </row>
    <row r="1263">
      <c r="A1263" t="s">
        <v>164</v>
      </c>
      <c r="B1263" t="s">
        <v>112</v>
      </c>
      <c r="C1263" s="32" t="s">
        <v>297</v>
      </c>
      <c r="D1263" t="s">
        <v>112</v>
      </c>
      <c r="E1263" t="s">
        <v>395</v>
      </c>
      <c r="F1263" s="174" t="n">
        <v>2030</v>
      </c>
      <c r="G1263" s="175" t="n">
        <v>51</v>
      </c>
      <c r="H1263" s="176" t="n">
        <v>10778.3750459237</v>
      </c>
      <c r="I1263" s="177" t="n">
        <v>3927681.7423788</v>
      </c>
      <c r="J1263" s="178" t="str">
        <f>IF(I1263&gt;0,H1263/I1263,0)</f>
      </c>
      <c r="K1263" s="179" t="str">
        <f>1-EXP(-J1263)</f>
      </c>
      <c r="L1263" s="180" t="str">
        <f>IF(G1263=30,1,M1262)</f>
      </c>
      <c r="M1263" s="181" t="str">
        <f>L1263*(1-K1263)</f>
      </c>
    </row>
    <row r="1264">
      <c r="A1264" t="s">
        <v>164</v>
      </c>
      <c r="B1264" t="s">
        <v>112</v>
      </c>
      <c r="C1264" s="32" t="s">
        <v>297</v>
      </c>
      <c r="D1264" t="s">
        <v>112</v>
      </c>
      <c r="E1264" t="s">
        <v>395</v>
      </c>
      <c r="F1264" s="174" t="n">
        <v>2030</v>
      </c>
      <c r="G1264" s="175" t="n">
        <v>52</v>
      </c>
      <c r="H1264" s="176" t="n">
        <v>11518.2292636781</v>
      </c>
      <c r="I1264" s="177" t="n">
        <v>3842752.6901234</v>
      </c>
      <c r="J1264" s="178" t="str">
        <f>IF(I1264&gt;0,H1264/I1264,0)</f>
      </c>
      <c r="K1264" s="179" t="str">
        <f>1-EXP(-J1264)</f>
      </c>
      <c r="L1264" s="180" t="str">
        <f>IF(G1264=30,1,M1263)</f>
      </c>
      <c r="M1264" s="181" t="str">
        <f>L1264*(1-K1264)</f>
      </c>
    </row>
    <row r="1265">
      <c r="A1265" t="s">
        <v>164</v>
      </c>
      <c r="B1265" t="s">
        <v>112</v>
      </c>
      <c r="C1265" s="32" t="s">
        <v>297</v>
      </c>
      <c r="D1265" t="s">
        <v>112</v>
      </c>
      <c r="E1265" t="s">
        <v>395</v>
      </c>
      <c r="F1265" s="174" t="n">
        <v>2030</v>
      </c>
      <c r="G1265" s="175" t="n">
        <v>53</v>
      </c>
      <c r="H1265" s="176" t="n">
        <v>12369.6652135168</v>
      </c>
      <c r="I1265" s="177" t="n">
        <v>3774680.76657565</v>
      </c>
      <c r="J1265" s="178" t="str">
        <f>IF(I1265&gt;0,H1265/I1265,0)</f>
      </c>
      <c r="K1265" s="179" t="str">
        <f>1-EXP(-J1265)</f>
      </c>
      <c r="L1265" s="180" t="str">
        <f>IF(G1265=30,1,M1264)</f>
      </c>
      <c r="M1265" s="181" t="str">
        <f>L1265*(1-K1265)</f>
      </c>
    </row>
    <row r="1266">
      <c r="A1266" t="s">
        <v>164</v>
      </c>
      <c r="B1266" t="s">
        <v>112</v>
      </c>
      <c r="C1266" s="32" t="s">
        <v>297</v>
      </c>
      <c r="D1266" t="s">
        <v>112</v>
      </c>
      <c r="E1266" t="s">
        <v>395</v>
      </c>
      <c r="F1266" s="174" t="n">
        <v>2030</v>
      </c>
      <c r="G1266" s="175" t="n">
        <v>54</v>
      </c>
      <c r="H1266" s="176" t="n">
        <v>13222.0731587838</v>
      </c>
      <c r="I1266" s="177" t="n">
        <v>3694700.65290494</v>
      </c>
      <c r="J1266" s="178" t="str">
        <f>IF(I1266&gt;0,H1266/I1266,0)</f>
      </c>
      <c r="K1266" s="179" t="str">
        <f>1-EXP(-J1266)</f>
      </c>
      <c r="L1266" s="180" t="str">
        <f>IF(G1266=30,1,M1265)</f>
      </c>
      <c r="M1266" s="181" t="str">
        <f>L1266*(1-K1266)</f>
      </c>
    </row>
    <row r="1267">
      <c r="A1267" t="s">
        <v>164</v>
      </c>
      <c r="B1267" t="s">
        <v>112</v>
      </c>
      <c r="C1267" s="32" t="s">
        <v>297</v>
      </c>
      <c r="D1267" t="s">
        <v>112</v>
      </c>
      <c r="E1267" t="s">
        <v>395</v>
      </c>
      <c r="F1267" s="174" t="n">
        <v>2030</v>
      </c>
      <c r="G1267" s="175" t="n">
        <v>55</v>
      </c>
      <c r="H1267" s="176" t="n">
        <v>14266.7977168917</v>
      </c>
      <c r="I1267" s="177" t="n">
        <v>3613848.55128184</v>
      </c>
      <c r="J1267" s="178" t="str">
        <f>IF(I1267&gt;0,H1267/I1267,0)</f>
      </c>
      <c r="K1267" s="179" t="str">
        <f>1-EXP(-J1267)</f>
      </c>
      <c r="L1267" s="180" t="str">
        <f>IF(G1267=30,1,M1266)</f>
      </c>
      <c r="M1267" s="181" t="str">
        <f>L1267*(1-K1267)</f>
      </c>
    </row>
    <row r="1268">
      <c r="A1268" t="s">
        <v>164</v>
      </c>
      <c r="B1268" t="s">
        <v>112</v>
      </c>
      <c r="C1268" s="32" t="s">
        <v>297</v>
      </c>
      <c r="D1268" t="s">
        <v>112</v>
      </c>
      <c r="E1268" t="s">
        <v>395</v>
      </c>
      <c r="F1268" s="174" t="n">
        <v>2030</v>
      </c>
      <c r="G1268" s="175" t="n">
        <v>56</v>
      </c>
      <c r="H1268" s="176" t="n">
        <v>15111.1298706774</v>
      </c>
      <c r="I1268" s="177" t="n">
        <v>3505138.00676963</v>
      </c>
      <c r="J1268" s="178" t="str">
        <f>IF(I1268&gt;0,H1268/I1268,0)</f>
      </c>
      <c r="K1268" s="179" t="str">
        <f>1-EXP(-J1268)</f>
      </c>
      <c r="L1268" s="180" t="str">
        <f>IF(G1268=30,1,M1267)</f>
      </c>
      <c r="M1268" s="181" t="str">
        <f>L1268*(1-K1268)</f>
      </c>
    </row>
    <row r="1269">
      <c r="A1269" t="s">
        <v>164</v>
      </c>
      <c r="B1269" t="s">
        <v>112</v>
      </c>
      <c r="C1269" s="32" t="s">
        <v>297</v>
      </c>
      <c r="D1269" t="s">
        <v>112</v>
      </c>
      <c r="E1269" t="s">
        <v>395</v>
      </c>
      <c r="F1269" s="174" t="n">
        <v>2030</v>
      </c>
      <c r="G1269" s="175" t="n">
        <v>57</v>
      </c>
      <c r="H1269" s="176" t="n">
        <v>16276.5004916135</v>
      </c>
      <c r="I1269" s="177" t="n">
        <v>3456075.48893463</v>
      </c>
      <c r="J1269" s="178" t="str">
        <f>IF(I1269&gt;0,H1269/I1269,0)</f>
      </c>
      <c r="K1269" s="179" t="str">
        <f>1-EXP(-J1269)</f>
      </c>
      <c r="L1269" s="180" t="str">
        <f>IF(G1269=30,1,M1268)</f>
      </c>
      <c r="M1269" s="181" t="str">
        <f>L1269*(1-K1269)</f>
      </c>
    </row>
    <row r="1270">
      <c r="A1270" t="s">
        <v>164</v>
      </c>
      <c r="B1270" t="s">
        <v>112</v>
      </c>
      <c r="C1270" s="32" t="s">
        <v>297</v>
      </c>
      <c r="D1270" t="s">
        <v>112</v>
      </c>
      <c r="E1270" t="s">
        <v>395</v>
      </c>
      <c r="F1270" s="174" t="n">
        <v>2030</v>
      </c>
      <c r="G1270" s="175" t="n">
        <v>58</v>
      </c>
      <c r="H1270" s="176" t="n">
        <v>16724.1934650478</v>
      </c>
      <c r="I1270" s="177" t="n">
        <v>3245279.07552653</v>
      </c>
      <c r="J1270" s="178" t="str">
        <f>IF(I1270&gt;0,H1270/I1270,0)</f>
      </c>
      <c r="K1270" s="179" t="str">
        <f>1-EXP(-J1270)</f>
      </c>
      <c r="L1270" s="180" t="str">
        <f>IF(G1270=30,1,M1269)</f>
      </c>
      <c r="M1270" s="181" t="str">
        <f>L1270*(1-K1270)</f>
      </c>
    </row>
    <row r="1271">
      <c r="A1271" t="s">
        <v>164</v>
      </c>
      <c r="B1271" t="s">
        <v>112</v>
      </c>
      <c r="C1271" s="32" t="s">
        <v>297</v>
      </c>
      <c r="D1271" t="s">
        <v>112</v>
      </c>
      <c r="E1271" t="s">
        <v>395</v>
      </c>
      <c r="F1271" s="174" t="n">
        <v>2030</v>
      </c>
      <c r="G1271" s="175" t="n">
        <v>59</v>
      </c>
      <c r="H1271" s="176" t="n">
        <v>17772.3969868456</v>
      </c>
      <c r="I1271" s="177" t="n">
        <v>3154199.99866496</v>
      </c>
      <c r="J1271" s="178" t="str">
        <f>IF(I1271&gt;0,H1271/I1271,0)</f>
      </c>
      <c r="K1271" s="179" t="str">
        <f>1-EXP(-J1271)</f>
      </c>
      <c r="L1271" s="180" t="str">
        <f>IF(G1271=30,1,M1270)</f>
      </c>
      <c r="M1271" s="181" t="str">
        <f>L1271*(1-K1271)</f>
      </c>
    </row>
    <row r="1272">
      <c r="A1272" t="s">
        <v>164</v>
      </c>
      <c r="B1272" t="s">
        <v>112</v>
      </c>
      <c r="C1272" s="32" t="s">
        <v>297</v>
      </c>
      <c r="D1272" t="s">
        <v>112</v>
      </c>
      <c r="E1272" t="s">
        <v>395</v>
      </c>
      <c r="F1272" s="174" t="n">
        <v>2030</v>
      </c>
      <c r="G1272" s="175" t="n">
        <v>60</v>
      </c>
      <c r="H1272" s="176" t="n">
        <v>19245.7996489906</v>
      </c>
      <c r="I1272" s="177" t="n">
        <v>3067240.18497588</v>
      </c>
      <c r="J1272" s="178" t="str">
        <f>IF(I1272&gt;0,H1272/I1272,0)</f>
      </c>
      <c r="K1272" s="179" t="str">
        <f>1-EXP(-J1272)</f>
      </c>
      <c r="L1272" s="180" t="str">
        <f>IF(G1272=30,1,M1271)</f>
      </c>
      <c r="M1272" s="181" t="str">
        <f>L1272*(1-K1272)</f>
      </c>
    </row>
    <row r="1273">
      <c r="A1273" t="s">
        <v>164</v>
      </c>
      <c r="B1273" t="s">
        <v>112</v>
      </c>
      <c r="C1273" s="32" t="s">
        <v>297</v>
      </c>
      <c r="D1273" t="s">
        <v>112</v>
      </c>
      <c r="E1273" t="s">
        <v>395</v>
      </c>
      <c r="F1273" s="174" t="n">
        <v>2030</v>
      </c>
      <c r="G1273" s="175" t="n">
        <v>61</v>
      </c>
      <c r="H1273" s="176" t="n">
        <v>20385.619342822</v>
      </c>
      <c r="I1273" s="177" t="n">
        <v>2970404.3206186</v>
      </c>
      <c r="J1273" s="178" t="str">
        <f>IF(I1273&gt;0,H1273/I1273,0)</f>
      </c>
      <c r="K1273" s="179" t="str">
        <f>1-EXP(-J1273)</f>
      </c>
      <c r="L1273" s="180" t="str">
        <f>IF(G1273=30,1,M1272)</f>
      </c>
      <c r="M1273" s="181" t="str">
        <f>L1273*(1-K1273)</f>
      </c>
    </row>
    <row r="1274">
      <c r="A1274" t="s">
        <v>164</v>
      </c>
      <c r="B1274" t="s">
        <v>112</v>
      </c>
      <c r="C1274" s="32" t="s">
        <v>297</v>
      </c>
      <c r="D1274" t="s">
        <v>112</v>
      </c>
      <c r="E1274" t="s">
        <v>395</v>
      </c>
      <c r="F1274" s="174" t="n">
        <v>2030</v>
      </c>
      <c r="G1274" s="175" t="n">
        <v>62</v>
      </c>
      <c r="H1274" s="176" t="n">
        <v>21437.1216889653</v>
      </c>
      <c r="I1274" s="177" t="n">
        <v>2854592.53925619</v>
      </c>
      <c r="J1274" s="178" t="str">
        <f>IF(I1274&gt;0,H1274/I1274,0)</f>
      </c>
      <c r="K1274" s="179" t="str">
        <f>1-EXP(-J1274)</f>
      </c>
      <c r="L1274" s="180" t="str">
        <f>IF(G1274=30,1,M1273)</f>
      </c>
      <c r="M1274" s="181" t="str">
        <f>L1274*(1-K1274)</f>
      </c>
    </row>
    <row r="1275">
      <c r="A1275" t="s">
        <v>164</v>
      </c>
      <c r="B1275" t="s">
        <v>112</v>
      </c>
      <c r="C1275" s="32" t="s">
        <v>297</v>
      </c>
      <c r="D1275" t="s">
        <v>112</v>
      </c>
      <c r="E1275" t="s">
        <v>395</v>
      </c>
      <c r="F1275" s="174" t="n">
        <v>2030</v>
      </c>
      <c r="G1275" s="175" t="n">
        <v>63</v>
      </c>
      <c r="H1275" s="176" t="n">
        <v>22289.0948253368</v>
      </c>
      <c r="I1275" s="177" t="n">
        <v>2708322.20673592</v>
      </c>
      <c r="J1275" s="178" t="str">
        <f>IF(I1275&gt;0,H1275/I1275,0)</f>
      </c>
      <c r="K1275" s="179" t="str">
        <f>1-EXP(-J1275)</f>
      </c>
      <c r="L1275" s="180" t="str">
        <f>IF(G1275=30,1,M1274)</f>
      </c>
      <c r="M1275" s="181" t="str">
        <f>L1275*(1-K1275)</f>
      </c>
    </row>
    <row r="1276">
      <c r="A1276" t="s">
        <v>164</v>
      </c>
      <c r="B1276" t="s">
        <v>112</v>
      </c>
      <c r="C1276" s="32" t="s">
        <v>297</v>
      </c>
      <c r="D1276" t="s">
        <v>112</v>
      </c>
      <c r="E1276" t="s">
        <v>395</v>
      </c>
      <c r="F1276" s="174" t="n">
        <v>2030</v>
      </c>
      <c r="G1276" s="175" t="n">
        <v>64</v>
      </c>
      <c r="H1276" s="176" t="n">
        <v>23413.1989512424</v>
      </c>
      <c r="I1276" s="177" t="n">
        <v>2597529.66366655</v>
      </c>
      <c r="J1276" s="178" t="str">
        <f>IF(I1276&gt;0,H1276/I1276,0)</f>
      </c>
      <c r="K1276" s="179" t="str">
        <f>1-EXP(-J1276)</f>
      </c>
      <c r="L1276" s="180" t="str">
        <f>IF(G1276=30,1,M1275)</f>
      </c>
      <c r="M1276" s="181" t="str">
        <f>L1276*(1-K1276)</f>
      </c>
    </row>
    <row r="1277">
      <c r="A1277" t="s">
        <v>164</v>
      </c>
      <c r="B1277" t="s">
        <v>112</v>
      </c>
      <c r="C1277" s="32" t="s">
        <v>297</v>
      </c>
      <c r="D1277" t="s">
        <v>112</v>
      </c>
      <c r="E1277" t="s">
        <v>395</v>
      </c>
      <c r="F1277" s="174" t="n">
        <v>2030</v>
      </c>
      <c r="G1277" s="175" t="n">
        <v>65</v>
      </c>
      <c r="H1277" s="176" t="n">
        <v>23639.7363776807</v>
      </c>
      <c r="I1277" s="177" t="n">
        <v>2465795.64494304</v>
      </c>
      <c r="J1277" s="178" t="str">
        <f>IF(I1277&gt;0,H1277/I1277,0)</f>
      </c>
      <c r="K1277" s="179" t="str">
        <f>1-EXP(-J1277)</f>
      </c>
      <c r="L1277" s="180" t="str">
        <f>IF(G1277=30,1,M1276)</f>
      </c>
      <c r="M1277" s="181" t="str">
        <f>L1277*(1-K1277)</f>
      </c>
    </row>
    <row r="1278">
      <c r="A1278" t="s">
        <v>164</v>
      </c>
      <c r="B1278" t="s">
        <v>112</v>
      </c>
      <c r="C1278" s="32" t="s">
        <v>297</v>
      </c>
      <c r="D1278" t="s">
        <v>112</v>
      </c>
      <c r="E1278" t="s">
        <v>395</v>
      </c>
      <c r="F1278" s="174" t="n">
        <v>2030</v>
      </c>
      <c r="G1278" s="175" t="n">
        <v>66</v>
      </c>
      <c r="H1278" s="176" t="n">
        <v>24535.0056446344</v>
      </c>
      <c r="I1278" s="177" t="n">
        <v>2334531.2427789</v>
      </c>
      <c r="J1278" s="178" t="str">
        <f>IF(I1278&gt;0,H1278/I1278,0)</f>
      </c>
      <c r="K1278" s="179" t="str">
        <f>1-EXP(-J1278)</f>
      </c>
      <c r="L1278" s="180" t="str">
        <f>IF(G1278=30,1,M1277)</f>
      </c>
      <c r="M1278" s="181" t="str">
        <f>L1278*(1-K1278)</f>
      </c>
    </row>
    <row r="1279">
      <c r="A1279" t="s">
        <v>164</v>
      </c>
      <c r="B1279" t="s">
        <v>112</v>
      </c>
      <c r="C1279" s="32" t="s">
        <v>297</v>
      </c>
      <c r="D1279" t="s">
        <v>112</v>
      </c>
      <c r="E1279" t="s">
        <v>395</v>
      </c>
      <c r="F1279" s="174" t="n">
        <v>2030</v>
      </c>
      <c r="G1279" s="175" t="n">
        <v>67</v>
      </c>
      <c r="H1279" s="176" t="n">
        <v>25447.6212169176</v>
      </c>
      <c r="I1279" s="177" t="n">
        <v>2207801.22022218</v>
      </c>
      <c r="J1279" s="178" t="str">
        <f>IF(I1279&gt;0,H1279/I1279,0)</f>
      </c>
      <c r="K1279" s="179" t="str">
        <f>1-EXP(-J1279)</f>
      </c>
      <c r="L1279" s="180" t="str">
        <f>IF(G1279=30,1,M1278)</f>
      </c>
      <c r="M1279" s="181" t="str">
        <f>L1279*(1-K1279)</f>
      </c>
    </row>
    <row r="1280">
      <c r="A1280" t="s">
        <v>164</v>
      </c>
      <c r="B1280" t="s">
        <v>112</v>
      </c>
      <c r="C1280" s="32" t="s">
        <v>297</v>
      </c>
      <c r="D1280" t="s">
        <v>112</v>
      </c>
      <c r="E1280" t="s">
        <v>395</v>
      </c>
      <c r="F1280" s="174" t="n">
        <v>2030</v>
      </c>
      <c r="G1280" s="175" t="n">
        <v>68</v>
      </c>
      <c r="H1280" s="176" t="n">
        <v>26105.7106031542</v>
      </c>
      <c r="I1280" s="177" t="n">
        <v>2056706.14326311</v>
      </c>
      <c r="J1280" s="178" t="str">
        <f>IF(I1280&gt;0,H1280/I1280,0)</f>
      </c>
      <c r="K1280" s="179" t="str">
        <f>1-EXP(-J1280)</f>
      </c>
      <c r="L1280" s="180" t="str">
        <f>IF(G1280=30,1,M1279)</f>
      </c>
      <c r="M1280" s="181" t="str">
        <f>L1280*(1-K1280)</f>
      </c>
    </row>
    <row r="1281">
      <c r="A1281" t="s">
        <v>164</v>
      </c>
      <c r="B1281" t="s">
        <v>112</v>
      </c>
      <c r="C1281" s="32" t="s">
        <v>297</v>
      </c>
      <c r="D1281" t="s">
        <v>112</v>
      </c>
      <c r="E1281" t="s">
        <v>395</v>
      </c>
      <c r="F1281" s="174" t="n">
        <v>2030</v>
      </c>
      <c r="G1281" s="175" t="n">
        <v>69</v>
      </c>
      <c r="H1281" s="176" t="n">
        <v>26898.6843696524</v>
      </c>
      <c r="I1281" s="177" t="n">
        <v>1930061.72943606</v>
      </c>
      <c r="J1281" s="178" t="str">
        <f>IF(I1281&gt;0,H1281/I1281,0)</f>
      </c>
      <c r="K1281" s="179" t="str">
        <f>1-EXP(-J1281)</f>
      </c>
      <c r="L1281" s="180" t="str">
        <f>IF(G1281=30,1,M1280)</f>
      </c>
      <c r="M1281" s="181" t="str">
        <f>L1281*(1-K1281)</f>
      </c>
    </row>
    <row r="1282">
      <c r="A1282" t="s">
        <v>164</v>
      </c>
      <c r="B1282" t="s">
        <v>112</v>
      </c>
      <c r="C1282" s="32" t="s">
        <v>297</v>
      </c>
      <c r="D1282" t="s">
        <v>112</v>
      </c>
      <c r="E1282" t="s">
        <v>395</v>
      </c>
      <c r="F1282" s="174" t="n">
        <v>2031</v>
      </c>
      <c r="G1282" s="175" t="n">
        <v>30</v>
      </c>
      <c r="H1282" s="176" t="n">
        <v>957.922641781584</v>
      </c>
      <c r="I1282" s="177" t="n">
        <v>4340985.19831892</v>
      </c>
      <c r="J1282" s="178" t="str">
        <f>IF(I1282&gt;0,H1282/I1282,0)</f>
      </c>
      <c r="K1282" s="179" t="str">
        <f>1-EXP(-J1282)</f>
      </c>
      <c r="L1282" s="180" t="str">
        <f>IF(G1282=30,1,M1281)</f>
      </c>
      <c r="M1282" s="181" t="str">
        <f>L1282*(1-K1282)</f>
      </c>
    </row>
    <row r="1283">
      <c r="A1283" t="s">
        <v>164</v>
      </c>
      <c r="B1283" t="s">
        <v>112</v>
      </c>
      <c r="C1283" s="32" t="s">
        <v>297</v>
      </c>
      <c r="D1283" t="s">
        <v>112</v>
      </c>
      <c r="E1283" t="s">
        <v>395</v>
      </c>
      <c r="F1283" s="174" t="n">
        <v>2031</v>
      </c>
      <c r="G1283" s="175" t="n">
        <v>31</v>
      </c>
      <c r="H1283" s="176" t="n">
        <v>1090.63361781954</v>
      </c>
      <c r="I1283" s="177" t="n">
        <v>4321257.80390265</v>
      </c>
      <c r="J1283" s="178" t="str">
        <f>IF(I1283&gt;0,H1283/I1283,0)</f>
      </c>
      <c r="K1283" s="179" t="str">
        <f>1-EXP(-J1283)</f>
      </c>
      <c r="L1283" s="180" t="str">
        <f>IF(G1283=30,1,M1282)</f>
      </c>
      <c r="M1283" s="181" t="str">
        <f>L1283*(1-K1283)</f>
      </c>
    </row>
    <row r="1284">
      <c r="A1284" t="s">
        <v>164</v>
      </c>
      <c r="B1284" t="s">
        <v>112</v>
      </c>
      <c r="C1284" s="32" t="s">
        <v>297</v>
      </c>
      <c r="D1284" t="s">
        <v>112</v>
      </c>
      <c r="E1284" t="s">
        <v>395</v>
      </c>
      <c r="F1284" s="174" t="n">
        <v>2031</v>
      </c>
      <c r="G1284" s="175" t="n">
        <v>32</v>
      </c>
      <c r="H1284" s="176" t="n">
        <v>1152.25302105854</v>
      </c>
      <c r="I1284" s="177" t="n">
        <v>4341803.40766824</v>
      </c>
      <c r="J1284" s="178" t="str">
        <f>IF(I1284&gt;0,H1284/I1284,0)</f>
      </c>
      <c r="K1284" s="179" t="str">
        <f>1-EXP(-J1284)</f>
      </c>
      <c r="L1284" s="180" t="str">
        <f>IF(G1284=30,1,M1283)</f>
      </c>
      <c r="M1284" s="181" t="str">
        <f>L1284*(1-K1284)</f>
      </c>
    </row>
    <row r="1285">
      <c r="A1285" t="s">
        <v>164</v>
      </c>
      <c r="B1285" t="s">
        <v>112</v>
      </c>
      <c r="C1285" s="32" t="s">
        <v>297</v>
      </c>
      <c r="D1285" t="s">
        <v>112</v>
      </c>
      <c r="E1285" t="s">
        <v>395</v>
      </c>
      <c r="F1285" s="174" t="n">
        <v>2031</v>
      </c>
      <c r="G1285" s="175" t="n">
        <v>33</v>
      </c>
      <c r="H1285" s="176" t="n">
        <v>1236.84199874018</v>
      </c>
      <c r="I1285" s="177" t="n">
        <v>4401743.77609188</v>
      </c>
      <c r="J1285" s="178" t="str">
        <f>IF(I1285&gt;0,H1285/I1285,0)</f>
      </c>
      <c r="K1285" s="179" t="str">
        <f>1-EXP(-J1285)</f>
      </c>
      <c r="L1285" s="180" t="str">
        <f>IF(G1285=30,1,M1284)</f>
      </c>
      <c r="M1285" s="181" t="str">
        <f>L1285*(1-K1285)</f>
      </c>
    </row>
    <row r="1286">
      <c r="A1286" t="s">
        <v>164</v>
      </c>
      <c r="B1286" t="s">
        <v>112</v>
      </c>
      <c r="C1286" s="32" t="s">
        <v>297</v>
      </c>
      <c r="D1286" t="s">
        <v>112</v>
      </c>
      <c r="E1286" t="s">
        <v>395</v>
      </c>
      <c r="F1286" s="174" t="n">
        <v>2031</v>
      </c>
      <c r="G1286" s="175" t="n">
        <v>34</v>
      </c>
      <c r="H1286" s="176" t="n">
        <v>1563.05024677474</v>
      </c>
      <c r="I1286" s="177" t="n">
        <v>4541981.90606709</v>
      </c>
      <c r="J1286" s="178" t="str">
        <f>IF(I1286&gt;0,H1286/I1286,0)</f>
      </c>
      <c r="K1286" s="179" t="str">
        <f>1-EXP(-J1286)</f>
      </c>
      <c r="L1286" s="180" t="str">
        <f>IF(G1286=30,1,M1285)</f>
      </c>
      <c r="M1286" s="181" t="str">
        <f>L1286*(1-K1286)</f>
      </c>
    </row>
    <row r="1287">
      <c r="A1287" t="s">
        <v>164</v>
      </c>
      <c r="B1287" t="s">
        <v>112</v>
      </c>
      <c r="C1287" s="32" t="s">
        <v>297</v>
      </c>
      <c r="D1287" t="s">
        <v>112</v>
      </c>
      <c r="E1287" t="s">
        <v>395</v>
      </c>
      <c r="F1287" s="174" t="n">
        <v>2031</v>
      </c>
      <c r="G1287" s="175" t="n">
        <v>35</v>
      </c>
      <c r="H1287" s="176" t="n">
        <v>2096.04354972303</v>
      </c>
      <c r="I1287" s="177" t="n">
        <v>4498869.96021848</v>
      </c>
      <c r="J1287" s="178" t="str">
        <f>IF(I1287&gt;0,H1287/I1287,0)</f>
      </c>
      <c r="K1287" s="179" t="str">
        <f>1-EXP(-J1287)</f>
      </c>
      <c r="L1287" s="180" t="str">
        <f>IF(G1287=30,1,M1286)</f>
      </c>
      <c r="M1287" s="181" t="str">
        <f>L1287*(1-K1287)</f>
      </c>
    </row>
    <row r="1288">
      <c r="A1288" t="s">
        <v>164</v>
      </c>
      <c r="B1288" t="s">
        <v>112</v>
      </c>
      <c r="C1288" s="32" t="s">
        <v>297</v>
      </c>
      <c r="D1288" t="s">
        <v>112</v>
      </c>
      <c r="E1288" t="s">
        <v>395</v>
      </c>
      <c r="F1288" s="174" t="n">
        <v>2031</v>
      </c>
      <c r="G1288" s="175" t="n">
        <v>36</v>
      </c>
      <c r="H1288" s="176" t="n">
        <v>2204.38821950991</v>
      </c>
      <c r="I1288" s="177" t="n">
        <v>4425056.25077855</v>
      </c>
      <c r="J1288" s="178" t="str">
        <f>IF(I1288&gt;0,H1288/I1288,0)</f>
      </c>
      <c r="K1288" s="179" t="str">
        <f>1-EXP(-J1288)</f>
      </c>
      <c r="L1288" s="180" t="str">
        <f>IF(G1288=30,1,M1287)</f>
      </c>
      <c r="M1288" s="181" t="str">
        <f>L1288*(1-K1288)</f>
      </c>
    </row>
    <row r="1289">
      <c r="A1289" t="s">
        <v>164</v>
      </c>
      <c r="B1289" t="s">
        <v>112</v>
      </c>
      <c r="C1289" s="32" t="s">
        <v>297</v>
      </c>
      <c r="D1289" t="s">
        <v>112</v>
      </c>
      <c r="E1289" t="s">
        <v>395</v>
      </c>
      <c r="F1289" s="174" t="n">
        <v>2031</v>
      </c>
      <c r="G1289" s="175" t="n">
        <v>37</v>
      </c>
      <c r="H1289" s="176" t="n">
        <v>2332.87485283032</v>
      </c>
      <c r="I1289" s="177" t="n">
        <v>4367393.6547434</v>
      </c>
      <c r="J1289" s="178" t="str">
        <f>IF(I1289&gt;0,H1289/I1289,0)</f>
      </c>
      <c r="K1289" s="179" t="str">
        <f>1-EXP(-J1289)</f>
      </c>
      <c r="L1289" s="180" t="str">
        <f>IF(G1289=30,1,M1288)</f>
      </c>
      <c r="M1289" s="181" t="str">
        <f>L1289*(1-K1289)</f>
      </c>
    </row>
    <row r="1290">
      <c r="A1290" t="s">
        <v>164</v>
      </c>
      <c r="B1290" t="s">
        <v>112</v>
      </c>
      <c r="C1290" s="32" t="s">
        <v>297</v>
      </c>
      <c r="D1290" t="s">
        <v>112</v>
      </c>
      <c r="E1290" t="s">
        <v>395</v>
      </c>
      <c r="F1290" s="174" t="n">
        <v>2031</v>
      </c>
      <c r="G1290" s="175" t="n">
        <v>38</v>
      </c>
      <c r="H1290" s="176" t="n">
        <v>2475.57704718943</v>
      </c>
      <c r="I1290" s="177" t="n">
        <v>4313262.38539203</v>
      </c>
      <c r="J1290" s="178" t="str">
        <f>IF(I1290&gt;0,H1290/I1290,0)</f>
      </c>
      <c r="K1290" s="179" t="str">
        <f>1-EXP(-J1290)</f>
      </c>
      <c r="L1290" s="180" t="str">
        <f>IF(G1290=30,1,M1289)</f>
      </c>
      <c r="M1290" s="181" t="str">
        <f>L1290*(1-K1290)</f>
      </c>
    </row>
    <row r="1291">
      <c r="A1291" t="s">
        <v>164</v>
      </c>
      <c r="B1291" t="s">
        <v>112</v>
      </c>
      <c r="C1291" s="32" t="s">
        <v>297</v>
      </c>
      <c r="D1291" t="s">
        <v>112</v>
      </c>
      <c r="E1291" t="s">
        <v>395</v>
      </c>
      <c r="F1291" s="174" t="n">
        <v>2031</v>
      </c>
      <c r="G1291" s="175" t="n">
        <v>39</v>
      </c>
      <c r="H1291" s="176" t="n">
        <v>2685.27257670633</v>
      </c>
      <c r="I1291" s="177" t="n">
        <v>4350275.65548629</v>
      </c>
      <c r="J1291" s="178" t="str">
        <f>IF(I1291&gt;0,H1291/I1291,0)</f>
      </c>
      <c r="K1291" s="179" t="str">
        <f>1-EXP(-J1291)</f>
      </c>
      <c r="L1291" s="180" t="str">
        <f>IF(G1291=30,1,M1290)</f>
      </c>
      <c r="M1291" s="181" t="str">
        <f>L1291*(1-K1291)</f>
      </c>
    </row>
    <row r="1292">
      <c r="A1292" t="s">
        <v>164</v>
      </c>
      <c r="B1292" t="s">
        <v>112</v>
      </c>
      <c r="C1292" s="32" t="s">
        <v>297</v>
      </c>
      <c r="D1292" t="s">
        <v>112</v>
      </c>
      <c r="E1292" t="s">
        <v>395</v>
      </c>
      <c r="F1292" s="174" t="n">
        <v>2031</v>
      </c>
      <c r="G1292" s="175" t="n">
        <v>40</v>
      </c>
      <c r="H1292" s="176" t="n">
        <v>3624.72611454853</v>
      </c>
      <c r="I1292" s="177" t="n">
        <v>4367529.23120129</v>
      </c>
      <c r="J1292" s="178" t="str">
        <f>IF(I1292&gt;0,H1292/I1292,0)</f>
      </c>
      <c r="K1292" s="179" t="str">
        <f>1-EXP(-J1292)</f>
      </c>
      <c r="L1292" s="180" t="str">
        <f>IF(G1292=30,1,M1291)</f>
      </c>
      <c r="M1292" s="181" t="str">
        <f>L1292*(1-K1292)</f>
      </c>
    </row>
    <row r="1293">
      <c r="A1293" t="s">
        <v>164</v>
      </c>
      <c r="B1293" t="s">
        <v>112</v>
      </c>
      <c r="C1293" s="32" t="s">
        <v>297</v>
      </c>
      <c r="D1293" t="s">
        <v>112</v>
      </c>
      <c r="E1293" t="s">
        <v>395</v>
      </c>
      <c r="F1293" s="174" t="n">
        <v>2031</v>
      </c>
      <c r="G1293" s="175" t="n">
        <v>41</v>
      </c>
      <c r="H1293" s="176" t="n">
        <v>5487.47088728047</v>
      </c>
      <c r="I1293" s="177" t="n">
        <v>6429574.66238572</v>
      </c>
      <c r="J1293" s="178" t="str">
        <f>IF(I1293&gt;0,H1293/I1293,0)</f>
      </c>
      <c r="K1293" s="179" t="str">
        <f>1-EXP(-J1293)</f>
      </c>
      <c r="L1293" s="180" t="str">
        <f>IF(G1293=30,1,M1292)</f>
      </c>
      <c r="M1293" s="181" t="str">
        <f>L1293*(1-K1293)</f>
      </c>
    </row>
    <row r="1294">
      <c r="A1294" t="s">
        <v>164</v>
      </c>
      <c r="B1294" t="s">
        <v>112</v>
      </c>
      <c r="C1294" s="32" t="s">
        <v>297</v>
      </c>
      <c r="D1294" t="s">
        <v>112</v>
      </c>
      <c r="E1294" t="s">
        <v>395</v>
      </c>
      <c r="F1294" s="174" t="n">
        <v>2031</v>
      </c>
      <c r="G1294" s="175" t="n">
        <v>42</v>
      </c>
      <c r="H1294" s="176" t="n">
        <v>4205.06363011738</v>
      </c>
      <c r="I1294" s="177" t="n">
        <v>4323626.17256621</v>
      </c>
      <c r="J1294" s="178" t="str">
        <f>IF(I1294&gt;0,H1294/I1294,0)</f>
      </c>
      <c r="K1294" s="179" t="str">
        <f>1-EXP(-J1294)</f>
      </c>
      <c r="L1294" s="180" t="str">
        <f>IF(G1294=30,1,M1293)</f>
      </c>
      <c r="M1294" s="181" t="str">
        <f>L1294*(1-K1294)</f>
      </c>
    </row>
    <row r="1295">
      <c r="A1295" t="s">
        <v>164</v>
      </c>
      <c r="B1295" t="s">
        <v>112</v>
      </c>
      <c r="C1295" s="32" t="s">
        <v>297</v>
      </c>
      <c r="D1295" t="s">
        <v>112</v>
      </c>
      <c r="E1295" t="s">
        <v>395</v>
      </c>
      <c r="F1295" s="174" t="n">
        <v>2031</v>
      </c>
      <c r="G1295" s="175" t="n">
        <v>43</v>
      </c>
      <c r="H1295" s="176" t="n">
        <v>4555.48280009955</v>
      </c>
      <c r="I1295" s="177" t="n">
        <v>4305892.70859998</v>
      </c>
      <c r="J1295" s="178" t="str">
        <f>IF(I1295&gt;0,H1295/I1295,0)</f>
      </c>
      <c r="K1295" s="179" t="str">
        <f>1-EXP(-J1295)</f>
      </c>
      <c r="L1295" s="180" t="str">
        <f>IF(G1295=30,1,M1294)</f>
      </c>
      <c r="M1295" s="181" t="str">
        <f>L1295*(1-K1295)</f>
      </c>
    </row>
    <row r="1296">
      <c r="A1296" t="s">
        <v>164</v>
      </c>
      <c r="B1296" t="s">
        <v>112</v>
      </c>
      <c r="C1296" s="32" t="s">
        <v>297</v>
      </c>
      <c r="D1296" t="s">
        <v>112</v>
      </c>
      <c r="E1296" t="s">
        <v>395</v>
      </c>
      <c r="F1296" s="174" t="n">
        <v>2031</v>
      </c>
      <c r="G1296" s="175" t="n">
        <v>44</v>
      </c>
      <c r="H1296" s="176" t="n">
        <v>4817.99310192304</v>
      </c>
      <c r="I1296" s="177" t="n">
        <v>4172843.36600372</v>
      </c>
      <c r="J1296" s="178" t="str">
        <f>IF(I1296&gt;0,H1296/I1296,0)</f>
      </c>
      <c r="K1296" s="179" t="str">
        <f>1-EXP(-J1296)</f>
      </c>
      <c r="L1296" s="180" t="str">
        <f>IF(G1296=30,1,M1295)</f>
      </c>
      <c r="M1296" s="181" t="str">
        <f>L1296*(1-K1296)</f>
      </c>
    </row>
    <row r="1297">
      <c r="A1297" t="s">
        <v>164</v>
      </c>
      <c r="B1297" t="s">
        <v>112</v>
      </c>
      <c r="C1297" s="32" t="s">
        <v>297</v>
      </c>
      <c r="D1297" t="s">
        <v>112</v>
      </c>
      <c r="E1297" t="s">
        <v>395</v>
      </c>
      <c r="F1297" s="174" t="n">
        <v>2031</v>
      </c>
      <c r="G1297" s="175" t="n">
        <v>45</v>
      </c>
      <c r="H1297" s="176" t="n">
        <v>6172.40750169221</v>
      </c>
      <c r="I1297" s="177" t="n">
        <v>4137031.83044637</v>
      </c>
      <c r="J1297" s="178" t="str">
        <f>IF(I1297&gt;0,H1297/I1297,0)</f>
      </c>
      <c r="K1297" s="179" t="str">
        <f>1-EXP(-J1297)</f>
      </c>
      <c r="L1297" s="180" t="str">
        <f>IF(G1297=30,1,M1296)</f>
      </c>
      <c r="M1297" s="181" t="str">
        <f>L1297*(1-K1297)</f>
      </c>
    </row>
    <row r="1298">
      <c r="A1298" t="s">
        <v>164</v>
      </c>
      <c r="B1298" t="s">
        <v>112</v>
      </c>
      <c r="C1298" s="32" t="s">
        <v>297</v>
      </c>
      <c r="D1298" t="s">
        <v>112</v>
      </c>
      <c r="E1298" t="s">
        <v>395</v>
      </c>
      <c r="F1298" s="174" t="n">
        <v>2031</v>
      </c>
      <c r="G1298" s="175" t="n">
        <v>46</v>
      </c>
      <c r="H1298" s="176" t="n">
        <v>6852.00114368135</v>
      </c>
      <c r="I1298" s="177" t="n">
        <v>4193221.35483853</v>
      </c>
      <c r="J1298" s="178" t="str">
        <f>IF(I1298&gt;0,H1298/I1298,0)</f>
      </c>
      <c r="K1298" s="179" t="str">
        <f>1-EXP(-J1298)</f>
      </c>
      <c r="L1298" s="180" t="str">
        <f>IF(G1298=30,1,M1297)</f>
      </c>
      <c r="M1298" s="181" t="str">
        <f>L1298*(1-K1298)</f>
      </c>
    </row>
    <row r="1299">
      <c r="A1299" t="s">
        <v>164</v>
      </c>
      <c r="B1299" t="s">
        <v>112</v>
      </c>
      <c r="C1299" s="32" t="s">
        <v>297</v>
      </c>
      <c r="D1299" t="s">
        <v>112</v>
      </c>
      <c r="E1299" t="s">
        <v>395</v>
      </c>
      <c r="F1299" s="174" t="n">
        <v>2031</v>
      </c>
      <c r="G1299" s="175" t="n">
        <v>47</v>
      </c>
      <c r="H1299" s="176" t="n">
        <v>7654.8561507162</v>
      </c>
      <c r="I1299" s="177" t="n">
        <v>4275022.83356804</v>
      </c>
      <c r="J1299" s="178" t="str">
        <f>IF(I1299&gt;0,H1299/I1299,0)</f>
      </c>
      <c r="K1299" s="179" t="str">
        <f>1-EXP(-J1299)</f>
      </c>
      <c r="L1299" s="180" t="str">
        <f>IF(G1299=30,1,M1298)</f>
      </c>
      <c r="M1299" s="181" t="str">
        <f>L1299*(1-K1299)</f>
      </c>
    </row>
    <row r="1300">
      <c r="A1300" t="s">
        <v>164</v>
      </c>
      <c r="B1300" t="s">
        <v>112</v>
      </c>
      <c r="C1300" s="32" t="s">
        <v>297</v>
      </c>
      <c r="D1300" t="s">
        <v>112</v>
      </c>
      <c r="E1300" t="s">
        <v>395</v>
      </c>
      <c r="F1300" s="174" t="n">
        <v>2031</v>
      </c>
      <c r="G1300" s="175" t="n">
        <v>48</v>
      </c>
      <c r="H1300" s="176" t="n">
        <v>8334.14938037892</v>
      </c>
      <c r="I1300" s="177" t="n">
        <v>4248197.62391113</v>
      </c>
      <c r="J1300" s="178" t="str">
        <f>IF(I1300&gt;0,H1300/I1300,0)</f>
      </c>
      <c r="K1300" s="179" t="str">
        <f>1-EXP(-J1300)</f>
      </c>
      <c r="L1300" s="180" t="str">
        <f>IF(G1300=30,1,M1299)</f>
      </c>
      <c r="M1300" s="181" t="str">
        <f>L1300*(1-K1300)</f>
      </c>
    </row>
    <row r="1301">
      <c r="A1301" t="s">
        <v>164</v>
      </c>
      <c r="B1301" t="s">
        <v>112</v>
      </c>
      <c r="C1301" s="32" t="s">
        <v>297</v>
      </c>
      <c r="D1301" t="s">
        <v>112</v>
      </c>
      <c r="E1301" t="s">
        <v>395</v>
      </c>
      <c r="F1301" s="174" t="n">
        <v>2031</v>
      </c>
      <c r="G1301" s="175" t="n">
        <v>49</v>
      </c>
      <c r="H1301" s="176" t="n">
        <v>8834.24861713929</v>
      </c>
      <c r="I1301" s="177" t="n">
        <v>4109462.62123767</v>
      </c>
      <c r="J1301" s="178" t="str">
        <f>IF(I1301&gt;0,H1301/I1301,0)</f>
      </c>
      <c r="K1301" s="179" t="str">
        <f>1-EXP(-J1301)</f>
      </c>
      <c r="L1301" s="180" t="str">
        <f>IF(G1301=30,1,M1300)</f>
      </c>
      <c r="M1301" s="181" t="str">
        <f>L1301*(1-K1301)</f>
      </c>
    </row>
    <row r="1302">
      <c r="A1302" t="s">
        <v>164</v>
      </c>
      <c r="B1302" t="s">
        <v>112</v>
      </c>
      <c r="C1302" s="32" t="s">
        <v>297</v>
      </c>
      <c r="D1302" t="s">
        <v>112</v>
      </c>
      <c r="E1302" t="s">
        <v>395</v>
      </c>
      <c r="F1302" s="174" t="n">
        <v>2031</v>
      </c>
      <c r="G1302" s="175" t="n">
        <v>50</v>
      </c>
      <c r="H1302" s="176" t="n">
        <v>10079.4833877301</v>
      </c>
      <c r="I1302" s="177" t="n">
        <v>4032502.49639384</v>
      </c>
      <c r="J1302" s="178" t="str">
        <f>IF(I1302&gt;0,H1302/I1302,0)</f>
      </c>
      <c r="K1302" s="179" t="str">
        <f>1-EXP(-J1302)</f>
      </c>
      <c r="L1302" s="180" t="str">
        <f>IF(G1302=30,1,M1301)</f>
      </c>
      <c r="M1302" s="181" t="str">
        <f>L1302*(1-K1302)</f>
      </c>
    </row>
    <row r="1303">
      <c r="A1303" t="s">
        <v>164</v>
      </c>
      <c r="B1303" t="s">
        <v>112</v>
      </c>
      <c r="C1303" s="32" t="s">
        <v>297</v>
      </c>
      <c r="D1303" t="s">
        <v>112</v>
      </c>
      <c r="E1303" t="s">
        <v>395</v>
      </c>
      <c r="F1303" s="174" t="n">
        <v>2031</v>
      </c>
      <c r="G1303" s="175" t="n">
        <v>51</v>
      </c>
      <c r="H1303" s="176" t="n">
        <v>10844.9848188266</v>
      </c>
      <c r="I1303" s="177" t="n">
        <v>3970169.4589667</v>
      </c>
      <c r="J1303" s="178" t="str">
        <f>IF(I1303&gt;0,H1303/I1303,0)</f>
      </c>
      <c r="K1303" s="179" t="str">
        <f>1-EXP(-J1303)</f>
      </c>
      <c r="L1303" s="180" t="str">
        <f>IF(G1303=30,1,M1302)</f>
      </c>
      <c r="M1303" s="181" t="str">
        <f>L1303*(1-K1303)</f>
      </c>
    </row>
    <row r="1304">
      <c r="A1304" t="s">
        <v>164</v>
      </c>
      <c r="B1304" t="s">
        <v>112</v>
      </c>
      <c r="C1304" s="32" t="s">
        <v>297</v>
      </c>
      <c r="D1304" t="s">
        <v>112</v>
      </c>
      <c r="E1304" t="s">
        <v>395</v>
      </c>
      <c r="F1304" s="174" t="n">
        <v>2031</v>
      </c>
      <c r="G1304" s="175" t="n">
        <v>52</v>
      </c>
      <c r="H1304" s="176" t="n">
        <v>11646.2334425743</v>
      </c>
      <c r="I1304" s="177" t="n">
        <v>3902990.9211574</v>
      </c>
      <c r="J1304" s="178" t="str">
        <f>IF(I1304&gt;0,H1304/I1304,0)</f>
      </c>
      <c r="K1304" s="179" t="str">
        <f>1-EXP(-J1304)</f>
      </c>
      <c r="L1304" s="180" t="str">
        <f>IF(G1304=30,1,M1303)</f>
      </c>
      <c r="M1304" s="181" t="str">
        <f>L1304*(1-K1304)</f>
      </c>
    </row>
    <row r="1305">
      <c r="A1305" t="s">
        <v>164</v>
      </c>
      <c r="B1305" t="s">
        <v>112</v>
      </c>
      <c r="C1305" s="32" t="s">
        <v>297</v>
      </c>
      <c r="D1305" t="s">
        <v>112</v>
      </c>
      <c r="E1305" t="s">
        <v>395</v>
      </c>
      <c r="F1305" s="174" t="n">
        <v>2031</v>
      </c>
      <c r="G1305" s="175" t="n">
        <v>53</v>
      </c>
      <c r="H1305" s="176" t="n">
        <v>12437.1071380012</v>
      </c>
      <c r="I1305" s="177" t="n">
        <v>3816370.08092106</v>
      </c>
      <c r="J1305" s="178" t="str">
        <f>IF(I1305&gt;0,H1305/I1305,0)</f>
      </c>
      <c r="K1305" s="179" t="str">
        <f>1-EXP(-J1305)</f>
      </c>
      <c r="L1305" s="180" t="str">
        <f>IF(G1305=30,1,M1304)</f>
      </c>
      <c r="M1305" s="181" t="str">
        <f>L1305*(1-K1305)</f>
      </c>
    </row>
    <row r="1306">
      <c r="A1306" t="s">
        <v>164</v>
      </c>
      <c r="B1306" t="s">
        <v>112</v>
      </c>
      <c r="C1306" s="32" t="s">
        <v>297</v>
      </c>
      <c r="D1306" t="s">
        <v>112</v>
      </c>
      <c r="E1306" t="s">
        <v>395</v>
      </c>
      <c r="F1306" s="174" t="n">
        <v>2031</v>
      </c>
      <c r="G1306" s="175" t="n">
        <v>54</v>
      </c>
      <c r="H1306" s="176" t="n">
        <v>13348.3762045828</v>
      </c>
      <c r="I1306" s="177" t="n">
        <v>3746359.18859568</v>
      </c>
      <c r="J1306" s="178" t="str">
        <f>IF(I1306&gt;0,H1306/I1306,0)</f>
      </c>
      <c r="K1306" s="179" t="str">
        <f>1-EXP(-J1306)</f>
      </c>
      <c r="L1306" s="180" t="str">
        <f>IF(G1306=30,1,M1305)</f>
      </c>
      <c r="M1306" s="181" t="str">
        <f>L1306*(1-K1306)</f>
      </c>
    </row>
    <row r="1307">
      <c r="A1307" t="s">
        <v>164</v>
      </c>
      <c r="B1307" t="s">
        <v>112</v>
      </c>
      <c r="C1307" s="32" t="s">
        <v>297</v>
      </c>
      <c r="D1307" t="s">
        <v>112</v>
      </c>
      <c r="E1307" t="s">
        <v>395</v>
      </c>
      <c r="F1307" s="174" t="n">
        <v>2031</v>
      </c>
      <c r="G1307" s="175" t="n">
        <v>55</v>
      </c>
      <c r="H1307" s="176" t="n">
        <v>14373.8933703216</v>
      </c>
      <c r="I1307" s="177" t="n">
        <v>3664435.05555886</v>
      </c>
      <c r="J1307" s="178" t="str">
        <f>IF(I1307&gt;0,H1307/I1307,0)</f>
      </c>
      <c r="K1307" s="179" t="str">
        <f>1-EXP(-J1307)</f>
      </c>
      <c r="L1307" s="180" t="str">
        <f>IF(G1307=30,1,M1306)</f>
      </c>
      <c r="M1307" s="181" t="str">
        <f>L1307*(1-K1307)</f>
      </c>
    </row>
    <row r="1308">
      <c r="A1308" t="s">
        <v>164</v>
      </c>
      <c r="B1308" t="s">
        <v>112</v>
      </c>
      <c r="C1308" s="32" t="s">
        <v>297</v>
      </c>
      <c r="D1308" t="s">
        <v>112</v>
      </c>
      <c r="E1308" t="s">
        <v>395</v>
      </c>
      <c r="F1308" s="174" t="n">
        <v>2031</v>
      </c>
      <c r="G1308" s="175" t="n">
        <v>56</v>
      </c>
      <c r="H1308" s="176" t="n">
        <v>15337.0595940543</v>
      </c>
      <c r="I1308" s="177" t="n">
        <v>3581089.29983345</v>
      </c>
      <c r="J1308" s="178" t="str">
        <f>IF(I1308&gt;0,H1308/I1308,0)</f>
      </c>
      <c r="K1308" s="179" t="str">
        <f>1-EXP(-J1308)</f>
      </c>
      <c r="L1308" s="180" t="str">
        <f>IF(G1308=30,1,M1307)</f>
      </c>
      <c r="M1308" s="181" t="str">
        <f>L1308*(1-K1308)</f>
      </c>
    </row>
    <row r="1309">
      <c r="A1309" t="s">
        <v>164</v>
      </c>
      <c r="B1309" t="s">
        <v>112</v>
      </c>
      <c r="C1309" s="32" t="s">
        <v>297</v>
      </c>
      <c r="D1309" t="s">
        <v>112</v>
      </c>
      <c r="E1309" t="s">
        <v>395</v>
      </c>
      <c r="F1309" s="174" t="n">
        <v>2031</v>
      </c>
      <c r="G1309" s="175" t="n">
        <v>57</v>
      </c>
      <c r="H1309" s="176" t="n">
        <v>16237.7225535389</v>
      </c>
      <c r="I1309" s="177" t="n">
        <v>3470861.33800933</v>
      </c>
      <c r="J1309" s="178" t="str">
        <f>IF(I1309&gt;0,H1309/I1309,0)</f>
      </c>
      <c r="K1309" s="179" t="str">
        <f>1-EXP(-J1309)</f>
      </c>
      <c r="L1309" s="180" t="str">
        <f>IF(G1309=30,1,M1308)</f>
      </c>
      <c r="M1309" s="181" t="str">
        <f>L1309*(1-K1309)</f>
      </c>
    </row>
    <row r="1310">
      <c r="A1310" t="s">
        <v>164</v>
      </c>
      <c r="B1310" t="s">
        <v>112</v>
      </c>
      <c r="C1310" s="32" t="s">
        <v>297</v>
      </c>
      <c r="D1310" t="s">
        <v>112</v>
      </c>
      <c r="E1310" t="s">
        <v>395</v>
      </c>
      <c r="F1310" s="174" t="n">
        <v>2031</v>
      </c>
      <c r="G1310" s="175" t="n">
        <v>58</v>
      </c>
      <c r="H1310" s="176" t="n">
        <v>17480.680037903</v>
      </c>
      <c r="I1310" s="177" t="n">
        <v>3419165.69315785</v>
      </c>
      <c r="J1310" s="178" t="str">
        <f>IF(I1310&gt;0,H1310/I1310,0)</f>
      </c>
      <c r="K1310" s="179" t="str">
        <f>1-EXP(-J1310)</f>
      </c>
      <c r="L1310" s="180" t="str">
        <f>IF(G1310=30,1,M1309)</f>
      </c>
      <c r="M1310" s="181" t="str">
        <f>L1310*(1-K1310)</f>
      </c>
    </row>
    <row r="1311">
      <c r="A1311" t="s">
        <v>164</v>
      </c>
      <c r="B1311" t="s">
        <v>112</v>
      </c>
      <c r="C1311" s="32" t="s">
        <v>297</v>
      </c>
      <c r="D1311" t="s">
        <v>112</v>
      </c>
      <c r="E1311" t="s">
        <v>395</v>
      </c>
      <c r="F1311" s="174" t="n">
        <v>2031</v>
      </c>
      <c r="G1311" s="175" t="n">
        <v>59</v>
      </c>
      <c r="H1311" s="176" t="n">
        <v>17951.8721474338</v>
      </c>
      <c r="I1311" s="177" t="n">
        <v>3207368.75128229</v>
      </c>
      <c r="J1311" s="178" t="str">
        <f>IF(I1311&gt;0,H1311/I1311,0)</f>
      </c>
      <c r="K1311" s="179" t="str">
        <f>1-EXP(-J1311)</f>
      </c>
      <c r="L1311" s="180" t="str">
        <f>IF(G1311=30,1,M1310)</f>
      </c>
      <c r="M1311" s="181" t="str">
        <f>L1311*(1-K1311)</f>
      </c>
    </row>
    <row r="1312">
      <c r="A1312" t="s">
        <v>164</v>
      </c>
      <c r="B1312" t="s">
        <v>112</v>
      </c>
      <c r="C1312" s="32" t="s">
        <v>297</v>
      </c>
      <c r="D1312" t="s">
        <v>112</v>
      </c>
      <c r="E1312" t="s">
        <v>395</v>
      </c>
      <c r="F1312" s="174" t="n">
        <v>2031</v>
      </c>
      <c r="G1312" s="175" t="n">
        <v>60</v>
      </c>
      <c r="H1312" s="176" t="n">
        <v>19366.5955638488</v>
      </c>
      <c r="I1312" s="177" t="n">
        <v>3113924.37224849</v>
      </c>
      <c r="J1312" s="178" t="str">
        <f>IF(I1312&gt;0,H1312/I1312,0)</f>
      </c>
      <c r="K1312" s="179" t="str">
        <f>1-EXP(-J1312)</f>
      </c>
      <c r="L1312" s="180" t="str">
        <f>IF(G1312=30,1,M1311)</f>
      </c>
      <c r="M1312" s="181" t="str">
        <f>L1312*(1-K1312)</f>
      </c>
    </row>
    <row r="1313">
      <c r="A1313" t="s">
        <v>164</v>
      </c>
      <c r="B1313" t="s">
        <v>112</v>
      </c>
      <c r="C1313" s="32" t="s">
        <v>297</v>
      </c>
      <c r="D1313" t="s">
        <v>112</v>
      </c>
      <c r="E1313" t="s">
        <v>395</v>
      </c>
      <c r="F1313" s="174" t="n">
        <v>2031</v>
      </c>
      <c r="G1313" s="175" t="n">
        <v>61</v>
      </c>
      <c r="H1313" s="176" t="n">
        <v>20574.1447652631</v>
      </c>
      <c r="I1313" s="177" t="n">
        <v>3023852.47864436</v>
      </c>
      <c r="J1313" s="178" t="str">
        <f>IF(I1313&gt;0,H1313/I1313,0)</f>
      </c>
      <c r="K1313" s="179" t="str">
        <f>1-EXP(-J1313)</f>
      </c>
      <c r="L1313" s="180" t="str">
        <f>IF(G1313=30,1,M1312)</f>
      </c>
      <c r="M1313" s="181" t="str">
        <f>L1313*(1-K1313)</f>
      </c>
    </row>
    <row r="1314">
      <c r="A1314" t="s">
        <v>164</v>
      </c>
      <c r="B1314" t="s">
        <v>112</v>
      </c>
      <c r="C1314" s="32" t="s">
        <v>297</v>
      </c>
      <c r="D1314" t="s">
        <v>112</v>
      </c>
      <c r="E1314" t="s">
        <v>395</v>
      </c>
      <c r="F1314" s="174" t="n">
        <v>2031</v>
      </c>
      <c r="G1314" s="175" t="n">
        <v>62</v>
      </c>
      <c r="H1314" s="176" t="n">
        <v>21780.4149336295</v>
      </c>
      <c r="I1314" s="177" t="n">
        <v>2924989.71609889</v>
      </c>
      <c r="J1314" s="178" t="str">
        <f>IF(I1314&gt;0,H1314/I1314,0)</f>
      </c>
      <c r="K1314" s="179" t="str">
        <f>1-EXP(-J1314)</f>
      </c>
      <c r="L1314" s="180" t="str">
        <f>IF(G1314=30,1,M1313)</f>
      </c>
      <c r="M1314" s="181" t="str">
        <f>L1314*(1-K1314)</f>
      </c>
    </row>
    <row r="1315">
      <c r="A1315" t="s">
        <v>164</v>
      </c>
      <c r="B1315" t="s">
        <v>112</v>
      </c>
      <c r="C1315" s="32" t="s">
        <v>297</v>
      </c>
      <c r="D1315" t="s">
        <v>112</v>
      </c>
      <c r="E1315" t="s">
        <v>395</v>
      </c>
      <c r="F1315" s="174" t="n">
        <v>2031</v>
      </c>
      <c r="G1315" s="175" t="n">
        <v>63</v>
      </c>
      <c r="H1315" s="176" t="n">
        <v>22884.0638636395</v>
      </c>
      <c r="I1315" s="177" t="n">
        <v>2806848.10316126</v>
      </c>
      <c r="J1315" s="178" t="str">
        <f>IF(I1315&gt;0,H1315/I1315,0)</f>
      </c>
      <c r="K1315" s="179" t="str">
        <f>1-EXP(-J1315)</f>
      </c>
      <c r="L1315" s="180" t="str">
        <f>IF(G1315=30,1,M1314)</f>
      </c>
      <c r="M1315" s="181" t="str">
        <f>L1315*(1-K1315)</f>
      </c>
    </row>
    <row r="1316">
      <c r="A1316" t="s">
        <v>164</v>
      </c>
      <c r="B1316" t="s">
        <v>112</v>
      </c>
      <c r="C1316" s="32" t="s">
        <v>297</v>
      </c>
      <c r="D1316" t="s">
        <v>112</v>
      </c>
      <c r="E1316" t="s">
        <v>395</v>
      </c>
      <c r="F1316" s="174" t="n">
        <v>2031</v>
      </c>
      <c r="G1316" s="175" t="n">
        <v>64</v>
      </c>
      <c r="H1316" s="176" t="n">
        <v>23767.3950379303</v>
      </c>
      <c r="I1316" s="177" t="n">
        <v>2658693.36124506</v>
      </c>
      <c r="J1316" s="178" t="str">
        <f>IF(I1316&gt;0,H1316/I1316,0)</f>
      </c>
      <c r="K1316" s="179" t="str">
        <f>1-EXP(-J1316)</f>
      </c>
      <c r="L1316" s="180" t="str">
        <f>IF(G1316=30,1,M1315)</f>
      </c>
      <c r="M1316" s="181" t="str">
        <f>L1316*(1-K1316)</f>
      </c>
    </row>
    <row r="1317">
      <c r="A1317" t="s">
        <v>164</v>
      </c>
      <c r="B1317" t="s">
        <v>112</v>
      </c>
      <c r="C1317" s="32" t="s">
        <v>297</v>
      </c>
      <c r="D1317" t="s">
        <v>112</v>
      </c>
      <c r="E1317" t="s">
        <v>395</v>
      </c>
      <c r="F1317" s="174" t="n">
        <v>2031</v>
      </c>
      <c r="G1317" s="175" t="n">
        <v>65</v>
      </c>
      <c r="H1317" s="176" t="n">
        <v>24174.578041978</v>
      </c>
      <c r="I1317" s="177" t="n">
        <v>2545410.85878363</v>
      </c>
      <c r="J1317" s="178" t="str">
        <f>IF(I1317&gt;0,H1317/I1317,0)</f>
      </c>
      <c r="K1317" s="179" t="str">
        <f>1-EXP(-J1317)</f>
      </c>
      <c r="L1317" s="180" t="str">
        <f>IF(G1317=30,1,M1316)</f>
      </c>
      <c r="M1317" s="181" t="str">
        <f>L1317*(1-K1317)</f>
      </c>
    </row>
    <row r="1318">
      <c r="A1318" t="s">
        <v>164</v>
      </c>
      <c r="B1318" t="s">
        <v>112</v>
      </c>
      <c r="C1318" s="32" t="s">
        <v>297</v>
      </c>
      <c r="D1318" t="s">
        <v>112</v>
      </c>
      <c r="E1318" t="s">
        <v>395</v>
      </c>
      <c r="F1318" s="174" t="n">
        <v>2031</v>
      </c>
      <c r="G1318" s="175" t="n">
        <v>66</v>
      </c>
      <c r="H1318" s="176" t="n">
        <v>25110.0012409832</v>
      </c>
      <c r="I1318" s="177" t="n">
        <v>2411863.73452626</v>
      </c>
      <c r="J1318" s="178" t="str">
        <f>IF(I1318&gt;0,H1318/I1318,0)</f>
      </c>
      <c r="K1318" s="179" t="str">
        <f>1-EXP(-J1318)</f>
      </c>
      <c r="L1318" s="180" t="str">
        <f>IF(G1318=30,1,M1317)</f>
      </c>
      <c r="M1318" s="181" t="str">
        <f>L1318*(1-K1318)</f>
      </c>
    </row>
    <row r="1319">
      <c r="A1319" t="s">
        <v>164</v>
      </c>
      <c r="B1319" t="s">
        <v>112</v>
      </c>
      <c r="C1319" s="32" t="s">
        <v>297</v>
      </c>
      <c r="D1319" t="s">
        <v>112</v>
      </c>
      <c r="E1319" t="s">
        <v>395</v>
      </c>
      <c r="F1319" s="174" t="n">
        <v>2031</v>
      </c>
      <c r="G1319" s="175" t="n">
        <v>67</v>
      </c>
      <c r="H1319" s="176" t="n">
        <v>26016.2114906118</v>
      </c>
      <c r="I1319" s="177" t="n">
        <v>2278335.96109161</v>
      </c>
      <c r="J1319" s="178" t="str">
        <f>IF(I1319&gt;0,H1319/I1319,0)</f>
      </c>
      <c r="K1319" s="179" t="str">
        <f>1-EXP(-J1319)</f>
      </c>
      <c r="L1319" s="180" t="str">
        <f>IF(G1319=30,1,M1318)</f>
      </c>
      <c r="M1319" s="181" t="str">
        <f>L1319*(1-K1319)</f>
      </c>
    </row>
    <row r="1320">
      <c r="A1320" t="s">
        <v>164</v>
      </c>
      <c r="B1320" t="s">
        <v>112</v>
      </c>
      <c r="C1320" s="32" t="s">
        <v>297</v>
      </c>
      <c r="D1320" t="s">
        <v>112</v>
      </c>
      <c r="E1320" t="s">
        <v>395</v>
      </c>
      <c r="F1320" s="174" t="n">
        <v>2031</v>
      </c>
      <c r="G1320" s="175" t="n">
        <v>68</v>
      </c>
      <c r="H1320" s="176" t="n">
        <v>26939.0442779344</v>
      </c>
      <c r="I1320" s="177" t="n">
        <v>2149554.09196838</v>
      </c>
      <c r="J1320" s="178" t="str">
        <f>IF(I1320&gt;0,H1320/I1320,0)</f>
      </c>
      <c r="K1320" s="179" t="str">
        <f>1-EXP(-J1320)</f>
      </c>
      <c r="L1320" s="180" t="str">
        <f>IF(G1320=30,1,M1319)</f>
      </c>
      <c r="M1320" s="181" t="str">
        <f>L1320*(1-K1320)</f>
      </c>
    </row>
    <row r="1321">
      <c r="A1321" t="s">
        <v>164</v>
      </c>
      <c r="B1321" t="s">
        <v>112</v>
      </c>
      <c r="C1321" s="32" t="s">
        <v>297</v>
      </c>
      <c r="D1321" t="s">
        <v>112</v>
      </c>
      <c r="E1321" t="s">
        <v>395</v>
      </c>
      <c r="F1321" s="174" t="n">
        <v>2031</v>
      </c>
      <c r="G1321" s="175" t="n">
        <v>69</v>
      </c>
      <c r="H1321" s="176" t="n">
        <v>27581.0278495446</v>
      </c>
      <c r="I1321" s="177" t="n">
        <v>1996957.50131724</v>
      </c>
      <c r="J1321" s="178" t="str">
        <f>IF(I1321&gt;0,H1321/I1321,0)</f>
      </c>
      <c r="K1321" s="179" t="str">
        <f>1-EXP(-J1321)</f>
      </c>
      <c r="L1321" s="180" t="str">
        <f>IF(G1321=30,1,M1320)</f>
      </c>
      <c r="M1321" s="181" t="str">
        <f>L1321*(1-K1321)</f>
      </c>
    </row>
    <row r="1322">
      <c r="A1322" t="s">
        <v>164</v>
      </c>
      <c r="B1322" t="s">
        <v>112</v>
      </c>
      <c r="C1322" s="32" t="s">
        <v>297</v>
      </c>
      <c r="D1322" t="s">
        <v>112</v>
      </c>
      <c r="E1322" t="s">
        <v>395</v>
      </c>
      <c r="F1322" s="174" t="n">
        <v>2032</v>
      </c>
      <c r="G1322" s="175" t="n">
        <v>30</v>
      </c>
      <c r="H1322" s="176" t="n">
        <v>961.480511664882</v>
      </c>
      <c r="I1322" s="177" t="n">
        <v>4354849.46819927</v>
      </c>
      <c r="J1322" s="178" t="str">
        <f>IF(I1322&gt;0,H1322/I1322,0)</f>
      </c>
      <c r="K1322" s="179" t="str">
        <f>1-EXP(-J1322)</f>
      </c>
      <c r="L1322" s="180" t="str">
        <f>IF(G1322=30,1,M1321)</f>
      </c>
      <c r="M1322" s="181" t="str">
        <f>L1322*(1-K1322)</f>
      </c>
    </row>
    <row r="1323">
      <c r="A1323" t="s">
        <v>164</v>
      </c>
      <c r="B1323" t="s">
        <v>112</v>
      </c>
      <c r="C1323" s="32" t="s">
        <v>297</v>
      </c>
      <c r="D1323" t="s">
        <v>112</v>
      </c>
      <c r="E1323" t="s">
        <v>395</v>
      </c>
      <c r="F1323" s="174" t="n">
        <v>2032</v>
      </c>
      <c r="G1323" s="175" t="n">
        <v>31</v>
      </c>
      <c r="H1323" s="176" t="n">
        <v>1094.02467032201</v>
      </c>
      <c r="I1323" s="177" t="n">
        <v>4335139.846239</v>
      </c>
      <c r="J1323" s="178" t="str">
        <f>IF(I1323&gt;0,H1323/I1323,0)</f>
      </c>
      <c r="K1323" s="179" t="str">
        <f>1-EXP(-J1323)</f>
      </c>
      <c r="L1323" s="180" t="str">
        <f>IF(G1323=30,1,M1322)</f>
      </c>
      <c r="M1323" s="181" t="str">
        <f>L1323*(1-K1323)</f>
      </c>
    </row>
    <row r="1324">
      <c r="A1324" t="s">
        <v>164</v>
      </c>
      <c r="B1324" t="s">
        <v>112</v>
      </c>
      <c r="C1324" s="32" t="s">
        <v>297</v>
      </c>
      <c r="D1324" t="s">
        <v>112</v>
      </c>
      <c r="E1324" t="s">
        <v>395</v>
      </c>
      <c r="F1324" s="174" t="n">
        <v>2032</v>
      </c>
      <c r="G1324" s="175" t="n">
        <v>32</v>
      </c>
      <c r="H1324" s="176" t="n">
        <v>1145.43123167908</v>
      </c>
      <c r="I1324" s="177" t="n">
        <v>4315575.15865795</v>
      </c>
      <c r="J1324" s="178" t="str">
        <f>IF(I1324&gt;0,H1324/I1324,0)</f>
      </c>
      <c r="K1324" s="179" t="str">
        <f>1-EXP(-J1324)</f>
      </c>
      <c r="L1324" s="180" t="str">
        <f>IF(G1324=30,1,M1323)</f>
      </c>
      <c r="M1324" s="181" t="str">
        <f>L1324*(1-K1324)</f>
      </c>
    </row>
    <row r="1325">
      <c r="A1325" t="s">
        <v>164</v>
      </c>
      <c r="B1325" t="s">
        <v>112</v>
      </c>
      <c r="C1325" s="32" t="s">
        <v>297</v>
      </c>
      <c r="D1325" t="s">
        <v>112</v>
      </c>
      <c r="E1325" t="s">
        <v>395</v>
      </c>
      <c r="F1325" s="174" t="n">
        <v>2032</v>
      </c>
      <c r="G1325" s="175" t="n">
        <v>33</v>
      </c>
      <c r="H1325" s="176" t="n">
        <v>1217.66413004195</v>
      </c>
      <c r="I1325" s="177" t="n">
        <v>4335851.70891478</v>
      </c>
      <c r="J1325" s="178" t="str">
        <f>IF(I1325&gt;0,H1325/I1325,0)</f>
      </c>
      <c r="K1325" s="179" t="str">
        <f>1-EXP(-J1325)</f>
      </c>
      <c r="L1325" s="180" t="str">
        <f>IF(G1325=30,1,M1324)</f>
      </c>
      <c r="M1325" s="181" t="str">
        <f>L1325*(1-K1325)</f>
      </c>
    </row>
    <row r="1326">
      <c r="A1326" t="s">
        <v>164</v>
      </c>
      <c r="B1326" t="s">
        <v>112</v>
      </c>
      <c r="C1326" s="32" t="s">
        <v>297</v>
      </c>
      <c r="D1326" t="s">
        <v>112</v>
      </c>
      <c r="E1326" t="s">
        <v>395</v>
      </c>
      <c r="F1326" s="174" t="n">
        <v>2032</v>
      </c>
      <c r="G1326" s="175" t="n">
        <v>34</v>
      </c>
      <c r="H1326" s="176" t="n">
        <v>1314.72650440902</v>
      </c>
      <c r="I1326" s="177" t="n">
        <v>4395417.25790283</v>
      </c>
      <c r="J1326" s="178" t="str">
        <f>IF(I1326&gt;0,H1326/I1326,0)</f>
      </c>
      <c r="K1326" s="179" t="str">
        <f>1-EXP(-J1326)</f>
      </c>
      <c r="L1326" s="180" t="str">
        <f>IF(G1326=30,1,M1325)</f>
      </c>
      <c r="M1326" s="181" t="str">
        <f>L1326*(1-K1326)</f>
      </c>
    </row>
    <row r="1327">
      <c r="A1327" t="s">
        <v>164</v>
      </c>
      <c r="B1327" t="s">
        <v>112</v>
      </c>
      <c r="C1327" s="32" t="s">
        <v>297</v>
      </c>
      <c r="D1327" t="s">
        <v>112</v>
      </c>
      <c r="E1327" t="s">
        <v>395</v>
      </c>
      <c r="F1327" s="174" t="n">
        <v>2032</v>
      </c>
      <c r="G1327" s="175" t="n">
        <v>35</v>
      </c>
      <c r="H1327" s="176" t="n">
        <v>2106.8388825659</v>
      </c>
      <c r="I1327" s="177" t="n">
        <v>4534866.59431152</v>
      </c>
      <c r="J1327" s="178" t="str">
        <f>IF(I1327&gt;0,H1327/I1327,0)</f>
      </c>
      <c r="K1327" s="179" t="str">
        <f>1-EXP(-J1327)</f>
      </c>
      <c r="L1327" s="180" t="str">
        <f>IF(G1327=30,1,M1326)</f>
      </c>
      <c r="M1327" s="181" t="str">
        <f>L1327*(1-K1327)</f>
      </c>
    </row>
    <row r="1328">
      <c r="A1328" t="s">
        <v>164</v>
      </c>
      <c r="B1328" t="s">
        <v>112</v>
      </c>
      <c r="C1328" s="32" t="s">
        <v>297</v>
      </c>
      <c r="D1328" t="s">
        <v>112</v>
      </c>
      <c r="E1328" t="s">
        <v>395</v>
      </c>
      <c r="F1328" s="174" t="n">
        <v>2032</v>
      </c>
      <c r="G1328" s="175" t="n">
        <v>36</v>
      </c>
      <c r="H1328" s="176" t="n">
        <v>2230.51862326961</v>
      </c>
      <c r="I1328" s="177" t="n">
        <v>4490897.54097693</v>
      </c>
      <c r="J1328" s="178" t="str">
        <f>IF(I1328&gt;0,H1328/I1328,0)</f>
      </c>
      <c r="K1328" s="179" t="str">
        <f>1-EXP(-J1328)</f>
      </c>
      <c r="L1328" s="180" t="str">
        <f>IF(G1328=30,1,M1327)</f>
      </c>
      <c r="M1328" s="181" t="str">
        <f>L1328*(1-K1328)</f>
      </c>
    </row>
    <row r="1329">
      <c r="A1329" t="s">
        <v>164</v>
      </c>
      <c r="B1329" t="s">
        <v>112</v>
      </c>
      <c r="C1329" s="32" t="s">
        <v>297</v>
      </c>
      <c r="D1329" t="s">
        <v>112</v>
      </c>
      <c r="E1329" t="s">
        <v>395</v>
      </c>
      <c r="F1329" s="174" t="n">
        <v>2032</v>
      </c>
      <c r="G1329" s="175" t="n">
        <v>37</v>
      </c>
      <c r="H1329" s="176" t="n">
        <v>2352.34360004459</v>
      </c>
      <c r="I1329" s="177" t="n">
        <v>4417189.16177599</v>
      </c>
      <c r="J1329" s="178" t="str">
        <f>IF(I1329&gt;0,H1329/I1329,0)</f>
      </c>
      <c r="K1329" s="179" t="str">
        <f>1-EXP(-J1329)</f>
      </c>
      <c r="L1329" s="180" t="str">
        <f>IF(G1329=30,1,M1328)</f>
      </c>
      <c r="M1329" s="181" t="str">
        <f>L1329*(1-K1329)</f>
      </c>
    </row>
    <row r="1330">
      <c r="A1330" t="s">
        <v>164</v>
      </c>
      <c r="B1330" t="s">
        <v>112</v>
      </c>
      <c r="C1330" s="32" t="s">
        <v>297</v>
      </c>
      <c r="D1330" t="s">
        <v>112</v>
      </c>
      <c r="E1330" t="s">
        <v>395</v>
      </c>
      <c r="F1330" s="174" t="n">
        <v>2032</v>
      </c>
      <c r="G1330" s="175" t="n">
        <v>38</v>
      </c>
      <c r="H1330" s="176" t="n">
        <v>2494.43520150997</v>
      </c>
      <c r="I1330" s="177" t="n">
        <v>4359083.67287439</v>
      </c>
      <c r="J1330" s="178" t="str">
        <f>IF(I1330&gt;0,H1330/I1330,0)</f>
      </c>
      <c r="K1330" s="179" t="str">
        <f>1-EXP(-J1330)</f>
      </c>
      <c r="L1330" s="180" t="str">
        <f>IF(G1330=30,1,M1329)</f>
      </c>
      <c r="M1330" s="181" t="str">
        <f>L1330*(1-K1330)</f>
      </c>
    </row>
    <row r="1331">
      <c r="A1331" t="s">
        <v>164</v>
      </c>
      <c r="B1331" t="s">
        <v>112</v>
      </c>
      <c r="C1331" s="32" t="s">
        <v>297</v>
      </c>
      <c r="D1331" t="s">
        <v>112</v>
      </c>
      <c r="E1331" t="s">
        <v>395</v>
      </c>
      <c r="F1331" s="174" t="n">
        <v>2032</v>
      </c>
      <c r="G1331" s="175" t="n">
        <v>39</v>
      </c>
      <c r="H1331" s="176" t="n">
        <v>2651.45387379516</v>
      </c>
      <c r="I1331" s="177" t="n">
        <v>4304456.34150383</v>
      </c>
      <c r="J1331" s="178" t="str">
        <f>IF(I1331&gt;0,H1331/I1331,0)</f>
      </c>
      <c r="K1331" s="179" t="str">
        <f>1-EXP(-J1331)</f>
      </c>
      <c r="L1331" s="180" t="str">
        <f>IF(G1331=30,1,M1330)</f>
      </c>
      <c r="M1331" s="181" t="str">
        <f>L1331*(1-K1331)</f>
      </c>
    </row>
    <row r="1332">
      <c r="A1332" t="s">
        <v>164</v>
      </c>
      <c r="B1332" t="s">
        <v>112</v>
      </c>
      <c r="C1332" s="32" t="s">
        <v>297</v>
      </c>
      <c r="D1332" t="s">
        <v>112</v>
      </c>
      <c r="E1332" t="s">
        <v>395</v>
      </c>
      <c r="F1332" s="174" t="n">
        <v>2032</v>
      </c>
      <c r="G1332" s="175" t="n">
        <v>40</v>
      </c>
      <c r="H1332" s="176" t="n">
        <v>3589.61331817177</v>
      </c>
      <c r="I1332" s="177" t="n">
        <v>4340733.7753657</v>
      </c>
      <c r="J1332" s="178" t="str">
        <f>IF(I1332&gt;0,H1332/I1332,0)</f>
      </c>
      <c r="K1332" s="179" t="str">
        <f>1-EXP(-J1332)</f>
      </c>
      <c r="L1332" s="180" t="str">
        <f>IF(G1332=30,1,M1331)</f>
      </c>
      <c r="M1332" s="181" t="str">
        <f>L1332*(1-K1332)</f>
      </c>
    </row>
    <row r="1333">
      <c r="A1333" t="s">
        <v>164</v>
      </c>
      <c r="B1333" t="s">
        <v>112</v>
      </c>
      <c r="C1333" s="32" t="s">
        <v>297</v>
      </c>
      <c r="D1333" t="s">
        <v>112</v>
      </c>
      <c r="E1333" t="s">
        <v>395</v>
      </c>
      <c r="F1333" s="174" t="n">
        <v>2032</v>
      </c>
      <c r="G1333" s="175" t="n">
        <v>41</v>
      </c>
      <c r="H1333" s="176" t="n">
        <v>3894.44639204465</v>
      </c>
      <c r="I1333" s="177" t="n">
        <v>4356395.52567176</v>
      </c>
      <c r="J1333" s="178" t="str">
        <f>IF(I1333&gt;0,H1333/I1333,0)</f>
      </c>
      <c r="K1333" s="179" t="str">
        <f>1-EXP(-J1333)</f>
      </c>
      <c r="L1333" s="180" t="str">
        <f>IF(G1333=30,1,M1332)</f>
      </c>
      <c r="M1333" s="181" t="str">
        <f>L1333*(1-K1333)</f>
      </c>
    </row>
    <row r="1334">
      <c r="A1334" t="s">
        <v>164</v>
      </c>
      <c r="B1334" t="s">
        <v>112</v>
      </c>
      <c r="C1334" s="32" t="s">
        <v>297</v>
      </c>
      <c r="D1334" t="s">
        <v>112</v>
      </c>
      <c r="E1334" t="s">
        <v>395</v>
      </c>
      <c r="F1334" s="174" t="n">
        <v>2032</v>
      </c>
      <c r="G1334" s="175" t="n">
        <v>42</v>
      </c>
      <c r="H1334" s="176" t="n">
        <v>5895.98673985277</v>
      </c>
      <c r="I1334" s="177" t="n">
        <v>6413762.28200501</v>
      </c>
      <c r="J1334" s="178" t="str">
        <f>IF(I1334&gt;0,H1334/I1334,0)</f>
      </c>
      <c r="K1334" s="179" t="str">
        <f>1-EXP(-J1334)</f>
      </c>
      <c r="L1334" s="180" t="str">
        <f>IF(G1334=30,1,M1333)</f>
      </c>
      <c r="M1334" s="181" t="str">
        <f>L1334*(1-K1334)</f>
      </c>
    </row>
    <row r="1335">
      <c r="A1335" t="s">
        <v>164</v>
      </c>
      <c r="B1335" t="s">
        <v>112</v>
      </c>
      <c r="C1335" s="32" t="s">
        <v>297</v>
      </c>
      <c r="D1335" t="s">
        <v>112</v>
      </c>
      <c r="E1335" t="s">
        <v>395</v>
      </c>
      <c r="F1335" s="174" t="n">
        <v>2032</v>
      </c>
      <c r="G1335" s="175" t="n">
        <v>43</v>
      </c>
      <c r="H1335" s="176" t="n">
        <v>4545.00620071352</v>
      </c>
      <c r="I1335" s="177" t="n">
        <v>4311630.10645228</v>
      </c>
      <c r="J1335" s="178" t="str">
        <f>IF(I1335&gt;0,H1335/I1335,0)</f>
      </c>
      <c r="K1335" s="179" t="str">
        <f>1-EXP(-J1335)</f>
      </c>
      <c r="L1335" s="180" t="str">
        <f>IF(G1335=30,1,M1334)</f>
      </c>
      <c r="M1335" s="181" t="str">
        <f>L1335*(1-K1335)</f>
      </c>
    </row>
    <row r="1336">
      <c r="A1336" t="s">
        <v>164</v>
      </c>
      <c r="B1336" t="s">
        <v>112</v>
      </c>
      <c r="C1336" s="32" t="s">
        <v>297</v>
      </c>
      <c r="D1336" t="s">
        <v>112</v>
      </c>
      <c r="E1336" t="s">
        <v>395</v>
      </c>
      <c r="F1336" s="174" t="n">
        <v>2032</v>
      </c>
      <c r="G1336" s="175" t="n">
        <v>44</v>
      </c>
      <c r="H1336" s="176" t="n">
        <v>4936.96443360888</v>
      </c>
      <c r="I1336" s="177" t="n">
        <v>4292924.33985826</v>
      </c>
      <c r="J1336" s="178" t="str">
        <f>IF(I1336&gt;0,H1336/I1336,0)</f>
      </c>
      <c r="K1336" s="179" t="str">
        <f>1-EXP(-J1336)</f>
      </c>
      <c r="L1336" s="180" t="str">
        <f>IF(G1336=30,1,M1335)</f>
      </c>
      <c r="M1336" s="181" t="str">
        <f>L1336*(1-K1336)</f>
      </c>
    </row>
    <row r="1337">
      <c r="A1337" t="s">
        <v>164</v>
      </c>
      <c r="B1337" t="s">
        <v>112</v>
      </c>
      <c r="C1337" s="32" t="s">
        <v>297</v>
      </c>
      <c r="D1337" t="s">
        <v>112</v>
      </c>
      <c r="E1337" t="s">
        <v>395</v>
      </c>
      <c r="F1337" s="174" t="n">
        <v>2032</v>
      </c>
      <c r="G1337" s="175" t="n">
        <v>45</v>
      </c>
      <c r="H1337" s="176" t="n">
        <v>6178.17623025625</v>
      </c>
      <c r="I1337" s="177" t="n">
        <v>4159154.89416938</v>
      </c>
      <c r="J1337" s="178" t="str">
        <f>IF(I1337&gt;0,H1337/I1337,0)</f>
      </c>
      <c r="K1337" s="179" t="str">
        <f>1-EXP(-J1337)</f>
      </c>
      <c r="L1337" s="180" t="str">
        <f>IF(G1337=30,1,M1336)</f>
      </c>
      <c r="M1337" s="181" t="str">
        <f>L1337*(1-K1337)</f>
      </c>
    </row>
    <row r="1338">
      <c r="A1338" t="s">
        <v>164</v>
      </c>
      <c r="B1338" t="s">
        <v>112</v>
      </c>
      <c r="C1338" s="32" t="s">
        <v>297</v>
      </c>
      <c r="D1338" t="s">
        <v>112</v>
      </c>
      <c r="E1338" t="s">
        <v>395</v>
      </c>
      <c r="F1338" s="174" t="n">
        <v>2032</v>
      </c>
      <c r="G1338" s="175" t="n">
        <v>46</v>
      </c>
      <c r="H1338" s="176" t="n">
        <v>6703.04195059818</v>
      </c>
      <c r="I1338" s="177" t="n">
        <v>4121203.743067</v>
      </c>
      <c r="J1338" s="178" t="str">
        <f>IF(I1338&gt;0,H1338/I1338,0)</f>
      </c>
      <c r="K1338" s="179" t="str">
        <f>1-EXP(-J1338)</f>
      </c>
      <c r="L1338" s="180" t="str">
        <f>IF(G1338=30,1,M1337)</f>
      </c>
      <c r="M1338" s="181" t="str">
        <f>L1338*(1-K1338)</f>
      </c>
    </row>
    <row r="1339">
      <c r="A1339" t="s">
        <v>164</v>
      </c>
      <c r="B1339" t="s">
        <v>112</v>
      </c>
      <c r="C1339" s="32" t="s">
        <v>297</v>
      </c>
      <c r="D1339" t="s">
        <v>112</v>
      </c>
      <c r="E1339" t="s">
        <v>395</v>
      </c>
      <c r="F1339" s="174" t="n">
        <v>2032</v>
      </c>
      <c r="G1339" s="175" t="n">
        <v>47</v>
      </c>
      <c r="H1339" s="176" t="n">
        <v>7444.60217640774</v>
      </c>
      <c r="I1339" s="177" t="n">
        <v>4176687.56926564</v>
      </c>
      <c r="J1339" s="178" t="str">
        <f>IF(I1339&gt;0,H1339/I1339,0)</f>
      </c>
      <c r="K1339" s="179" t="str">
        <f>1-EXP(-J1339)</f>
      </c>
      <c r="L1339" s="180" t="str">
        <f>IF(G1339=30,1,M1338)</f>
      </c>
      <c r="M1339" s="181" t="str">
        <f>L1339*(1-K1339)</f>
      </c>
    </row>
    <row r="1340">
      <c r="A1340" t="s">
        <v>164</v>
      </c>
      <c r="B1340" t="s">
        <v>112</v>
      </c>
      <c r="C1340" s="32" t="s">
        <v>297</v>
      </c>
      <c r="D1340" t="s">
        <v>112</v>
      </c>
      <c r="E1340" t="s">
        <v>395</v>
      </c>
      <c r="F1340" s="174" t="n">
        <v>2032</v>
      </c>
      <c r="G1340" s="175" t="n">
        <v>48</v>
      </c>
      <c r="H1340" s="176" t="n">
        <v>8313.696765441</v>
      </c>
      <c r="I1340" s="177" t="n">
        <v>4256561.82340379</v>
      </c>
      <c r="J1340" s="178" t="str">
        <f>IF(I1340&gt;0,H1340/I1340,0)</f>
      </c>
      <c r="K1340" s="179" t="str">
        <f>1-EXP(-J1340)</f>
      </c>
      <c r="L1340" s="180" t="str">
        <f>IF(G1340=30,1,M1339)</f>
      </c>
      <c r="M1340" s="181" t="str">
        <f>L1340*(1-K1340)</f>
      </c>
    </row>
    <row r="1341">
      <c r="A1341" t="s">
        <v>164</v>
      </c>
      <c r="B1341" t="s">
        <v>112</v>
      </c>
      <c r="C1341" s="32" t="s">
        <v>297</v>
      </c>
      <c r="D1341" t="s">
        <v>112</v>
      </c>
      <c r="E1341" t="s">
        <v>395</v>
      </c>
      <c r="F1341" s="174" t="n">
        <v>2032</v>
      </c>
      <c r="G1341" s="175" t="n">
        <v>49</v>
      </c>
      <c r="H1341" s="176" t="n">
        <v>9044.16946141965</v>
      </c>
      <c r="I1341" s="177" t="n">
        <v>4228102.39631354</v>
      </c>
      <c r="J1341" s="178" t="str">
        <f>IF(I1341&gt;0,H1341/I1341,0)</f>
      </c>
      <c r="K1341" s="179" t="str">
        <f>1-EXP(-J1341)</f>
      </c>
      <c r="L1341" s="180" t="str">
        <f>IF(G1341=30,1,M1340)</f>
      </c>
      <c r="M1341" s="181" t="str">
        <f>L1341*(1-K1341)</f>
      </c>
    </row>
    <row r="1342">
      <c r="A1342" t="s">
        <v>164</v>
      </c>
      <c r="B1342" t="s">
        <v>112</v>
      </c>
      <c r="C1342" s="32" t="s">
        <v>297</v>
      </c>
      <c r="D1342" t="s">
        <v>112</v>
      </c>
      <c r="E1342" t="s">
        <v>395</v>
      </c>
      <c r="F1342" s="174" t="n">
        <v>2032</v>
      </c>
      <c r="G1342" s="175" t="n">
        <v>50</v>
      </c>
      <c r="H1342" s="176" t="n">
        <v>10162.6209781771</v>
      </c>
      <c r="I1342" s="177" t="n">
        <v>4088165.13570877</v>
      </c>
      <c r="J1342" s="178" t="str">
        <f>IF(I1342&gt;0,H1342/I1342,0)</f>
      </c>
      <c r="K1342" s="179" t="str">
        <f>1-EXP(-J1342)</f>
      </c>
      <c r="L1342" s="180" t="str">
        <f>IF(G1342=30,1,M1341)</f>
      </c>
      <c r="M1342" s="181" t="str">
        <f>L1342*(1-K1342)</f>
      </c>
    </row>
    <row r="1343">
      <c r="A1343" t="s">
        <v>164</v>
      </c>
      <c r="B1343" t="s">
        <v>112</v>
      </c>
      <c r="C1343" s="32" t="s">
        <v>297</v>
      </c>
      <c r="D1343" t="s">
        <v>112</v>
      </c>
      <c r="E1343" t="s">
        <v>395</v>
      </c>
      <c r="F1343" s="174" t="n">
        <v>2032</v>
      </c>
      <c r="G1343" s="175" t="n">
        <v>51</v>
      </c>
      <c r="H1343" s="176" t="n">
        <v>10892.4633413442</v>
      </c>
      <c r="I1343" s="177" t="n">
        <v>4008776.65101239</v>
      </c>
      <c r="J1343" s="178" t="str">
        <f>IF(I1343&gt;0,H1343/I1343,0)</f>
      </c>
      <c r="K1343" s="179" t="str">
        <f>1-EXP(-J1343)</f>
      </c>
      <c r="L1343" s="180" t="str">
        <f>IF(G1343=30,1,M1342)</f>
      </c>
      <c r="M1343" s="181" t="str">
        <f>L1343*(1-K1343)</f>
      </c>
    </row>
    <row r="1344">
      <c r="A1344" t="s">
        <v>164</v>
      </c>
      <c r="B1344" t="s">
        <v>112</v>
      </c>
      <c r="C1344" s="32" t="s">
        <v>297</v>
      </c>
      <c r="D1344" t="s">
        <v>112</v>
      </c>
      <c r="E1344" t="s">
        <v>395</v>
      </c>
      <c r="F1344" s="174" t="n">
        <v>2032</v>
      </c>
      <c r="G1344" s="175" t="n">
        <v>52</v>
      </c>
      <c r="H1344" s="176" t="n">
        <v>11712.0332778525</v>
      </c>
      <c r="I1344" s="177" t="n">
        <v>3945478.57332312</v>
      </c>
      <c r="J1344" s="178" t="str">
        <f>IF(I1344&gt;0,H1344/I1344,0)</f>
      </c>
      <c r="K1344" s="179" t="str">
        <f>1-EXP(-J1344)</f>
      </c>
      <c r="L1344" s="180" t="str">
        <f>IF(G1344=30,1,M1343)</f>
      </c>
      <c r="M1344" s="181" t="str">
        <f>L1344*(1-K1344)</f>
      </c>
    </row>
    <row r="1345">
      <c r="A1345" t="s">
        <v>164</v>
      </c>
      <c r="B1345" t="s">
        <v>112</v>
      </c>
      <c r="C1345" s="32" t="s">
        <v>297</v>
      </c>
      <c r="D1345" t="s">
        <v>112</v>
      </c>
      <c r="E1345" t="s">
        <v>395</v>
      </c>
      <c r="F1345" s="174" t="n">
        <v>2032</v>
      </c>
      <c r="G1345" s="175" t="n">
        <v>53</v>
      </c>
      <c r="H1345" s="176" t="n">
        <v>12567.4499119161</v>
      </c>
      <c r="I1345" s="177" t="n">
        <v>3876478.03991294</v>
      </c>
      <c r="J1345" s="178" t="str">
        <f>IF(I1345&gt;0,H1345/I1345,0)</f>
      </c>
      <c r="K1345" s="179" t="str">
        <f>1-EXP(-J1345)</f>
      </c>
      <c r="L1345" s="180" t="str">
        <f>IF(G1345=30,1,M1344)</f>
      </c>
      <c r="M1345" s="181" t="str">
        <f>L1345*(1-K1345)</f>
      </c>
    </row>
    <row r="1346">
      <c r="A1346" t="s">
        <v>164</v>
      </c>
      <c r="B1346" t="s">
        <v>112</v>
      </c>
      <c r="C1346" s="32" t="s">
        <v>297</v>
      </c>
      <c r="D1346" t="s">
        <v>112</v>
      </c>
      <c r="E1346" t="s">
        <v>395</v>
      </c>
      <c r="F1346" s="174" t="n">
        <v>2032</v>
      </c>
      <c r="G1346" s="175" t="n">
        <v>54</v>
      </c>
      <c r="H1346" s="176" t="n">
        <v>13411.0410164482</v>
      </c>
      <c r="I1346" s="177" t="n">
        <v>3788061.79527493</v>
      </c>
      <c r="J1346" s="178" t="str">
        <f>IF(I1346&gt;0,H1346/I1346,0)</f>
      </c>
      <c r="K1346" s="179" t="str">
        <f>1-EXP(-J1346)</f>
      </c>
      <c r="L1346" s="180" t="str">
        <f>IF(G1346=30,1,M1345)</f>
      </c>
      <c r="M1346" s="181" t="str">
        <f>L1346*(1-K1346)</f>
      </c>
    </row>
    <row r="1347">
      <c r="A1347" t="s">
        <v>164</v>
      </c>
      <c r="B1347" t="s">
        <v>112</v>
      </c>
      <c r="C1347" s="32" t="s">
        <v>297</v>
      </c>
      <c r="D1347" t="s">
        <v>112</v>
      </c>
      <c r="E1347" t="s">
        <v>395</v>
      </c>
      <c r="F1347" s="174" t="n">
        <v>2032</v>
      </c>
      <c r="G1347" s="175" t="n">
        <v>55</v>
      </c>
      <c r="H1347" s="176" t="n">
        <v>14472.814548833</v>
      </c>
      <c r="I1347" s="177" t="n">
        <v>3715989.55284374</v>
      </c>
      <c r="J1347" s="178" t="str">
        <f>IF(I1347&gt;0,H1347/I1347,0)</f>
      </c>
      <c r="K1347" s="179" t="str">
        <f>1-EXP(-J1347)</f>
      </c>
      <c r="L1347" s="180" t="str">
        <f>IF(G1347=30,1,M1346)</f>
      </c>
      <c r="M1347" s="181" t="str">
        <f>L1347*(1-K1347)</f>
      </c>
    </row>
    <row r="1348">
      <c r="A1348" t="s">
        <v>164</v>
      </c>
      <c r="B1348" t="s">
        <v>112</v>
      </c>
      <c r="C1348" s="32" t="s">
        <v>297</v>
      </c>
      <c r="D1348" t="s">
        <v>112</v>
      </c>
      <c r="E1348" t="s">
        <v>395</v>
      </c>
      <c r="F1348" s="174" t="n">
        <v>2032</v>
      </c>
      <c r="G1348" s="175" t="n">
        <v>56</v>
      </c>
      <c r="H1348" s="176" t="n">
        <v>15441.5931500849</v>
      </c>
      <c r="I1348" s="177" t="n">
        <v>3631591.00304404</v>
      </c>
      <c r="J1348" s="178" t="str">
        <f>IF(I1348&gt;0,H1348/I1348,0)</f>
      </c>
      <c r="K1348" s="179" t="str">
        <f>1-EXP(-J1348)</f>
      </c>
      <c r="L1348" s="180" t="str">
        <f>IF(G1348=30,1,M1347)</f>
      </c>
      <c r="M1348" s="181" t="str">
        <f>L1348*(1-K1348)</f>
      </c>
    </row>
    <row r="1349">
      <c r="A1349" t="s">
        <v>164</v>
      </c>
      <c r="B1349" t="s">
        <v>112</v>
      </c>
      <c r="C1349" s="32" t="s">
        <v>297</v>
      </c>
      <c r="D1349" t="s">
        <v>112</v>
      </c>
      <c r="E1349" t="s">
        <v>395</v>
      </c>
      <c r="F1349" s="174" t="n">
        <v>2032</v>
      </c>
      <c r="G1349" s="175" t="n">
        <v>57</v>
      </c>
      <c r="H1349" s="176" t="n">
        <v>16470.272069612</v>
      </c>
      <c r="I1349" s="177" t="n">
        <v>3546445.96184909</v>
      </c>
      <c r="J1349" s="178" t="str">
        <f>IF(I1349&gt;0,H1349/I1349,0)</f>
      </c>
      <c r="K1349" s="179" t="str">
        <f>1-EXP(-J1349)</f>
      </c>
      <c r="L1349" s="180" t="str">
        <f>IF(G1349=30,1,M1348)</f>
      </c>
      <c r="M1349" s="181" t="str">
        <f>L1349*(1-K1349)</f>
      </c>
    </row>
    <row r="1350">
      <c r="A1350" t="s">
        <v>164</v>
      </c>
      <c r="B1350" t="s">
        <v>112</v>
      </c>
      <c r="C1350" s="32" t="s">
        <v>297</v>
      </c>
      <c r="D1350" t="s">
        <v>112</v>
      </c>
      <c r="E1350" t="s">
        <v>395</v>
      </c>
      <c r="F1350" s="174" t="n">
        <v>2032</v>
      </c>
      <c r="G1350" s="175" t="n">
        <v>58</v>
      </c>
      <c r="H1350" s="176" t="n">
        <v>17429.9798017942</v>
      </c>
      <c r="I1350" s="177" t="n">
        <v>3434194.8998143</v>
      </c>
      <c r="J1350" s="178" t="str">
        <f>IF(I1350&gt;0,H1350/I1350,0)</f>
      </c>
      <c r="K1350" s="179" t="str">
        <f>1-EXP(-J1350)</f>
      </c>
      <c r="L1350" s="180" t="str">
        <f>IF(G1350=30,1,M1349)</f>
      </c>
      <c r="M1350" s="181" t="str">
        <f>L1350*(1-K1350)</f>
      </c>
    </row>
    <row r="1351">
      <c r="A1351" t="s">
        <v>164</v>
      </c>
      <c r="B1351" t="s">
        <v>112</v>
      </c>
      <c r="C1351" s="32" t="s">
        <v>297</v>
      </c>
      <c r="D1351" t="s">
        <v>112</v>
      </c>
      <c r="E1351" t="s">
        <v>395</v>
      </c>
      <c r="F1351" s="174" t="n">
        <v>2032</v>
      </c>
      <c r="G1351" s="175" t="n">
        <v>59</v>
      </c>
      <c r="H1351" s="176" t="n">
        <v>18755.5674414292</v>
      </c>
      <c r="I1351" s="177" t="n">
        <v>3379704.87695241</v>
      </c>
      <c r="J1351" s="178" t="str">
        <f>IF(I1351&gt;0,H1351/I1351,0)</f>
      </c>
      <c r="K1351" s="179" t="str">
        <f>1-EXP(-J1351)</f>
      </c>
      <c r="L1351" s="180" t="str">
        <f>IF(G1351=30,1,M1350)</f>
      </c>
      <c r="M1351" s="181" t="str">
        <f>L1351*(1-K1351)</f>
      </c>
    </row>
    <row r="1352">
      <c r="A1352" t="s">
        <v>164</v>
      </c>
      <c r="B1352" t="s">
        <v>112</v>
      </c>
      <c r="C1352" s="32" t="s">
        <v>297</v>
      </c>
      <c r="D1352" t="s">
        <v>112</v>
      </c>
      <c r="E1352" t="s">
        <v>395</v>
      </c>
      <c r="F1352" s="174" t="n">
        <v>2032</v>
      </c>
      <c r="G1352" s="175" t="n">
        <v>60</v>
      </c>
      <c r="H1352" s="176" t="n">
        <v>19512.3931655353</v>
      </c>
      <c r="I1352" s="177" t="n">
        <v>3166861.02947435</v>
      </c>
      <c r="J1352" s="178" t="str">
        <f>IF(I1352&gt;0,H1352/I1352,0)</f>
      </c>
      <c r="K1352" s="179" t="str">
        <f>1-EXP(-J1352)</f>
      </c>
      <c r="L1352" s="180" t="str">
        <f>IF(G1352=30,1,M1351)</f>
      </c>
      <c r="M1352" s="181" t="str">
        <f>L1352*(1-K1352)</f>
      </c>
    </row>
    <row r="1353">
      <c r="A1353" t="s">
        <v>164</v>
      </c>
      <c r="B1353" t="s">
        <v>112</v>
      </c>
      <c r="C1353" s="32" t="s">
        <v>297</v>
      </c>
      <c r="D1353" t="s">
        <v>112</v>
      </c>
      <c r="E1353" t="s">
        <v>395</v>
      </c>
      <c r="F1353" s="174" t="n">
        <v>2032</v>
      </c>
      <c r="G1353" s="175" t="n">
        <v>61</v>
      </c>
      <c r="H1353" s="176" t="n">
        <v>20698.9892186878</v>
      </c>
      <c r="I1353" s="177" t="n">
        <v>3070389.97834508</v>
      </c>
      <c r="J1353" s="178" t="str">
        <f>IF(I1353&gt;0,H1353/I1353,0)</f>
      </c>
      <c r="K1353" s="179" t="str">
        <f>1-EXP(-J1353)</f>
      </c>
      <c r="L1353" s="180" t="str">
        <f>IF(G1353=30,1,M1352)</f>
      </c>
      <c r="M1353" s="181" t="str">
        <f>L1353*(1-K1353)</f>
      </c>
    </row>
    <row r="1354">
      <c r="A1354" t="s">
        <v>164</v>
      </c>
      <c r="B1354" t="s">
        <v>112</v>
      </c>
      <c r="C1354" s="32" t="s">
        <v>297</v>
      </c>
      <c r="D1354" t="s">
        <v>112</v>
      </c>
      <c r="E1354" t="s">
        <v>395</v>
      </c>
      <c r="F1354" s="174" t="n">
        <v>2032</v>
      </c>
      <c r="G1354" s="175" t="n">
        <v>62</v>
      </c>
      <c r="H1354" s="176" t="n">
        <v>21977.5453605243</v>
      </c>
      <c r="I1354" s="177" t="n">
        <v>2978118.13328235</v>
      </c>
      <c r="J1354" s="178" t="str">
        <f>IF(I1354&gt;0,H1354/I1354,0)</f>
      </c>
      <c r="K1354" s="179" t="str">
        <f>1-EXP(-J1354)</f>
      </c>
      <c r="L1354" s="180" t="str">
        <f>IF(G1354=30,1,M1353)</f>
      </c>
      <c r="M1354" s="181" t="str">
        <f>L1354*(1-K1354)</f>
      </c>
    </row>
    <row r="1355">
      <c r="A1355" t="s">
        <v>164</v>
      </c>
      <c r="B1355" t="s">
        <v>112</v>
      </c>
      <c r="C1355" s="32" t="s">
        <v>297</v>
      </c>
      <c r="D1355" t="s">
        <v>112</v>
      </c>
      <c r="E1355" t="s">
        <v>395</v>
      </c>
      <c r="F1355" s="174" t="n">
        <v>2032</v>
      </c>
      <c r="G1355" s="175" t="n">
        <v>63</v>
      </c>
      <c r="H1355" s="176" t="n">
        <v>23246.001776265</v>
      </c>
      <c r="I1355" s="177" t="n">
        <v>2876586.81816137</v>
      </c>
      <c r="J1355" s="178" t="str">
        <f>IF(I1355&gt;0,H1355/I1355,0)</f>
      </c>
      <c r="K1355" s="179" t="str">
        <f>1-EXP(-J1355)</f>
      </c>
      <c r="L1355" s="180" t="str">
        <f>IF(G1355=30,1,M1354)</f>
      </c>
      <c r="M1355" s="181" t="str">
        <f>L1355*(1-K1355)</f>
      </c>
    </row>
    <row r="1356">
      <c r="A1356" t="s">
        <v>164</v>
      </c>
      <c r="B1356" t="s">
        <v>112</v>
      </c>
      <c r="C1356" s="32" t="s">
        <v>297</v>
      </c>
      <c r="D1356" t="s">
        <v>112</v>
      </c>
      <c r="E1356" t="s">
        <v>395</v>
      </c>
      <c r="F1356" s="174" t="n">
        <v>2032</v>
      </c>
      <c r="G1356" s="175" t="n">
        <v>64</v>
      </c>
      <c r="H1356" s="176" t="n">
        <v>24397.190855689</v>
      </c>
      <c r="I1356" s="177" t="n">
        <v>2756005.53676857</v>
      </c>
      <c r="J1356" s="178" t="str">
        <f>IF(I1356&gt;0,H1356/I1356,0)</f>
      </c>
      <c r="K1356" s="179" t="str">
        <f>1-EXP(-J1356)</f>
      </c>
      <c r="L1356" s="180" t="str">
        <f>IF(G1356=30,1,M1355)</f>
      </c>
      <c r="M1356" s="181" t="str">
        <f>L1356*(1-K1356)</f>
      </c>
    </row>
    <row r="1357">
      <c r="A1357" t="s">
        <v>164</v>
      </c>
      <c r="B1357" t="s">
        <v>112</v>
      </c>
      <c r="C1357" s="32" t="s">
        <v>297</v>
      </c>
      <c r="D1357" t="s">
        <v>112</v>
      </c>
      <c r="E1357" t="s">
        <v>395</v>
      </c>
      <c r="F1357" s="174" t="n">
        <v>2032</v>
      </c>
      <c r="G1357" s="175" t="n">
        <v>65</v>
      </c>
      <c r="H1357" s="176" t="n">
        <v>24502.4431168295</v>
      </c>
      <c r="I1357" s="177" t="n">
        <v>2605900.330032</v>
      </c>
      <c r="J1357" s="178" t="str">
        <f>IF(I1357&gt;0,H1357/I1357,0)</f>
      </c>
      <c r="K1357" s="179" t="str">
        <f>1-EXP(-J1357)</f>
      </c>
      <c r="L1357" s="180" t="str">
        <f>IF(G1357=30,1,M1356)</f>
      </c>
      <c r="M1357" s="181" t="str">
        <f>L1357*(1-K1357)</f>
      </c>
    </row>
    <row r="1358">
      <c r="A1358" t="s">
        <v>164</v>
      </c>
      <c r="B1358" t="s">
        <v>112</v>
      </c>
      <c r="C1358" s="32" t="s">
        <v>297</v>
      </c>
      <c r="D1358" t="s">
        <v>112</v>
      </c>
      <c r="E1358" t="s">
        <v>395</v>
      </c>
      <c r="F1358" s="174" t="n">
        <v>2032</v>
      </c>
      <c r="G1358" s="175" t="n">
        <v>66</v>
      </c>
      <c r="H1358" s="176" t="n">
        <v>25674.5921602599</v>
      </c>
      <c r="I1358" s="177" t="n">
        <v>2490329.24134941</v>
      </c>
      <c r="J1358" s="178" t="str">
        <f>IF(I1358&gt;0,H1358/I1358,0)</f>
      </c>
      <c r="K1358" s="179" t="str">
        <f>1-EXP(-J1358)</f>
      </c>
      <c r="L1358" s="180" t="str">
        <f>IF(G1358=30,1,M1357)</f>
      </c>
      <c r="M1358" s="181" t="str">
        <f>L1358*(1-K1358)</f>
      </c>
    </row>
    <row r="1359">
      <c r="A1359" t="s">
        <v>164</v>
      </c>
      <c r="B1359" t="s">
        <v>112</v>
      </c>
      <c r="C1359" s="32" t="s">
        <v>297</v>
      </c>
      <c r="D1359" t="s">
        <v>112</v>
      </c>
      <c r="E1359" t="s">
        <v>395</v>
      </c>
      <c r="F1359" s="174" t="n">
        <v>2032</v>
      </c>
      <c r="G1359" s="175" t="n">
        <v>67</v>
      </c>
      <c r="H1359" s="176" t="n">
        <v>26622.9785457212</v>
      </c>
      <c r="I1359" s="177" t="n">
        <v>2354401.78396216</v>
      </c>
      <c r="J1359" s="178" t="str">
        <f>IF(I1359&gt;0,H1359/I1359,0)</f>
      </c>
      <c r="K1359" s="179" t="str">
        <f>1-EXP(-J1359)</f>
      </c>
      <c r="L1359" s="180" t="str">
        <f>IF(G1359=30,1,M1358)</f>
      </c>
      <c r="M1359" s="181" t="str">
        <f>L1359*(1-K1359)</f>
      </c>
    </row>
    <row r="1360">
      <c r="A1360" t="s">
        <v>164</v>
      </c>
      <c r="B1360" t="s">
        <v>112</v>
      </c>
      <c r="C1360" s="32" t="s">
        <v>297</v>
      </c>
      <c r="D1360" t="s">
        <v>112</v>
      </c>
      <c r="E1360" t="s">
        <v>395</v>
      </c>
      <c r="F1360" s="174" t="n">
        <v>2032</v>
      </c>
      <c r="G1360" s="175" t="n">
        <v>68</v>
      </c>
      <c r="H1360" s="176" t="n">
        <v>27539.2066666255</v>
      </c>
      <c r="I1360" s="177" t="n">
        <v>2218840.5848262</v>
      </c>
      <c r="J1360" s="178" t="str">
        <f>IF(I1360&gt;0,H1360/I1360,0)</f>
      </c>
      <c r="K1360" s="179" t="str">
        <f>1-EXP(-J1360)</f>
      </c>
      <c r="L1360" s="180" t="str">
        <f>IF(G1360=30,1,M1359)</f>
      </c>
      <c r="M1360" s="181" t="str">
        <f>L1360*(1-K1360)</f>
      </c>
    </row>
    <row r="1361">
      <c r="A1361" t="s">
        <v>164</v>
      </c>
      <c r="B1361" t="s">
        <v>112</v>
      </c>
      <c r="C1361" s="32" t="s">
        <v>297</v>
      </c>
      <c r="D1361" t="s">
        <v>112</v>
      </c>
      <c r="E1361" t="s">
        <v>395</v>
      </c>
      <c r="F1361" s="174" t="n">
        <v>2032</v>
      </c>
      <c r="G1361" s="175" t="n">
        <v>69</v>
      </c>
      <c r="H1361" s="176" t="n">
        <v>28467.7530711322</v>
      </c>
      <c r="I1361" s="177" t="n">
        <v>2087996.69247273</v>
      </c>
      <c r="J1361" s="178" t="str">
        <f>IF(I1361&gt;0,H1361/I1361,0)</f>
      </c>
      <c r="K1361" s="179" t="str">
        <f>1-EXP(-J1361)</f>
      </c>
      <c r="L1361" s="180" t="str">
        <f>IF(G1361=30,1,M1360)</f>
      </c>
      <c r="M1361" s="181" t="str">
        <f>L1361*(1-K1361)</f>
      </c>
    </row>
    <row r="1362">
      <c r="A1362" t="s">
        <v>164</v>
      </c>
      <c r="B1362" t="s">
        <v>112</v>
      </c>
      <c r="C1362" s="32" t="s">
        <v>297</v>
      </c>
      <c r="D1362" t="s">
        <v>112</v>
      </c>
      <c r="E1362" t="s">
        <v>395</v>
      </c>
      <c r="F1362" s="174" t="n">
        <v>2033</v>
      </c>
      <c r="G1362" s="175" t="n">
        <v>30</v>
      </c>
      <c r="H1362" s="176" t="n">
        <v>767.900449832632</v>
      </c>
      <c r="I1362" s="177" t="n">
        <v>4369790.32007935</v>
      </c>
      <c r="J1362" s="178" t="str">
        <f>IF(I1362&gt;0,H1362/I1362,0)</f>
      </c>
      <c r="K1362" s="179" t="str">
        <f>1-EXP(-J1362)</f>
      </c>
      <c r="L1362" s="180" t="str">
        <f>IF(G1362=30,1,M1361)</f>
      </c>
      <c r="M1362" s="181" t="str">
        <f>L1362*(1-K1362)</f>
      </c>
    </row>
    <row r="1363">
      <c r="A1363" t="s">
        <v>164</v>
      </c>
      <c r="B1363" t="s">
        <v>112</v>
      </c>
      <c r="C1363" s="32" t="s">
        <v>297</v>
      </c>
      <c r="D1363" t="s">
        <v>112</v>
      </c>
      <c r="E1363" t="s">
        <v>395</v>
      </c>
      <c r="F1363" s="174" t="n">
        <v>2033</v>
      </c>
      <c r="G1363" s="175" t="n">
        <v>31</v>
      </c>
      <c r="H1363" s="176" t="n">
        <v>1096.59751934142</v>
      </c>
      <c r="I1363" s="177" t="n">
        <v>4349053.55168678</v>
      </c>
      <c r="J1363" s="178" t="str">
        <f>IF(I1363&gt;0,H1363/I1363,0)</f>
      </c>
      <c r="K1363" s="179" t="str">
        <f>1-EXP(-J1363)</f>
      </c>
      <c r="L1363" s="180" t="str">
        <f>IF(G1363=30,1,M1362)</f>
      </c>
      <c r="M1363" s="181" t="str">
        <f>L1363*(1-K1363)</f>
      </c>
    </row>
    <row r="1364">
      <c r="A1364" t="s">
        <v>164</v>
      </c>
      <c r="B1364" t="s">
        <v>112</v>
      </c>
      <c r="C1364" s="32" t="s">
        <v>297</v>
      </c>
      <c r="D1364" t="s">
        <v>112</v>
      </c>
      <c r="E1364" t="s">
        <v>395</v>
      </c>
      <c r="F1364" s="174" t="n">
        <v>2033</v>
      </c>
      <c r="G1364" s="175" t="n">
        <v>32</v>
      </c>
      <c r="H1364" s="176" t="n">
        <v>1147.23799002757</v>
      </c>
      <c r="I1364" s="177" t="n">
        <v>4329508.55340539</v>
      </c>
      <c r="J1364" s="178" t="str">
        <f>IF(I1364&gt;0,H1364/I1364,0)</f>
      </c>
      <c r="K1364" s="179" t="str">
        <f>1-EXP(-J1364)</f>
      </c>
      <c r="L1364" s="180" t="str">
        <f>IF(G1364=30,1,M1363)</f>
      </c>
      <c r="M1364" s="181" t="str">
        <f>L1364*(1-K1364)</f>
      </c>
    </row>
    <row r="1365">
      <c r="A1365" t="s">
        <v>164</v>
      </c>
      <c r="B1365" t="s">
        <v>112</v>
      </c>
      <c r="C1365" s="32" t="s">
        <v>297</v>
      </c>
      <c r="D1365" t="s">
        <v>112</v>
      </c>
      <c r="E1365" t="s">
        <v>395</v>
      </c>
      <c r="F1365" s="174" t="n">
        <v>2033</v>
      </c>
      <c r="G1365" s="175" t="n">
        <v>33</v>
      </c>
      <c r="H1365" s="176" t="n">
        <v>1208.60610360354</v>
      </c>
      <c r="I1365" s="177" t="n">
        <v>4309731.41795628</v>
      </c>
      <c r="J1365" s="178" t="str">
        <f>IF(I1365&gt;0,H1365/I1365,0)</f>
      </c>
      <c r="K1365" s="179" t="str">
        <f>1-EXP(-J1365)</f>
      </c>
      <c r="L1365" s="180" t="str">
        <f>IF(G1365=30,1,M1364)</f>
      </c>
      <c r="M1365" s="181" t="str">
        <f>L1365*(1-K1365)</f>
      </c>
    </row>
    <row r="1366">
      <c r="A1366" t="s">
        <v>164</v>
      </c>
      <c r="B1366" t="s">
        <v>112</v>
      </c>
      <c r="C1366" s="32" t="s">
        <v>297</v>
      </c>
      <c r="D1366" t="s">
        <v>112</v>
      </c>
      <c r="E1366" t="s">
        <v>395</v>
      </c>
      <c r="F1366" s="174" t="n">
        <v>2033</v>
      </c>
      <c r="G1366" s="175" t="n">
        <v>34</v>
      </c>
      <c r="H1366" s="176" t="n">
        <v>1292.37989043285</v>
      </c>
      <c r="I1366" s="177" t="n">
        <v>4329696.60503285</v>
      </c>
      <c r="J1366" s="178" t="str">
        <f>IF(I1366&gt;0,H1366/I1366,0)</f>
      </c>
      <c r="K1366" s="179" t="str">
        <f>1-EXP(-J1366)</f>
      </c>
      <c r="L1366" s="180" t="str">
        <f>IF(G1366=30,1,M1365)</f>
      </c>
      <c r="M1366" s="181" t="str">
        <f>L1366*(1-K1366)</f>
      </c>
    </row>
    <row r="1367">
      <c r="A1367" t="s">
        <v>164</v>
      </c>
      <c r="B1367" t="s">
        <v>112</v>
      </c>
      <c r="C1367" s="32" t="s">
        <v>297</v>
      </c>
      <c r="D1367" t="s">
        <v>112</v>
      </c>
      <c r="E1367" t="s">
        <v>395</v>
      </c>
      <c r="F1367" s="174" t="n">
        <v>2033</v>
      </c>
      <c r="G1367" s="175" t="n">
        <v>35</v>
      </c>
      <c r="H1367" s="176" t="n">
        <v>1777.10566177979</v>
      </c>
      <c r="I1367" s="177" t="n">
        <v>4388834.26515718</v>
      </c>
      <c r="J1367" s="178" t="str">
        <f>IF(I1367&gt;0,H1367/I1367,0)</f>
      </c>
      <c r="K1367" s="179" t="str">
        <f>1-EXP(-J1367)</f>
      </c>
      <c r="L1367" s="180" t="str">
        <f>IF(G1367=30,1,M1366)</f>
      </c>
      <c r="M1367" s="181" t="str">
        <f>L1367*(1-K1367)</f>
      </c>
    </row>
    <row r="1368">
      <c r="A1368" t="s">
        <v>164</v>
      </c>
      <c r="B1368" t="s">
        <v>112</v>
      </c>
      <c r="C1368" s="32" t="s">
        <v>297</v>
      </c>
      <c r="D1368" t="s">
        <v>112</v>
      </c>
      <c r="E1368" t="s">
        <v>395</v>
      </c>
      <c r="F1368" s="174" t="n">
        <v>2033</v>
      </c>
      <c r="G1368" s="175" t="n">
        <v>36</v>
      </c>
      <c r="H1368" s="176" t="n">
        <v>2238.87404916333</v>
      </c>
      <c r="I1368" s="177" t="n">
        <v>4526926.38645251</v>
      </c>
      <c r="J1368" s="178" t="str">
        <f>IF(I1368&gt;0,H1368/I1368,0)</f>
      </c>
      <c r="K1368" s="179" t="str">
        <f>1-EXP(-J1368)</f>
      </c>
      <c r="L1368" s="180" t="str">
        <f>IF(G1368=30,1,M1367)</f>
      </c>
      <c r="M1368" s="181" t="str">
        <f>L1368*(1-K1368)</f>
      </c>
    </row>
    <row r="1369">
      <c r="A1369" t="s">
        <v>164</v>
      </c>
      <c r="B1369" t="s">
        <v>112</v>
      </c>
      <c r="C1369" s="32" t="s">
        <v>297</v>
      </c>
      <c r="D1369" t="s">
        <v>112</v>
      </c>
      <c r="E1369" t="s">
        <v>395</v>
      </c>
      <c r="F1369" s="174" t="n">
        <v>2033</v>
      </c>
      <c r="G1369" s="175" t="n">
        <v>37</v>
      </c>
      <c r="H1369" s="176" t="n">
        <v>2377.17656094889</v>
      </c>
      <c r="I1369" s="177" t="n">
        <v>4483008.20001819</v>
      </c>
      <c r="J1369" s="178" t="str">
        <f>IF(I1369&gt;0,H1369/I1369,0)</f>
      </c>
      <c r="K1369" s="179" t="str">
        <f>1-EXP(-J1369)</f>
      </c>
      <c r="L1369" s="180" t="str">
        <f>IF(G1369=30,1,M1368)</f>
      </c>
      <c r="M1369" s="181" t="str">
        <f>L1369*(1-K1369)</f>
      </c>
    </row>
    <row r="1370">
      <c r="A1370" t="s">
        <v>164</v>
      </c>
      <c r="B1370" t="s">
        <v>112</v>
      </c>
      <c r="C1370" s="32" t="s">
        <v>297</v>
      </c>
      <c r="D1370" t="s">
        <v>112</v>
      </c>
      <c r="E1370" t="s">
        <v>395</v>
      </c>
      <c r="F1370" s="174" t="n">
        <v>2033</v>
      </c>
      <c r="G1370" s="175" t="n">
        <v>38</v>
      </c>
      <c r="H1370" s="176" t="n">
        <v>2512.31163310013</v>
      </c>
      <c r="I1370" s="177" t="n">
        <v>4408885.0063789</v>
      </c>
      <c r="J1370" s="178" t="str">
        <f>IF(I1370&gt;0,H1370/I1370,0)</f>
      </c>
      <c r="K1370" s="179" t="str">
        <f>1-EXP(-J1370)</f>
      </c>
      <c r="L1370" s="180" t="str">
        <f>IF(G1370=30,1,M1369)</f>
      </c>
      <c r="M1370" s="181" t="str">
        <f>L1370*(1-K1370)</f>
      </c>
    </row>
    <row r="1371">
      <c r="A1371" t="s">
        <v>164</v>
      </c>
      <c r="B1371" t="s">
        <v>112</v>
      </c>
      <c r="C1371" s="32" t="s">
        <v>297</v>
      </c>
      <c r="D1371" t="s">
        <v>112</v>
      </c>
      <c r="E1371" t="s">
        <v>395</v>
      </c>
      <c r="F1371" s="174" t="n">
        <v>2033</v>
      </c>
      <c r="G1371" s="175" t="n">
        <v>39</v>
      </c>
      <c r="H1371" s="176" t="n">
        <v>2668.76985744877</v>
      </c>
      <c r="I1371" s="177" t="n">
        <v>4350290.62811854</v>
      </c>
      <c r="J1371" s="178" t="str">
        <f>IF(I1371&gt;0,H1371/I1371,0)</f>
      </c>
      <c r="K1371" s="179" t="str">
        <f>1-EXP(-J1371)</f>
      </c>
      <c r="L1371" s="180" t="str">
        <f>IF(G1371=30,1,M1370)</f>
      </c>
      <c r="M1371" s="181" t="str">
        <f>L1371*(1-K1371)</f>
      </c>
    </row>
    <row r="1372">
      <c r="A1372" t="s">
        <v>164</v>
      </c>
      <c r="B1372" t="s">
        <v>112</v>
      </c>
      <c r="C1372" s="32" t="s">
        <v>297</v>
      </c>
      <c r="D1372" t="s">
        <v>112</v>
      </c>
      <c r="E1372" t="s">
        <v>395</v>
      </c>
      <c r="F1372" s="174" t="n">
        <v>2033</v>
      </c>
      <c r="G1372" s="175" t="n">
        <v>40</v>
      </c>
      <c r="H1372" s="176" t="n">
        <v>3537.84727088073</v>
      </c>
      <c r="I1372" s="177" t="n">
        <v>4295120.98488322</v>
      </c>
      <c r="J1372" s="178" t="str">
        <f>IF(I1372&gt;0,H1372/I1372,0)</f>
      </c>
      <c r="K1372" s="179" t="str">
        <f>1-EXP(-J1372)</f>
      </c>
      <c r="L1372" s="180" t="str">
        <f>IF(G1372=30,1,M1371)</f>
      </c>
      <c r="M1372" s="181" t="str">
        <f>L1372*(1-K1372)</f>
      </c>
    </row>
    <row r="1373">
      <c r="A1373" t="s">
        <v>164</v>
      </c>
      <c r="B1373" t="s">
        <v>112</v>
      </c>
      <c r="C1373" s="32" t="s">
        <v>297</v>
      </c>
      <c r="D1373" t="s">
        <v>112</v>
      </c>
      <c r="E1373" t="s">
        <v>395</v>
      </c>
      <c r="F1373" s="174" t="n">
        <v>2033</v>
      </c>
      <c r="G1373" s="175" t="n">
        <v>41</v>
      </c>
      <c r="H1373" s="176" t="n">
        <v>3852.58225409796</v>
      </c>
      <c r="I1373" s="177" t="n">
        <v>4329794.67164144</v>
      </c>
      <c r="J1373" s="178" t="str">
        <f>IF(I1373&gt;0,H1373/I1373,0)</f>
      </c>
      <c r="K1373" s="179" t="str">
        <f>1-EXP(-J1373)</f>
      </c>
      <c r="L1373" s="180" t="str">
        <f>IF(G1373=30,1,M1372)</f>
      </c>
      <c r="M1373" s="181" t="str">
        <f>L1373*(1-K1373)</f>
      </c>
    </row>
    <row r="1374">
      <c r="A1374" t="s">
        <v>164</v>
      </c>
      <c r="B1374" t="s">
        <v>112</v>
      </c>
      <c r="C1374" s="32" t="s">
        <v>297</v>
      </c>
      <c r="D1374" t="s">
        <v>112</v>
      </c>
      <c r="E1374" t="s">
        <v>395</v>
      </c>
      <c r="F1374" s="174" t="n">
        <v>2033</v>
      </c>
      <c r="G1374" s="175" t="n">
        <v>42</v>
      </c>
      <c r="H1374" s="176" t="n">
        <v>4191.92158951773</v>
      </c>
      <c r="I1374" s="177" t="n">
        <v>4345354.44159029</v>
      </c>
      <c r="J1374" s="178" t="str">
        <f>IF(I1374&gt;0,H1374/I1374,0)</f>
      </c>
      <c r="K1374" s="179" t="str">
        <f>1-EXP(-J1374)</f>
      </c>
      <c r="L1374" s="180" t="str">
        <f>IF(G1374=30,1,M1373)</f>
      </c>
      <c r="M1374" s="181" t="str">
        <f>L1374*(1-K1374)</f>
      </c>
    </row>
    <row r="1375">
      <c r="A1375" t="s">
        <v>164</v>
      </c>
      <c r="B1375" t="s">
        <v>112</v>
      </c>
      <c r="C1375" s="32" t="s">
        <v>297</v>
      </c>
      <c r="D1375" t="s">
        <v>112</v>
      </c>
      <c r="E1375" t="s">
        <v>395</v>
      </c>
      <c r="F1375" s="174" t="n">
        <v>2033</v>
      </c>
      <c r="G1375" s="175" t="n">
        <v>43</v>
      </c>
      <c r="H1375" s="176" t="n">
        <v>6347.85274801284</v>
      </c>
      <c r="I1375" s="177" t="n">
        <v>6396929.41902344</v>
      </c>
      <c r="J1375" s="178" t="str">
        <f>IF(I1375&gt;0,H1375/I1375,0)</f>
      </c>
      <c r="K1375" s="179" t="str">
        <f>1-EXP(-J1375)</f>
      </c>
      <c r="L1375" s="180" t="str">
        <f>IF(G1375=30,1,M1374)</f>
      </c>
      <c r="M1375" s="181" t="str">
        <f>L1375*(1-K1375)</f>
      </c>
    </row>
    <row r="1376">
      <c r="A1376" t="s">
        <v>164</v>
      </c>
      <c r="B1376" t="s">
        <v>112</v>
      </c>
      <c r="C1376" s="32" t="s">
        <v>297</v>
      </c>
      <c r="D1376" t="s">
        <v>112</v>
      </c>
      <c r="E1376" t="s">
        <v>395</v>
      </c>
      <c r="F1376" s="174" t="n">
        <v>2033</v>
      </c>
      <c r="G1376" s="175" t="n">
        <v>44</v>
      </c>
      <c r="H1376" s="176" t="n">
        <v>4919.56565682802</v>
      </c>
      <c r="I1376" s="177" t="n">
        <v>4298794.56742682</v>
      </c>
      <c r="J1376" s="178" t="str">
        <f>IF(I1376&gt;0,H1376/I1376,0)</f>
      </c>
      <c r="K1376" s="179" t="str">
        <f>1-EXP(-J1376)</f>
      </c>
      <c r="L1376" s="180" t="str">
        <f>IF(G1376=30,1,M1375)</f>
      </c>
      <c r="M1376" s="181" t="str">
        <f>L1376*(1-K1376)</f>
      </c>
    </row>
    <row r="1377">
      <c r="A1377" t="s">
        <v>164</v>
      </c>
      <c r="B1377" t="s">
        <v>112</v>
      </c>
      <c r="C1377" s="32" t="s">
        <v>297</v>
      </c>
      <c r="D1377" t="s">
        <v>112</v>
      </c>
      <c r="E1377" t="s">
        <v>395</v>
      </c>
      <c r="F1377" s="174" t="n">
        <v>2033</v>
      </c>
      <c r="G1377" s="175" t="n">
        <v>45</v>
      </c>
      <c r="H1377" s="176" t="n">
        <v>6318.83034449224</v>
      </c>
      <c r="I1377" s="177" t="n">
        <v>4279008.5907238</v>
      </c>
      <c r="J1377" s="178" t="str">
        <f>IF(I1377&gt;0,H1377/I1377,0)</f>
      </c>
      <c r="K1377" s="179" t="str">
        <f>1-EXP(-J1377)</f>
      </c>
      <c r="L1377" s="180" t="str">
        <f>IF(G1377=30,1,M1376)</f>
      </c>
      <c r="M1377" s="181" t="str">
        <f>L1377*(1-K1377)</f>
      </c>
    </row>
    <row r="1378">
      <c r="A1378" t="s">
        <v>164</v>
      </c>
      <c r="B1378" t="s">
        <v>112</v>
      </c>
      <c r="C1378" s="32" t="s">
        <v>297</v>
      </c>
      <c r="D1378" t="s">
        <v>112</v>
      </c>
      <c r="E1378" t="s">
        <v>395</v>
      </c>
      <c r="F1378" s="174" t="n">
        <v>2033</v>
      </c>
      <c r="G1378" s="175" t="n">
        <v>46</v>
      </c>
      <c r="H1378" s="176" t="n">
        <v>6701.62214198287</v>
      </c>
      <c r="I1378" s="177" t="n">
        <v>4143425.75707015</v>
      </c>
      <c r="J1378" s="178" t="str">
        <f>IF(I1378&gt;0,H1378/I1378,0)</f>
      </c>
      <c r="K1378" s="179" t="str">
        <f>1-EXP(-J1378)</f>
      </c>
      <c r="L1378" s="180" t="str">
        <f>IF(G1378=30,1,M1377)</f>
      </c>
      <c r="M1378" s="181" t="str">
        <f>L1378*(1-K1378)</f>
      </c>
    </row>
    <row r="1379">
      <c r="A1379" t="s">
        <v>164</v>
      </c>
      <c r="B1379" t="s">
        <v>112</v>
      </c>
      <c r="C1379" s="32" t="s">
        <v>297</v>
      </c>
      <c r="D1379" t="s">
        <v>112</v>
      </c>
      <c r="E1379" t="s">
        <v>395</v>
      </c>
      <c r="F1379" s="174" t="n">
        <v>2033</v>
      </c>
      <c r="G1379" s="175" t="n">
        <v>47</v>
      </c>
      <c r="H1379" s="176" t="n">
        <v>7275.23109809394</v>
      </c>
      <c r="I1379" s="177" t="n">
        <v>4105147.60468926</v>
      </c>
      <c r="J1379" s="178" t="str">
        <f>IF(I1379&gt;0,H1379/I1379,0)</f>
      </c>
      <c r="K1379" s="179" t="str">
        <f>1-EXP(-J1379)</f>
      </c>
      <c r="L1379" s="180" t="str">
        <f>IF(G1379=30,1,M1378)</f>
      </c>
      <c r="M1379" s="181" t="str">
        <f>L1379*(1-K1379)</f>
      </c>
    </row>
    <row r="1380">
      <c r="A1380" t="s">
        <v>164</v>
      </c>
      <c r="B1380" t="s">
        <v>112</v>
      </c>
      <c r="C1380" s="32" t="s">
        <v>297</v>
      </c>
      <c r="D1380" t="s">
        <v>112</v>
      </c>
      <c r="E1380" t="s">
        <v>395</v>
      </c>
      <c r="F1380" s="174" t="n">
        <v>2033</v>
      </c>
      <c r="G1380" s="175" t="n">
        <v>48</v>
      </c>
      <c r="H1380" s="176" t="n">
        <v>8078.08296224965</v>
      </c>
      <c r="I1380" s="177" t="n">
        <v>4158866.40556017</v>
      </c>
      <c r="J1380" s="178" t="str">
        <f>IF(I1380&gt;0,H1380/I1380,0)</f>
      </c>
      <c r="K1380" s="179" t="str">
        <f>1-EXP(-J1380)</f>
      </c>
      <c r="L1380" s="180" t="str">
        <f>IF(G1380=30,1,M1379)</f>
      </c>
      <c r="M1380" s="181" t="str">
        <f>L1380*(1-K1380)</f>
      </c>
    </row>
    <row r="1381">
      <c r="A1381" t="s">
        <v>164</v>
      </c>
      <c r="B1381" t="s">
        <v>112</v>
      </c>
      <c r="C1381" s="32" t="s">
        <v>297</v>
      </c>
      <c r="D1381" t="s">
        <v>112</v>
      </c>
      <c r="E1381" t="s">
        <v>395</v>
      </c>
      <c r="F1381" s="174" t="n">
        <v>2033</v>
      </c>
      <c r="G1381" s="175" t="n">
        <v>49</v>
      </c>
      <c r="H1381" s="176" t="n">
        <v>9014.8765682325</v>
      </c>
      <c r="I1381" s="177" t="n">
        <v>4236665.93314331</v>
      </c>
      <c r="J1381" s="178" t="str">
        <f>IF(I1381&gt;0,H1381/I1381,0)</f>
      </c>
      <c r="K1381" s="179" t="str">
        <f>1-EXP(-J1381)</f>
      </c>
      <c r="L1381" s="180" t="str">
        <f>IF(G1381=30,1,M1380)</f>
      </c>
      <c r="M1381" s="181" t="str">
        <f>L1381*(1-K1381)</f>
      </c>
    </row>
    <row r="1382">
      <c r="A1382" t="s">
        <v>164</v>
      </c>
      <c r="B1382" t="s">
        <v>112</v>
      </c>
      <c r="C1382" s="32" t="s">
        <v>297</v>
      </c>
      <c r="D1382" t="s">
        <v>112</v>
      </c>
      <c r="E1382" t="s">
        <v>395</v>
      </c>
      <c r="F1382" s="174" t="n">
        <v>2033</v>
      </c>
      <c r="G1382" s="175" t="n">
        <v>50</v>
      </c>
      <c r="H1382" s="176" t="n">
        <v>10380.4287092684</v>
      </c>
      <c r="I1382" s="177" t="n">
        <v>4206459.69231643</v>
      </c>
      <c r="J1382" s="178" t="str">
        <f>IF(I1382&gt;0,H1382/I1382,0)</f>
      </c>
      <c r="K1382" s="179" t="str">
        <f>1-EXP(-J1382)</f>
      </c>
      <c r="L1382" s="180" t="str">
        <f>IF(G1382=30,1,M1381)</f>
      </c>
      <c r="M1382" s="181" t="str">
        <f>L1382*(1-K1382)</f>
      </c>
    </row>
    <row r="1383">
      <c r="A1383" t="s">
        <v>164</v>
      </c>
      <c r="B1383" t="s">
        <v>112</v>
      </c>
      <c r="C1383" s="32" t="s">
        <v>297</v>
      </c>
      <c r="D1383" t="s">
        <v>112</v>
      </c>
      <c r="E1383" t="s">
        <v>395</v>
      </c>
      <c r="F1383" s="174" t="n">
        <v>2033</v>
      </c>
      <c r="G1383" s="175" t="n">
        <v>51</v>
      </c>
      <c r="H1383" s="176" t="n">
        <v>10974.2975932571</v>
      </c>
      <c r="I1383" s="177" t="n">
        <v>4064398.34099793</v>
      </c>
      <c r="J1383" s="178" t="str">
        <f>IF(I1383&gt;0,H1383/I1383,0)</f>
      </c>
      <c r="K1383" s="179" t="str">
        <f>1-EXP(-J1383)</f>
      </c>
      <c r="L1383" s="180" t="str">
        <f>IF(G1383=30,1,M1382)</f>
      </c>
      <c r="M1383" s="181" t="str">
        <f>L1383*(1-K1383)</f>
      </c>
    </row>
    <row r="1384">
      <c r="A1384" t="s">
        <v>164</v>
      </c>
      <c r="B1384" t="s">
        <v>112</v>
      </c>
      <c r="C1384" s="32" t="s">
        <v>297</v>
      </c>
      <c r="D1384" t="s">
        <v>112</v>
      </c>
      <c r="E1384" t="s">
        <v>395</v>
      </c>
      <c r="F1384" s="174" t="n">
        <v>2033</v>
      </c>
      <c r="G1384" s="175" t="n">
        <v>52</v>
      </c>
      <c r="H1384" s="176" t="n">
        <v>11753.8169873007</v>
      </c>
      <c r="I1384" s="177" t="n">
        <v>3984128.16121107</v>
      </c>
      <c r="J1384" s="178" t="str">
        <f>IF(I1384&gt;0,H1384/I1384,0)</f>
      </c>
      <c r="K1384" s="179" t="str">
        <f>1-EXP(-J1384)</f>
      </c>
      <c r="L1384" s="180" t="str">
        <f>IF(G1384=30,1,M1383)</f>
      </c>
      <c r="M1384" s="181" t="str">
        <f>L1384*(1-K1384)</f>
      </c>
    </row>
    <row r="1385">
      <c r="A1385" t="s">
        <v>164</v>
      </c>
      <c r="B1385" t="s">
        <v>112</v>
      </c>
      <c r="C1385" s="32" t="s">
        <v>297</v>
      </c>
      <c r="D1385" t="s">
        <v>112</v>
      </c>
      <c r="E1385" t="s">
        <v>395</v>
      </c>
      <c r="F1385" s="174" t="n">
        <v>2033</v>
      </c>
      <c r="G1385" s="175" t="n">
        <v>53</v>
      </c>
      <c r="H1385" s="176" t="n">
        <v>12626.9595622323</v>
      </c>
      <c r="I1385" s="177" t="n">
        <v>3918976.88415313</v>
      </c>
      <c r="J1385" s="178" t="str">
        <f>IF(I1385&gt;0,H1385/I1385,0)</f>
      </c>
      <c r="K1385" s="179" t="str">
        <f>1-EXP(-J1385)</f>
      </c>
      <c r="L1385" s="180" t="str">
        <f>IF(G1385=30,1,M1384)</f>
      </c>
      <c r="M1385" s="181" t="str">
        <f>L1385*(1-K1385)</f>
      </c>
    </row>
    <row r="1386">
      <c r="A1386" t="s">
        <v>164</v>
      </c>
      <c r="B1386" t="s">
        <v>112</v>
      </c>
      <c r="C1386" s="32" t="s">
        <v>297</v>
      </c>
      <c r="D1386" t="s">
        <v>112</v>
      </c>
      <c r="E1386" t="s">
        <v>395</v>
      </c>
      <c r="F1386" s="174" t="n">
        <v>2033</v>
      </c>
      <c r="G1386" s="175" t="n">
        <v>54</v>
      </c>
      <c r="H1386" s="176" t="n">
        <v>13538.0106726468</v>
      </c>
      <c r="I1386" s="177" t="n">
        <v>3848044.35770858</v>
      </c>
      <c r="J1386" s="178" t="str">
        <f>IF(I1386&gt;0,H1386/I1386,0)</f>
      </c>
      <c r="K1386" s="179" t="str">
        <f>1-EXP(-J1386)</f>
      </c>
      <c r="L1386" s="180" t="str">
        <f>IF(G1386=30,1,M1385)</f>
      </c>
      <c r="M1386" s="181" t="str">
        <f>L1386*(1-K1386)</f>
      </c>
    </row>
    <row r="1387">
      <c r="A1387" t="s">
        <v>164</v>
      </c>
      <c r="B1387" t="s">
        <v>112</v>
      </c>
      <c r="C1387" s="32" t="s">
        <v>297</v>
      </c>
      <c r="D1387" t="s">
        <v>112</v>
      </c>
      <c r="E1387" t="s">
        <v>395</v>
      </c>
      <c r="F1387" s="174" t="n">
        <v>2033</v>
      </c>
      <c r="G1387" s="175" t="n">
        <v>55</v>
      </c>
      <c r="H1387" s="176" t="n">
        <v>14499.5945978913</v>
      </c>
      <c r="I1387" s="177" t="n">
        <v>3757725.58956788</v>
      </c>
      <c r="J1387" s="178" t="str">
        <f>IF(I1387&gt;0,H1387/I1387,0)</f>
      </c>
      <c r="K1387" s="179" t="str">
        <f>1-EXP(-J1387)</f>
      </c>
      <c r="L1387" s="180" t="str">
        <f>IF(G1387=30,1,M1386)</f>
      </c>
      <c r="M1387" s="181" t="str">
        <f>L1387*(1-K1387)</f>
      </c>
    </row>
    <row r="1388">
      <c r="A1388" t="s">
        <v>164</v>
      </c>
      <c r="B1388" t="s">
        <v>112</v>
      </c>
      <c r="C1388" s="32" t="s">
        <v>297</v>
      </c>
      <c r="D1388" t="s">
        <v>112</v>
      </c>
      <c r="E1388" t="s">
        <v>395</v>
      </c>
      <c r="F1388" s="174" t="n">
        <v>2033</v>
      </c>
      <c r="G1388" s="175" t="n">
        <v>56</v>
      </c>
      <c r="H1388" s="176" t="n">
        <v>15532.8951139146</v>
      </c>
      <c r="I1388" s="177" t="n">
        <v>3683079.15755203</v>
      </c>
      <c r="J1388" s="178" t="str">
        <f>IF(I1388&gt;0,H1388/I1388,0)</f>
      </c>
      <c r="K1388" s="179" t="str">
        <f>1-EXP(-J1388)</f>
      </c>
      <c r="L1388" s="180" t="str">
        <f>IF(G1388=30,1,M1387)</f>
      </c>
      <c r="M1388" s="181" t="str">
        <f>L1388*(1-K1388)</f>
      </c>
    </row>
    <row r="1389">
      <c r="A1389" t="s">
        <v>164</v>
      </c>
      <c r="B1389" t="s">
        <v>112</v>
      </c>
      <c r="C1389" s="32" t="s">
        <v>297</v>
      </c>
      <c r="D1389" t="s">
        <v>112</v>
      </c>
      <c r="E1389" t="s">
        <v>395</v>
      </c>
      <c r="F1389" s="174" t="n">
        <v>2033</v>
      </c>
      <c r="G1389" s="175" t="n">
        <v>57</v>
      </c>
      <c r="H1389" s="176" t="n">
        <v>16567.6986982318</v>
      </c>
      <c r="I1389" s="177" t="n">
        <v>3596856.21088381</v>
      </c>
      <c r="J1389" s="178" t="str">
        <f>IF(I1389&gt;0,H1389/I1389,0)</f>
      </c>
      <c r="K1389" s="179" t="str">
        <f>1-EXP(-J1389)</f>
      </c>
      <c r="L1389" s="180" t="str">
        <f>IF(G1389=30,1,M1388)</f>
      </c>
      <c r="M1389" s="181" t="str">
        <f>L1389*(1-K1389)</f>
      </c>
    </row>
    <row r="1390">
      <c r="A1390" t="s">
        <v>164</v>
      </c>
      <c r="B1390" t="s">
        <v>112</v>
      </c>
      <c r="C1390" s="32" t="s">
        <v>297</v>
      </c>
      <c r="D1390" t="s">
        <v>112</v>
      </c>
      <c r="E1390" t="s">
        <v>395</v>
      </c>
      <c r="F1390" s="174" t="n">
        <v>2033</v>
      </c>
      <c r="G1390" s="175" t="n">
        <v>58</v>
      </c>
      <c r="H1390" s="176" t="n">
        <v>17665.5593092795</v>
      </c>
      <c r="I1390" s="177" t="n">
        <v>3509409.58342406</v>
      </c>
      <c r="J1390" s="178" t="str">
        <f>IF(I1390&gt;0,H1390/I1390,0)</f>
      </c>
      <c r="K1390" s="179" t="str">
        <f>1-EXP(-J1390)</f>
      </c>
      <c r="L1390" s="180" t="str">
        <f>IF(G1390=30,1,M1389)</f>
      </c>
      <c r="M1390" s="181" t="str">
        <f>L1390*(1-K1390)</f>
      </c>
    </row>
    <row r="1391">
      <c r="A1391" t="s">
        <v>164</v>
      </c>
      <c r="B1391" t="s">
        <v>112</v>
      </c>
      <c r="C1391" s="32" t="s">
        <v>297</v>
      </c>
      <c r="D1391" t="s">
        <v>112</v>
      </c>
      <c r="E1391" t="s">
        <v>395</v>
      </c>
      <c r="F1391" s="174" t="n">
        <v>2033</v>
      </c>
      <c r="G1391" s="175" t="n">
        <v>59</v>
      </c>
      <c r="H1391" s="176" t="n">
        <v>18688.2186824248</v>
      </c>
      <c r="I1391" s="177" t="n">
        <v>3395014.37332297</v>
      </c>
      <c r="J1391" s="178" t="str">
        <f>IF(I1391&gt;0,H1391/I1391,0)</f>
      </c>
      <c r="K1391" s="179" t="str">
        <f>1-EXP(-J1391)</f>
      </c>
      <c r="L1391" s="180" t="str">
        <f>IF(G1391=30,1,M1390)</f>
      </c>
      <c r="M1391" s="181" t="str">
        <f>L1391*(1-K1391)</f>
      </c>
    </row>
    <row r="1392">
      <c r="A1392" t="s">
        <v>164</v>
      </c>
      <c r="B1392" t="s">
        <v>112</v>
      </c>
      <c r="C1392" s="32" t="s">
        <v>297</v>
      </c>
      <c r="D1392" t="s">
        <v>112</v>
      </c>
      <c r="E1392" t="s">
        <v>395</v>
      </c>
      <c r="F1392" s="174" t="n">
        <v>2033</v>
      </c>
      <c r="G1392" s="175" t="n">
        <v>60</v>
      </c>
      <c r="H1392" s="176" t="n">
        <v>20331.2737217238</v>
      </c>
      <c r="I1392" s="177" t="n">
        <v>3337558.84722151</v>
      </c>
      <c r="J1392" s="178" t="str">
        <f>IF(I1392&gt;0,H1392/I1392,0)</f>
      </c>
      <c r="K1392" s="179" t="str">
        <f>1-EXP(-J1392)</f>
      </c>
      <c r="L1392" s="180" t="str">
        <f>IF(G1392=30,1,M1391)</f>
      </c>
      <c r="M1392" s="181" t="str">
        <f>L1392*(1-K1392)</f>
      </c>
    </row>
    <row r="1393">
      <c r="A1393" t="s">
        <v>164</v>
      </c>
      <c r="B1393" t="s">
        <v>112</v>
      </c>
      <c r="C1393" s="32" t="s">
        <v>297</v>
      </c>
      <c r="D1393" t="s">
        <v>112</v>
      </c>
      <c r="E1393" t="s">
        <v>395</v>
      </c>
      <c r="F1393" s="174" t="n">
        <v>2033</v>
      </c>
      <c r="G1393" s="175" t="n">
        <v>61</v>
      </c>
      <c r="H1393" s="176" t="n">
        <v>20845.0223710696</v>
      </c>
      <c r="I1393" s="177" t="n">
        <v>3123124.30714858</v>
      </c>
      <c r="J1393" s="178" t="str">
        <f>IF(I1393&gt;0,H1393/I1393,0)</f>
      </c>
      <c r="K1393" s="179" t="str">
        <f>1-EXP(-J1393)</f>
      </c>
      <c r="L1393" s="180" t="str">
        <f>IF(G1393=30,1,M1392)</f>
      </c>
      <c r="M1393" s="181" t="str">
        <f>L1393*(1-K1393)</f>
      </c>
    </row>
    <row r="1394">
      <c r="A1394" t="s">
        <v>164</v>
      </c>
      <c r="B1394" t="s">
        <v>112</v>
      </c>
      <c r="C1394" s="32" t="s">
        <v>297</v>
      </c>
      <c r="D1394" t="s">
        <v>112</v>
      </c>
      <c r="E1394" t="s">
        <v>395</v>
      </c>
      <c r="F1394" s="174" t="n">
        <v>2033</v>
      </c>
      <c r="G1394" s="175" t="n">
        <v>62</v>
      </c>
      <c r="H1394" s="176" t="n">
        <v>22100.7500974464</v>
      </c>
      <c r="I1394" s="177" t="n">
        <v>3024477.90526143</v>
      </c>
      <c r="J1394" s="178" t="str">
        <f>IF(I1394&gt;0,H1394/I1394,0)</f>
      </c>
      <c r="K1394" s="179" t="str">
        <f>1-EXP(-J1394)</f>
      </c>
      <c r="L1394" s="180" t="str">
        <f>IF(G1394=30,1,M1393)</f>
      </c>
      <c r="M1394" s="181" t="str">
        <f>L1394*(1-K1394)</f>
      </c>
    </row>
    <row r="1395">
      <c r="A1395" t="s">
        <v>164</v>
      </c>
      <c r="B1395" t="s">
        <v>112</v>
      </c>
      <c r="C1395" s="32" t="s">
        <v>297</v>
      </c>
      <c r="D1395" t="s">
        <v>112</v>
      </c>
      <c r="E1395" t="s">
        <v>395</v>
      </c>
      <c r="F1395" s="174" t="n">
        <v>2033</v>
      </c>
      <c r="G1395" s="175" t="n">
        <v>63</v>
      </c>
      <c r="H1395" s="176" t="n">
        <v>23445.6053291794</v>
      </c>
      <c r="I1395" s="177" t="n">
        <v>2929383.11041376</v>
      </c>
      <c r="J1395" s="178" t="str">
        <f>IF(I1395&gt;0,H1395/I1395,0)</f>
      </c>
      <c r="K1395" s="179" t="str">
        <f>1-EXP(-J1395)</f>
      </c>
      <c r="L1395" s="180" t="str">
        <f>IF(G1395=30,1,M1394)</f>
      </c>
      <c r="M1395" s="181" t="str">
        <f>L1395*(1-K1395)</f>
      </c>
    </row>
    <row r="1396">
      <c r="A1396" t="s">
        <v>164</v>
      </c>
      <c r="B1396" t="s">
        <v>112</v>
      </c>
      <c r="C1396" s="32" t="s">
        <v>297</v>
      </c>
      <c r="D1396" t="s">
        <v>112</v>
      </c>
      <c r="E1396" t="s">
        <v>395</v>
      </c>
      <c r="F1396" s="174" t="n">
        <v>2033</v>
      </c>
      <c r="G1396" s="175" t="n">
        <v>64</v>
      </c>
      <c r="H1396" s="176" t="n">
        <v>24771.3643226587</v>
      </c>
      <c r="I1396" s="177" t="n">
        <v>2825051.64076609</v>
      </c>
      <c r="J1396" s="178" t="str">
        <f>IF(I1396&gt;0,H1396/I1396,0)</f>
      </c>
      <c r="K1396" s="179" t="str">
        <f>1-EXP(-J1396)</f>
      </c>
      <c r="L1396" s="180" t="str">
        <f>IF(G1396=30,1,M1395)</f>
      </c>
      <c r="M1396" s="181" t="str">
        <f>L1396*(1-K1396)</f>
      </c>
    </row>
    <row r="1397">
      <c r="A1397" t="s">
        <v>164</v>
      </c>
      <c r="B1397" t="s">
        <v>112</v>
      </c>
      <c r="C1397" s="32" t="s">
        <v>297</v>
      </c>
      <c r="D1397" t="s">
        <v>112</v>
      </c>
      <c r="E1397" t="s">
        <v>395</v>
      </c>
      <c r="F1397" s="174" t="n">
        <v>2033</v>
      </c>
      <c r="G1397" s="175" t="n">
        <v>65</v>
      </c>
      <c r="H1397" s="176" t="n">
        <v>25111.6956427208</v>
      </c>
      <c r="I1397" s="177" t="n">
        <v>2701930.22367656</v>
      </c>
      <c r="J1397" s="178" t="str">
        <f>IF(I1397&gt;0,H1397/I1397,0)</f>
      </c>
      <c r="K1397" s="179" t="str">
        <f>1-EXP(-J1397)</f>
      </c>
      <c r="L1397" s="180" t="str">
        <f>IF(G1397=30,1,M1396)</f>
      </c>
      <c r="M1397" s="181" t="str">
        <f>L1397*(1-K1397)</f>
      </c>
    </row>
    <row r="1398">
      <c r="A1398" t="s">
        <v>164</v>
      </c>
      <c r="B1398" t="s">
        <v>112</v>
      </c>
      <c r="C1398" s="32" t="s">
        <v>297</v>
      </c>
      <c r="D1398" t="s">
        <v>112</v>
      </c>
      <c r="E1398" t="s">
        <v>395</v>
      </c>
      <c r="F1398" s="174" t="n">
        <v>2033</v>
      </c>
      <c r="G1398" s="175" t="n">
        <v>66</v>
      </c>
      <c r="H1398" s="176" t="n">
        <v>26013.3260301641</v>
      </c>
      <c r="I1398" s="177" t="n">
        <v>2550143.24539543</v>
      </c>
      <c r="J1398" s="178" t="str">
        <f>IF(I1398&gt;0,H1398/I1398,0)</f>
      </c>
      <c r="K1398" s="179" t="str">
        <f>1-EXP(-J1398)</f>
      </c>
      <c r="L1398" s="180" t="str">
        <f>IF(G1398=30,1,M1397)</f>
      </c>
      <c r="M1398" s="181" t="str">
        <f>L1398*(1-K1398)</f>
      </c>
    </row>
    <row r="1399">
      <c r="A1399" t="s">
        <v>164</v>
      </c>
      <c r="B1399" t="s">
        <v>112</v>
      </c>
      <c r="C1399" s="32" t="s">
        <v>297</v>
      </c>
      <c r="D1399" t="s">
        <v>112</v>
      </c>
      <c r="E1399" t="s">
        <v>395</v>
      </c>
      <c r="F1399" s="174" t="n">
        <v>2033</v>
      </c>
      <c r="G1399" s="175" t="n">
        <v>67</v>
      </c>
      <c r="H1399" s="176" t="n">
        <v>27212.2026412806</v>
      </c>
      <c r="I1399" s="177" t="n">
        <v>2431625.06497656</v>
      </c>
      <c r="J1399" s="178" t="str">
        <f>IF(I1399&gt;0,H1399/I1399,0)</f>
      </c>
      <c r="K1399" s="179" t="str">
        <f>1-EXP(-J1399)</f>
      </c>
      <c r="L1399" s="180" t="str">
        <f>IF(G1399=30,1,M1398)</f>
      </c>
      <c r="M1399" s="181" t="str">
        <f>L1399*(1-K1399)</f>
      </c>
    </row>
    <row r="1400">
      <c r="A1400" t="s">
        <v>164</v>
      </c>
      <c r="B1400" t="s">
        <v>112</v>
      </c>
      <c r="C1400" s="32" t="s">
        <v>297</v>
      </c>
      <c r="D1400" t="s">
        <v>112</v>
      </c>
      <c r="E1400" t="s">
        <v>395</v>
      </c>
      <c r="F1400" s="174" t="n">
        <v>2033</v>
      </c>
      <c r="G1400" s="175" t="n">
        <v>68</v>
      </c>
      <c r="H1400" s="176" t="n">
        <v>28173.3501674345</v>
      </c>
      <c r="I1400" s="177" t="n">
        <v>2293572.63059919</v>
      </c>
      <c r="J1400" s="178" t="str">
        <f>IF(I1400&gt;0,H1400/I1400,0)</f>
      </c>
      <c r="K1400" s="179" t="str">
        <f>1-EXP(-J1400)</f>
      </c>
      <c r="L1400" s="180" t="str">
        <f>IF(G1400=30,1,M1399)</f>
      </c>
      <c r="M1400" s="181" t="str">
        <f>L1400*(1-K1400)</f>
      </c>
    </row>
    <row r="1401">
      <c r="A1401" t="s">
        <v>164</v>
      </c>
      <c r="B1401" t="s">
        <v>112</v>
      </c>
      <c r="C1401" s="32" t="s">
        <v>297</v>
      </c>
      <c r="D1401" t="s">
        <v>112</v>
      </c>
      <c r="E1401" t="s">
        <v>395</v>
      </c>
      <c r="F1401" s="174" t="n">
        <v>2033</v>
      </c>
      <c r="G1401" s="175" t="n">
        <v>69</v>
      </c>
      <c r="H1401" s="176" t="n">
        <v>29095.2839728485</v>
      </c>
      <c r="I1401" s="177" t="n">
        <v>2155969.08613913</v>
      </c>
      <c r="J1401" s="178" t="str">
        <f>IF(I1401&gt;0,H1401/I1401,0)</f>
      </c>
      <c r="K1401" s="179" t="str">
        <f>1-EXP(-J1401)</f>
      </c>
      <c r="L1401" s="180" t="str">
        <f>IF(G1401=30,1,M1400)</f>
      </c>
      <c r="M1401" s="181" t="str">
        <f>L1401*(1-K1401)</f>
      </c>
    </row>
    <row r="1402">
      <c r="A1402" t="s">
        <v>164</v>
      </c>
      <c r="B1402" t="s">
        <v>112</v>
      </c>
      <c r="C1402" s="32" t="s">
        <v>297</v>
      </c>
      <c r="D1402" t="s">
        <v>112</v>
      </c>
      <c r="E1402" t="s">
        <v>395</v>
      </c>
      <c r="F1402" s="174" t="n">
        <v>2034</v>
      </c>
      <c r="G1402" s="175" t="n">
        <v>30</v>
      </c>
      <c r="H1402" s="176" t="n">
        <v>782.693003770076</v>
      </c>
      <c r="I1402" s="177" t="n">
        <v>4429661.52582106</v>
      </c>
      <c r="J1402" s="178" t="str">
        <f>IF(I1402&gt;0,H1402/I1402,0)</f>
      </c>
      <c r="K1402" s="179" t="str">
        <f>1-EXP(-J1402)</f>
      </c>
      <c r="L1402" s="180" t="str">
        <f>IF(G1402=30,1,M1401)</f>
      </c>
      <c r="M1402" s="181" t="str">
        <f>L1402*(1-K1402)</f>
      </c>
    </row>
    <row r="1403">
      <c r="A1403" t="s">
        <v>164</v>
      </c>
      <c r="B1403" t="s">
        <v>112</v>
      </c>
      <c r="C1403" s="32" t="s">
        <v>297</v>
      </c>
      <c r="D1403" t="s">
        <v>112</v>
      </c>
      <c r="E1403" t="s">
        <v>395</v>
      </c>
      <c r="F1403" s="174" t="n">
        <v>2034</v>
      </c>
      <c r="G1403" s="175" t="n">
        <v>31</v>
      </c>
      <c r="H1403" s="176" t="n">
        <v>966.151160050142</v>
      </c>
      <c r="I1403" s="177" t="n">
        <v>4364271.69849571</v>
      </c>
      <c r="J1403" s="178" t="str">
        <f>IF(I1403&gt;0,H1403/I1403,0)</f>
      </c>
      <c r="K1403" s="179" t="str">
        <f>1-EXP(-J1403)</f>
      </c>
      <c r="L1403" s="180" t="str">
        <f>IF(G1403=30,1,M1402)</f>
      </c>
      <c r="M1403" s="181" t="str">
        <f>L1403*(1-K1403)</f>
      </c>
    </row>
    <row r="1404">
      <c r="A1404" t="s">
        <v>164</v>
      </c>
      <c r="B1404" t="s">
        <v>112</v>
      </c>
      <c r="C1404" s="32" t="s">
        <v>297</v>
      </c>
      <c r="D1404" t="s">
        <v>112</v>
      </c>
      <c r="E1404" t="s">
        <v>395</v>
      </c>
      <c r="F1404" s="174" t="n">
        <v>2034</v>
      </c>
      <c r="G1404" s="175" t="n">
        <v>32</v>
      </c>
      <c r="H1404" s="176" t="n">
        <v>1155.94909233987</v>
      </c>
      <c r="I1404" s="177" t="n">
        <v>4343479.48345724</v>
      </c>
      <c r="J1404" s="178" t="str">
        <f>IF(I1404&gt;0,H1404/I1404,0)</f>
      </c>
      <c r="K1404" s="179" t="str">
        <f>1-EXP(-J1404)</f>
      </c>
      <c r="L1404" s="180" t="str">
        <f>IF(G1404=30,1,M1403)</f>
      </c>
      <c r="M1404" s="181" t="str">
        <f>L1404*(1-K1404)</f>
      </c>
    </row>
    <row r="1405">
      <c r="A1405" t="s">
        <v>164</v>
      </c>
      <c r="B1405" t="s">
        <v>112</v>
      </c>
      <c r="C1405" s="32" t="s">
        <v>297</v>
      </c>
      <c r="D1405" t="s">
        <v>112</v>
      </c>
      <c r="E1405" t="s">
        <v>395</v>
      </c>
      <c r="F1405" s="174" t="n">
        <v>2034</v>
      </c>
      <c r="G1405" s="175" t="n">
        <v>33</v>
      </c>
      <c r="H1405" s="176" t="n">
        <v>1216.5329661356</v>
      </c>
      <c r="I1405" s="177" t="n">
        <v>4323724.65284789</v>
      </c>
      <c r="J1405" s="178" t="str">
        <f>IF(I1405&gt;0,H1405/I1405,0)</f>
      </c>
      <c r="K1405" s="179" t="str">
        <f>1-EXP(-J1405)</f>
      </c>
      <c r="L1405" s="180" t="str">
        <f>IF(G1405=30,1,M1404)</f>
      </c>
      <c r="M1405" s="181" t="str">
        <f>L1405*(1-K1405)</f>
      </c>
    </row>
    <row r="1406">
      <c r="A1406" t="s">
        <v>164</v>
      </c>
      <c r="B1406" t="s">
        <v>112</v>
      </c>
      <c r="C1406" s="32" t="s">
        <v>297</v>
      </c>
      <c r="D1406" t="s">
        <v>112</v>
      </c>
      <c r="E1406" t="s">
        <v>395</v>
      </c>
      <c r="F1406" s="174" t="n">
        <v>2034</v>
      </c>
      <c r="G1406" s="175" t="n">
        <v>34</v>
      </c>
      <c r="H1406" s="176" t="n">
        <v>1288.82982143837</v>
      </c>
      <c r="I1406" s="177" t="n">
        <v>4303695.48530788</v>
      </c>
      <c r="J1406" s="178" t="str">
        <f>IF(I1406&gt;0,H1406/I1406,0)</f>
      </c>
      <c r="K1406" s="179" t="str">
        <f>1-EXP(-J1406)</f>
      </c>
      <c r="L1406" s="180" t="str">
        <f>IF(G1406=30,1,M1405)</f>
      </c>
      <c r="M1406" s="181" t="str">
        <f>L1406*(1-K1406)</f>
      </c>
    </row>
    <row r="1407">
      <c r="A1407" t="s">
        <v>164</v>
      </c>
      <c r="B1407" t="s">
        <v>112</v>
      </c>
      <c r="C1407" s="32" t="s">
        <v>297</v>
      </c>
      <c r="D1407" t="s">
        <v>112</v>
      </c>
      <c r="E1407" t="s">
        <v>395</v>
      </c>
      <c r="F1407" s="174" t="n">
        <v>2034</v>
      </c>
      <c r="G1407" s="175" t="n">
        <v>35</v>
      </c>
      <c r="H1407" s="176" t="n">
        <v>1748.95163844485</v>
      </c>
      <c r="I1407" s="177" t="n">
        <v>4323300.15141782</v>
      </c>
      <c r="J1407" s="178" t="str">
        <f>IF(I1407&gt;0,H1407/I1407,0)</f>
      </c>
      <c r="K1407" s="179" t="str">
        <f>1-EXP(-J1407)</f>
      </c>
      <c r="L1407" s="180" t="str">
        <f>IF(G1407=30,1,M1406)</f>
      </c>
      <c r="M1407" s="181" t="str">
        <f>L1407*(1-K1407)</f>
      </c>
    </row>
    <row r="1408">
      <c r="A1408" t="s">
        <v>164</v>
      </c>
      <c r="B1408" t="s">
        <v>112</v>
      </c>
      <c r="C1408" s="32" t="s">
        <v>297</v>
      </c>
      <c r="D1408" t="s">
        <v>112</v>
      </c>
      <c r="E1408" t="s">
        <v>395</v>
      </c>
      <c r="F1408" s="174" t="n">
        <v>2034</v>
      </c>
      <c r="G1408" s="175" t="n">
        <v>36</v>
      </c>
      <c r="H1408" s="176" t="n">
        <v>1981.75957214565</v>
      </c>
      <c r="I1408" s="177" t="n">
        <v>4381537.94224758</v>
      </c>
      <c r="J1408" s="178" t="str">
        <f>IF(I1408&gt;0,H1408/I1408,0)</f>
      </c>
      <c r="K1408" s="179" t="str">
        <f>1-EXP(-J1408)</f>
      </c>
      <c r="L1408" s="180" t="str">
        <f>IF(G1408=30,1,M1407)</f>
      </c>
      <c r="M1408" s="181" t="str">
        <f>L1408*(1-K1408)</f>
      </c>
    </row>
    <row r="1409">
      <c r="A1409" t="s">
        <v>164</v>
      </c>
      <c r="B1409" t="s">
        <v>112</v>
      </c>
      <c r="C1409" s="32" t="s">
        <v>297</v>
      </c>
      <c r="D1409" t="s">
        <v>112</v>
      </c>
      <c r="E1409" t="s">
        <v>395</v>
      </c>
      <c r="F1409" s="174" t="n">
        <v>2034</v>
      </c>
      <c r="G1409" s="175" t="n">
        <v>37</v>
      </c>
      <c r="H1409" s="176" t="n">
        <v>2395.9247508658</v>
      </c>
      <c r="I1409" s="177" t="n">
        <v>4519076.98517691</v>
      </c>
      <c r="J1409" s="178" t="str">
        <f>IF(I1409&gt;0,H1409/I1409,0)</f>
      </c>
      <c r="K1409" s="179" t="str">
        <f>1-EXP(-J1409)</f>
      </c>
      <c r="L1409" s="180" t="str">
        <f>IF(G1409=30,1,M1408)</f>
      </c>
      <c r="M1409" s="181" t="str">
        <f>L1409*(1-K1409)</f>
      </c>
    </row>
    <row r="1410">
      <c r="A1410" t="s">
        <v>164</v>
      </c>
      <c r="B1410" t="s">
        <v>112</v>
      </c>
      <c r="C1410" s="32" t="s">
        <v>297</v>
      </c>
      <c r="D1410" t="s">
        <v>112</v>
      </c>
      <c r="E1410" t="s">
        <v>395</v>
      </c>
      <c r="F1410" s="174" t="n">
        <v>2034</v>
      </c>
      <c r="G1410" s="175" t="n">
        <v>38</v>
      </c>
      <c r="H1410" s="176" t="n">
        <v>2548.85793822866</v>
      </c>
      <c r="I1410" s="177" t="n">
        <v>4474690.45827496</v>
      </c>
      <c r="J1410" s="178" t="str">
        <f>IF(I1410&gt;0,H1410/I1410,0)</f>
      </c>
      <c r="K1410" s="179" t="str">
        <f>1-EXP(-J1410)</f>
      </c>
      <c r="L1410" s="180" t="str">
        <f>IF(G1410=30,1,M1409)</f>
      </c>
      <c r="M1410" s="181" t="str">
        <f>L1410*(1-K1410)</f>
      </c>
    </row>
    <row r="1411">
      <c r="A1411" t="s">
        <v>164</v>
      </c>
      <c r="B1411" t="s">
        <v>112</v>
      </c>
      <c r="C1411" s="32" t="s">
        <v>297</v>
      </c>
      <c r="D1411" t="s">
        <v>112</v>
      </c>
      <c r="E1411" t="s">
        <v>395</v>
      </c>
      <c r="F1411" s="174" t="n">
        <v>2034</v>
      </c>
      <c r="G1411" s="175" t="n">
        <v>39</v>
      </c>
      <c r="H1411" s="176" t="n">
        <v>2697.97632616406</v>
      </c>
      <c r="I1411" s="177" t="n">
        <v>4400107.56504</v>
      </c>
      <c r="J1411" s="178" t="str">
        <f>IF(I1411&gt;0,H1411/I1411,0)</f>
      </c>
      <c r="K1411" s="179" t="str">
        <f>1-EXP(-J1411)</f>
      </c>
      <c r="L1411" s="180" t="str">
        <f>IF(G1411=30,1,M1410)</f>
      </c>
      <c r="M1411" s="181" t="str">
        <f>L1411*(1-K1411)</f>
      </c>
    </row>
    <row r="1412">
      <c r="A1412" t="s">
        <v>164</v>
      </c>
      <c r="B1412" t="s">
        <v>112</v>
      </c>
      <c r="C1412" s="32" t="s">
        <v>297</v>
      </c>
      <c r="D1412" t="s">
        <v>112</v>
      </c>
      <c r="E1412" t="s">
        <v>395</v>
      </c>
      <c r="F1412" s="174" t="n">
        <v>2034</v>
      </c>
      <c r="G1412" s="175" t="n">
        <v>40</v>
      </c>
      <c r="H1412" s="176" t="n">
        <v>3570.38844961607</v>
      </c>
      <c r="I1412" s="177" t="n">
        <v>4340978.07417753</v>
      </c>
      <c r="J1412" s="178" t="str">
        <f>IF(I1412&gt;0,H1412/I1412,0)</f>
      </c>
      <c r="K1412" s="179" t="str">
        <f>1-EXP(-J1412)</f>
      </c>
      <c r="L1412" s="180" t="str">
        <f>IF(G1412=30,1,M1411)</f>
      </c>
      <c r="M1412" s="181" t="str">
        <f>L1412*(1-K1412)</f>
      </c>
    </row>
    <row r="1413">
      <c r="A1413" t="s">
        <v>164</v>
      </c>
      <c r="B1413" t="s">
        <v>112</v>
      </c>
      <c r="C1413" s="32" t="s">
        <v>297</v>
      </c>
      <c r="D1413" t="s">
        <v>112</v>
      </c>
      <c r="E1413" t="s">
        <v>395</v>
      </c>
      <c r="F1413" s="174" t="n">
        <v>2034</v>
      </c>
      <c r="G1413" s="175" t="n">
        <v>41</v>
      </c>
      <c r="H1413" s="176" t="n">
        <v>3809.37966579364</v>
      </c>
      <c r="I1413" s="177" t="n">
        <v>4284424.22407546</v>
      </c>
      <c r="J1413" s="178" t="str">
        <f>IF(I1413&gt;0,H1413/I1413,0)</f>
      </c>
      <c r="K1413" s="179" t="str">
        <f>1-EXP(-J1413)</f>
      </c>
      <c r="L1413" s="180" t="str">
        <f>IF(G1413=30,1,M1412)</f>
      </c>
      <c r="M1413" s="181" t="str">
        <f>L1413*(1-K1413)</f>
      </c>
    </row>
    <row r="1414">
      <c r="A1414" t="s">
        <v>164</v>
      </c>
      <c r="B1414" t="s">
        <v>112</v>
      </c>
      <c r="C1414" s="32" t="s">
        <v>297</v>
      </c>
      <c r="D1414" t="s">
        <v>112</v>
      </c>
      <c r="E1414" t="s">
        <v>395</v>
      </c>
      <c r="F1414" s="174" t="n">
        <v>2034</v>
      </c>
      <c r="G1414" s="175" t="n">
        <v>42</v>
      </c>
      <c r="H1414" s="176" t="n">
        <v>4158.93736600441</v>
      </c>
      <c r="I1414" s="177" t="n">
        <v>4318959.08367162</v>
      </c>
      <c r="J1414" s="178" t="str">
        <f>IF(I1414&gt;0,H1414/I1414,0)</f>
      </c>
      <c r="K1414" s="179" t="str">
        <f>1-EXP(-J1414)</f>
      </c>
      <c r="L1414" s="180" t="str">
        <f>IF(G1414=30,1,M1413)</f>
      </c>
      <c r="M1414" s="181" t="str">
        <f>L1414*(1-K1414)</f>
      </c>
    </row>
    <row r="1415">
      <c r="A1415" t="s">
        <v>164</v>
      </c>
      <c r="B1415" t="s">
        <v>112</v>
      </c>
      <c r="C1415" s="32" t="s">
        <v>297</v>
      </c>
      <c r="D1415" t="s">
        <v>112</v>
      </c>
      <c r="E1415" t="s">
        <v>395</v>
      </c>
      <c r="F1415" s="174" t="n">
        <v>2034</v>
      </c>
      <c r="G1415" s="175" t="n">
        <v>43</v>
      </c>
      <c r="H1415" s="176" t="n">
        <v>4537.15147130701</v>
      </c>
      <c r="I1415" s="177" t="n">
        <v>4333585.59733898</v>
      </c>
      <c r="J1415" s="178" t="str">
        <f>IF(I1415&gt;0,H1415/I1415,0)</f>
      </c>
      <c r="K1415" s="179" t="str">
        <f>1-EXP(-J1415)</f>
      </c>
      <c r="L1415" s="180" t="str">
        <f>IF(G1415=30,1,M1414)</f>
      </c>
      <c r="M1415" s="181" t="str">
        <f>L1415*(1-K1415)</f>
      </c>
    </row>
    <row r="1416">
      <c r="A1416" t="s">
        <v>164</v>
      </c>
      <c r="B1416" t="s">
        <v>112</v>
      </c>
      <c r="C1416" s="32" t="s">
        <v>297</v>
      </c>
      <c r="D1416" t="s">
        <v>112</v>
      </c>
      <c r="E1416" t="s">
        <v>395</v>
      </c>
      <c r="F1416" s="174" t="n">
        <v>2034</v>
      </c>
      <c r="G1416" s="175" t="n">
        <v>44</v>
      </c>
      <c r="H1416" s="176" t="n">
        <v>6868.50611759385</v>
      </c>
      <c r="I1416" s="177" t="n">
        <v>6378974.46194279</v>
      </c>
      <c r="J1416" s="178" t="str">
        <f>IF(I1416&gt;0,H1416/I1416,0)</f>
      </c>
      <c r="K1416" s="179" t="str">
        <f>1-EXP(-J1416)</f>
      </c>
      <c r="L1416" s="180" t="str">
        <f>IF(G1416=30,1,M1415)</f>
      </c>
      <c r="M1416" s="181" t="str">
        <f>L1416*(1-K1416)</f>
      </c>
    </row>
    <row r="1417">
      <c r="A1417" t="s">
        <v>164</v>
      </c>
      <c r="B1417" t="s">
        <v>112</v>
      </c>
      <c r="C1417" s="32" t="s">
        <v>297</v>
      </c>
      <c r="D1417" t="s">
        <v>112</v>
      </c>
      <c r="E1417" t="s">
        <v>395</v>
      </c>
      <c r="F1417" s="174" t="n">
        <v>2034</v>
      </c>
      <c r="G1417" s="175" t="n">
        <v>45</v>
      </c>
      <c r="H1417" s="176" t="n">
        <v>6305.74645629903</v>
      </c>
      <c r="I1417" s="177" t="n">
        <v>4285036.04391432</v>
      </c>
      <c r="J1417" s="178" t="str">
        <f>IF(I1417&gt;0,H1417/I1417,0)</f>
      </c>
      <c r="K1417" s="179" t="str">
        <f>1-EXP(-J1417)</f>
      </c>
      <c r="L1417" s="180" t="str">
        <f>IF(G1417=30,1,M1416)</f>
      </c>
      <c r="M1417" s="181" t="str">
        <f>L1417*(1-K1417)</f>
      </c>
    </row>
    <row r="1418">
      <c r="A1418" t="s">
        <v>164</v>
      </c>
      <c r="B1418" t="s">
        <v>112</v>
      </c>
      <c r="C1418" s="32" t="s">
        <v>297</v>
      </c>
      <c r="D1418" t="s">
        <v>112</v>
      </c>
      <c r="E1418" t="s">
        <v>395</v>
      </c>
      <c r="F1418" s="174" t="n">
        <v>2034</v>
      </c>
      <c r="G1418" s="175" t="n">
        <v>46</v>
      </c>
      <c r="H1418" s="176" t="n">
        <v>6867.33891484822</v>
      </c>
      <c r="I1418" s="177" t="n">
        <v>4263033.53784956</v>
      </c>
      <c r="J1418" s="178" t="str">
        <f>IF(I1418&gt;0,H1418/I1418,0)</f>
      </c>
      <c r="K1418" s="179" t="str">
        <f>1-EXP(-J1418)</f>
      </c>
      <c r="L1418" s="180" t="str">
        <f>IF(G1418=30,1,M1417)</f>
      </c>
      <c r="M1418" s="181" t="str">
        <f>L1418*(1-K1418)</f>
      </c>
    </row>
    <row r="1419">
      <c r="A1419" t="s">
        <v>164</v>
      </c>
      <c r="B1419" t="s">
        <v>112</v>
      </c>
      <c r="C1419" s="32" t="s">
        <v>297</v>
      </c>
      <c r="D1419" t="s">
        <v>112</v>
      </c>
      <c r="E1419" t="s">
        <v>395</v>
      </c>
      <c r="F1419" s="174" t="n">
        <v>2034</v>
      </c>
      <c r="G1419" s="175" t="n">
        <v>47</v>
      </c>
      <c r="H1419" s="176" t="n">
        <v>7287.17813665806</v>
      </c>
      <c r="I1419" s="177" t="n">
        <v>4127488.96735927</v>
      </c>
      <c r="J1419" s="178" t="str">
        <f>IF(I1419&gt;0,H1419/I1419,0)</f>
      </c>
      <c r="K1419" s="179" t="str">
        <f>1-EXP(-J1419)</f>
      </c>
      <c r="L1419" s="180" t="str">
        <f>IF(G1419=30,1,M1418)</f>
      </c>
      <c r="M1419" s="181" t="str">
        <f>L1419*(1-K1419)</f>
      </c>
    </row>
    <row r="1420">
      <c r="A1420" t="s">
        <v>164</v>
      </c>
      <c r="B1420" t="s">
        <v>112</v>
      </c>
      <c r="C1420" s="32" t="s">
        <v>297</v>
      </c>
      <c r="D1420" t="s">
        <v>112</v>
      </c>
      <c r="E1420" t="s">
        <v>395</v>
      </c>
      <c r="F1420" s="174" t="n">
        <v>2034</v>
      </c>
      <c r="G1420" s="175" t="n">
        <v>48</v>
      </c>
      <c r="H1420" s="176" t="n">
        <v>7908.29585691895</v>
      </c>
      <c r="I1420" s="177" t="n">
        <v>4087858.11224162</v>
      </c>
      <c r="J1420" s="178" t="str">
        <f>IF(I1420&gt;0,H1420/I1420,0)</f>
      </c>
      <c r="K1420" s="179" t="str">
        <f>1-EXP(-J1420)</f>
      </c>
      <c r="L1420" s="180" t="str">
        <f>IF(G1420=30,1,M1419)</f>
      </c>
      <c r="M1420" s="181" t="str">
        <f>L1420*(1-K1420)</f>
      </c>
    </row>
    <row r="1421">
      <c r="A1421" t="s">
        <v>164</v>
      </c>
      <c r="B1421" t="s">
        <v>112</v>
      </c>
      <c r="C1421" s="32" t="s">
        <v>297</v>
      </c>
      <c r="D1421" t="s">
        <v>112</v>
      </c>
      <c r="E1421" t="s">
        <v>395</v>
      </c>
      <c r="F1421" s="174" t="n">
        <v>2034</v>
      </c>
      <c r="G1421" s="175" t="n">
        <v>49</v>
      </c>
      <c r="H1421" s="176" t="n">
        <v>8774.162908756</v>
      </c>
      <c r="I1421" s="177" t="n">
        <v>4139676.36342141</v>
      </c>
      <c r="J1421" s="178" t="str">
        <f>IF(I1421&gt;0,H1421/I1421,0)</f>
      </c>
      <c r="K1421" s="179" t="str">
        <f>1-EXP(-J1421)</f>
      </c>
      <c r="L1421" s="180" t="str">
        <f>IF(G1421=30,1,M1420)</f>
      </c>
      <c r="M1421" s="181" t="str">
        <f>L1421*(1-K1421)</f>
      </c>
    </row>
    <row r="1422">
      <c r="A1422" t="s">
        <v>164</v>
      </c>
      <c r="B1422" t="s">
        <v>112</v>
      </c>
      <c r="C1422" s="32" t="s">
        <v>297</v>
      </c>
      <c r="D1422" t="s">
        <v>112</v>
      </c>
      <c r="E1422" t="s">
        <v>395</v>
      </c>
      <c r="F1422" s="174" t="n">
        <v>2034</v>
      </c>
      <c r="G1422" s="175" t="n">
        <v>50</v>
      </c>
      <c r="H1422" s="176" t="n">
        <v>10347.1644992363</v>
      </c>
      <c r="I1422" s="177" t="n">
        <v>4215253.47207591</v>
      </c>
      <c r="J1422" s="178" t="str">
        <f>IF(I1422&gt;0,H1422/I1422,0)</f>
      </c>
      <c r="K1422" s="179" t="str">
        <f>1-EXP(-J1422)</f>
      </c>
      <c r="L1422" s="180" t="str">
        <f>IF(G1422=30,1,M1421)</f>
      </c>
      <c r="M1422" s="181" t="str">
        <f>L1422*(1-K1422)</f>
      </c>
    </row>
    <row r="1423">
      <c r="A1423" t="s">
        <v>164</v>
      </c>
      <c r="B1423" t="s">
        <v>112</v>
      </c>
      <c r="C1423" s="32" t="s">
        <v>297</v>
      </c>
      <c r="D1423" t="s">
        <v>112</v>
      </c>
      <c r="E1423" t="s">
        <v>395</v>
      </c>
      <c r="F1423" s="174" t="n">
        <v>2034</v>
      </c>
      <c r="G1423" s="175" t="n">
        <v>51</v>
      </c>
      <c r="H1423" s="176" t="n">
        <v>11224.7251983166</v>
      </c>
      <c r="I1423" s="177" t="n">
        <v>4182333.83114874</v>
      </c>
      <c r="J1423" s="178" t="str">
        <f>IF(I1423&gt;0,H1423/I1423,0)</f>
      </c>
      <c r="K1423" s="179" t="str">
        <f>1-EXP(-J1423)</f>
      </c>
      <c r="L1423" s="180" t="str">
        <f>IF(G1423=30,1,M1422)</f>
      </c>
      <c r="M1423" s="181" t="str">
        <f>L1423*(1-K1423)</f>
      </c>
    </row>
    <row r="1424">
      <c r="A1424" t="s">
        <v>164</v>
      </c>
      <c r="B1424" t="s">
        <v>112</v>
      </c>
      <c r="C1424" s="32" t="s">
        <v>297</v>
      </c>
      <c r="D1424" t="s">
        <v>112</v>
      </c>
      <c r="E1424" t="s">
        <v>395</v>
      </c>
      <c r="F1424" s="174" t="n">
        <v>2034</v>
      </c>
      <c r="G1424" s="175" t="n">
        <v>52</v>
      </c>
      <c r="H1424" s="176" t="n">
        <v>11856.0723404478</v>
      </c>
      <c r="I1424" s="177" t="n">
        <v>4039712.95150568</v>
      </c>
      <c r="J1424" s="178" t="str">
        <f>IF(I1424&gt;0,H1424/I1424,0)</f>
      </c>
      <c r="K1424" s="179" t="str">
        <f>1-EXP(-J1424)</f>
      </c>
      <c r="L1424" s="180" t="str">
        <f>IF(G1424=30,1,M1423)</f>
      </c>
      <c r="M1424" s="181" t="str">
        <f>L1424*(1-K1424)</f>
      </c>
    </row>
    <row r="1425">
      <c r="A1425" t="s">
        <v>164</v>
      </c>
      <c r="B1425" t="s">
        <v>112</v>
      </c>
      <c r="C1425" s="32" t="s">
        <v>297</v>
      </c>
      <c r="D1425" t="s">
        <v>112</v>
      </c>
      <c r="E1425" t="s">
        <v>395</v>
      </c>
      <c r="F1425" s="174" t="n">
        <v>2034</v>
      </c>
      <c r="G1425" s="175" t="n">
        <v>53</v>
      </c>
      <c r="H1425" s="176" t="n">
        <v>12683.7845796516</v>
      </c>
      <c r="I1425" s="177" t="n">
        <v>3957689.81707711</v>
      </c>
      <c r="J1425" s="178" t="str">
        <f>IF(I1425&gt;0,H1425/I1425,0)</f>
      </c>
      <c r="K1425" s="179" t="str">
        <f>1-EXP(-J1425)</f>
      </c>
      <c r="L1425" s="180" t="str">
        <f>IF(G1425=30,1,M1424)</f>
      </c>
      <c r="M1425" s="181" t="str">
        <f>L1425*(1-K1425)</f>
      </c>
    </row>
    <row r="1426">
      <c r="A1426" t="s">
        <v>164</v>
      </c>
      <c r="B1426" t="s">
        <v>112</v>
      </c>
      <c r="C1426" s="32" t="s">
        <v>297</v>
      </c>
      <c r="D1426" t="s">
        <v>112</v>
      </c>
      <c r="E1426" t="s">
        <v>395</v>
      </c>
      <c r="F1426" s="174" t="n">
        <v>2034</v>
      </c>
      <c r="G1426" s="175" t="n">
        <v>54</v>
      </c>
      <c r="H1426" s="176" t="n">
        <v>13611.5371262049</v>
      </c>
      <c r="I1426" s="177" t="n">
        <v>3890576.79344405</v>
      </c>
      <c r="J1426" s="178" t="str">
        <f>IF(I1426&gt;0,H1426/I1426,0)</f>
      </c>
      <c r="K1426" s="179" t="str">
        <f>1-EXP(-J1426)</f>
      </c>
      <c r="L1426" s="180" t="str">
        <f>IF(G1426=30,1,M1425)</f>
      </c>
      <c r="M1426" s="181" t="str">
        <f>L1426*(1-K1426)</f>
      </c>
    </row>
    <row r="1427">
      <c r="A1427" t="s">
        <v>164</v>
      </c>
      <c r="B1427" t="s">
        <v>112</v>
      </c>
      <c r="C1427" s="32" t="s">
        <v>297</v>
      </c>
      <c r="D1427" t="s">
        <v>112</v>
      </c>
      <c r="E1427" t="s">
        <v>395</v>
      </c>
      <c r="F1427" s="174" t="n">
        <v>2034</v>
      </c>
      <c r="G1427" s="175" t="n">
        <v>55</v>
      </c>
      <c r="H1427" s="176" t="n">
        <v>14617.704126259</v>
      </c>
      <c r="I1427" s="177" t="n">
        <v>3817599.81785906</v>
      </c>
      <c r="J1427" s="178" t="str">
        <f>IF(I1427&gt;0,H1427/I1427,0)</f>
      </c>
      <c r="K1427" s="179" t="str">
        <f>1-EXP(-J1427)</f>
      </c>
      <c r="L1427" s="180" t="str">
        <f>IF(G1427=30,1,M1426)</f>
      </c>
      <c r="M1427" s="181" t="str">
        <f>L1427*(1-K1427)</f>
      </c>
    </row>
    <row r="1428">
      <c r="A1428" t="s">
        <v>164</v>
      </c>
      <c r="B1428" t="s">
        <v>112</v>
      </c>
      <c r="C1428" s="32" t="s">
        <v>297</v>
      </c>
      <c r="D1428" t="s">
        <v>112</v>
      </c>
      <c r="E1428" t="s">
        <v>395</v>
      </c>
      <c r="F1428" s="174" t="n">
        <v>2034</v>
      </c>
      <c r="G1428" s="175" t="n">
        <v>56</v>
      </c>
      <c r="H1428" s="176" t="n">
        <v>15568.2645139447</v>
      </c>
      <c r="I1428" s="177" t="n">
        <v>3724905.44253867</v>
      </c>
      <c r="J1428" s="178" t="str">
        <f>IF(I1428&gt;0,H1428/I1428,0)</f>
      </c>
      <c r="K1428" s="179" t="str">
        <f>1-EXP(-J1428)</f>
      </c>
      <c r="L1428" s="180" t="str">
        <f>IF(G1428=30,1,M1427)</f>
      </c>
      <c r="M1428" s="181" t="str">
        <f>L1428*(1-K1428)</f>
      </c>
    </row>
    <row r="1429">
      <c r="A1429" t="s">
        <v>164</v>
      </c>
      <c r="B1429" t="s">
        <v>112</v>
      </c>
      <c r="C1429" s="32" t="s">
        <v>297</v>
      </c>
      <c r="D1429" t="s">
        <v>112</v>
      </c>
      <c r="E1429" t="s">
        <v>395</v>
      </c>
      <c r="F1429" s="174" t="n">
        <v>2034</v>
      </c>
      <c r="G1429" s="175" t="n">
        <v>57</v>
      </c>
      <c r="H1429" s="176" t="n">
        <v>16672.5680367034</v>
      </c>
      <c r="I1429" s="177" t="n">
        <v>3648281.63963056</v>
      </c>
      <c r="J1429" s="178" t="str">
        <f>IF(I1429&gt;0,H1429/I1429,0)</f>
      </c>
      <c r="K1429" s="179" t="str">
        <f>1-EXP(-J1429)</f>
      </c>
      <c r="L1429" s="180" t="str">
        <f>IF(G1429=30,1,M1428)</f>
      </c>
      <c r="M1429" s="181" t="str">
        <f>L1429*(1-K1429)</f>
      </c>
    </row>
    <row r="1430">
      <c r="A1430" t="s">
        <v>164</v>
      </c>
      <c r="B1430" t="s">
        <v>112</v>
      </c>
      <c r="C1430" s="32" t="s">
        <v>297</v>
      </c>
      <c r="D1430" t="s">
        <v>112</v>
      </c>
      <c r="E1430" t="s">
        <v>395</v>
      </c>
      <c r="F1430" s="174" t="n">
        <v>2034</v>
      </c>
      <c r="G1430" s="175" t="n">
        <v>58</v>
      </c>
      <c r="H1430" s="176" t="n">
        <v>17777.268190216</v>
      </c>
      <c r="I1430" s="177" t="n">
        <v>3559753.98871241</v>
      </c>
      <c r="J1430" s="178" t="str">
        <f>IF(I1430&gt;0,H1430/I1430,0)</f>
      </c>
      <c r="K1430" s="179" t="str">
        <f>1-EXP(-J1430)</f>
      </c>
      <c r="L1430" s="180" t="str">
        <f>IF(G1430=30,1,M1429)</f>
      </c>
      <c r="M1430" s="181" t="str">
        <f>L1430*(1-K1430)</f>
      </c>
    </row>
    <row r="1431">
      <c r="A1431" t="s">
        <v>164</v>
      </c>
      <c r="B1431" t="s">
        <v>112</v>
      </c>
      <c r="C1431" s="32" t="s">
        <v>297</v>
      </c>
      <c r="D1431" t="s">
        <v>112</v>
      </c>
      <c r="E1431" t="s">
        <v>395</v>
      </c>
      <c r="F1431" s="174" t="n">
        <v>2034</v>
      </c>
      <c r="G1431" s="175" t="n">
        <v>59</v>
      </c>
      <c r="H1431" s="176" t="n">
        <v>18948.3148180102</v>
      </c>
      <c r="I1431" s="177" t="n">
        <v>3469864.29985739</v>
      </c>
      <c r="J1431" s="178" t="str">
        <f>IF(I1431&gt;0,H1431/I1431,0)</f>
      </c>
      <c r="K1431" s="179" t="str">
        <f>1-EXP(-J1431)</f>
      </c>
      <c r="L1431" s="180" t="str">
        <f>IF(G1431=30,1,M1430)</f>
      </c>
      <c r="M1431" s="181" t="str">
        <f>L1431*(1-K1431)</f>
      </c>
    </row>
    <row r="1432">
      <c r="A1432" t="s">
        <v>164</v>
      </c>
      <c r="B1432" t="s">
        <v>112</v>
      </c>
      <c r="C1432" s="32" t="s">
        <v>297</v>
      </c>
      <c r="D1432" t="s">
        <v>112</v>
      </c>
      <c r="E1432" t="s">
        <v>395</v>
      </c>
      <c r="F1432" s="174" t="n">
        <v>2034</v>
      </c>
      <c r="G1432" s="175" t="n">
        <v>60</v>
      </c>
      <c r="H1432" s="176" t="n">
        <v>20222.0453172609</v>
      </c>
      <c r="I1432" s="177" t="n">
        <v>3353195.72370935</v>
      </c>
      <c r="J1432" s="178" t="str">
        <f>IF(I1432&gt;0,H1432/I1432,0)</f>
      </c>
      <c r="K1432" s="179" t="str">
        <f>1-EXP(-J1432)</f>
      </c>
      <c r="L1432" s="180" t="str">
        <f>IF(G1432=30,1,M1431)</f>
      </c>
      <c r="M1432" s="181" t="str">
        <f>L1432*(1-K1432)</f>
      </c>
    </row>
    <row r="1433">
      <c r="A1433" t="s">
        <v>164</v>
      </c>
      <c r="B1433" t="s">
        <v>112</v>
      </c>
      <c r="C1433" s="32" t="s">
        <v>297</v>
      </c>
      <c r="D1433" t="s">
        <v>112</v>
      </c>
      <c r="E1433" t="s">
        <v>395</v>
      </c>
      <c r="F1433" s="174" t="n">
        <v>2034</v>
      </c>
      <c r="G1433" s="175" t="n">
        <v>61</v>
      </c>
      <c r="H1433" s="176" t="n">
        <v>21728.3755635263</v>
      </c>
      <c r="I1433" s="177" t="n">
        <v>3292113.15578824</v>
      </c>
      <c r="J1433" s="178" t="str">
        <f>IF(I1433&gt;0,H1433/I1433,0)</f>
      </c>
      <c r="K1433" s="179" t="str">
        <f>1-EXP(-J1433)</f>
      </c>
      <c r="L1433" s="180" t="str">
        <f>IF(G1433=30,1,M1432)</f>
      </c>
      <c r="M1433" s="181" t="str">
        <f>L1433*(1-K1433)</f>
      </c>
    </row>
    <row r="1434">
      <c r="A1434" t="s">
        <v>164</v>
      </c>
      <c r="B1434" t="s">
        <v>112</v>
      </c>
      <c r="C1434" s="32" t="s">
        <v>297</v>
      </c>
      <c r="D1434" t="s">
        <v>112</v>
      </c>
      <c r="E1434" t="s">
        <v>395</v>
      </c>
      <c r="F1434" s="174" t="n">
        <v>2034</v>
      </c>
      <c r="G1434" s="175" t="n">
        <v>62</v>
      </c>
      <c r="H1434" s="176" t="n">
        <v>22263.86516314</v>
      </c>
      <c r="I1434" s="177" t="n">
        <v>3076987.64862393</v>
      </c>
      <c r="J1434" s="178" t="str">
        <f>IF(I1434&gt;0,H1434/I1434,0)</f>
      </c>
      <c r="K1434" s="179" t="str">
        <f>1-EXP(-J1434)</f>
      </c>
      <c r="L1434" s="180" t="str">
        <f>IF(G1434=30,1,M1433)</f>
      </c>
      <c r="M1434" s="181" t="str">
        <f>L1434*(1-K1434)</f>
      </c>
    </row>
    <row r="1435">
      <c r="A1435" t="s">
        <v>164</v>
      </c>
      <c r="B1435" t="s">
        <v>112</v>
      </c>
      <c r="C1435" s="32" t="s">
        <v>297</v>
      </c>
      <c r="D1435" t="s">
        <v>112</v>
      </c>
      <c r="E1435" t="s">
        <v>395</v>
      </c>
      <c r="F1435" s="174" t="n">
        <v>2034</v>
      </c>
      <c r="G1435" s="175" t="n">
        <v>63</v>
      </c>
      <c r="H1435" s="176" t="n">
        <v>23582.4756223298</v>
      </c>
      <c r="I1435" s="177" t="n">
        <v>2975575.05804347</v>
      </c>
      <c r="J1435" s="178" t="str">
        <f>IF(I1435&gt;0,H1435/I1435,0)</f>
      </c>
      <c r="K1435" s="179" t="str">
        <f>1-EXP(-J1435)</f>
      </c>
      <c r="L1435" s="180" t="str">
        <f>IF(G1435=30,1,M1434)</f>
      </c>
      <c r="M1435" s="181" t="str">
        <f>L1435*(1-K1435)</f>
      </c>
    </row>
    <row r="1436">
      <c r="A1436" t="s">
        <v>164</v>
      </c>
      <c r="B1436" t="s">
        <v>112</v>
      </c>
      <c r="C1436" s="32" t="s">
        <v>297</v>
      </c>
      <c r="D1436" t="s">
        <v>112</v>
      </c>
      <c r="E1436" t="s">
        <v>395</v>
      </c>
      <c r="F1436" s="174" t="n">
        <v>2034</v>
      </c>
      <c r="G1436" s="175" t="n">
        <v>64</v>
      </c>
      <c r="H1436" s="176" t="n">
        <v>24987.1179118109</v>
      </c>
      <c r="I1436" s="177" t="n">
        <v>2877516.66091671</v>
      </c>
      <c r="J1436" s="178" t="str">
        <f>IF(I1436&gt;0,H1436/I1436,0)</f>
      </c>
      <c r="K1436" s="179" t="str">
        <f>1-EXP(-J1436)</f>
      </c>
      <c r="L1436" s="180" t="str">
        <f>IF(G1436=30,1,M1435)</f>
      </c>
      <c r="M1436" s="181" t="str">
        <f>L1436*(1-K1436)</f>
      </c>
    </row>
    <row r="1437">
      <c r="A1437" t="s">
        <v>164</v>
      </c>
      <c r="B1437" t="s">
        <v>112</v>
      </c>
      <c r="C1437" s="32" t="s">
        <v>297</v>
      </c>
      <c r="D1437" t="s">
        <v>112</v>
      </c>
      <c r="E1437" t="s">
        <v>395</v>
      </c>
      <c r="F1437" s="174" t="n">
        <v>2034</v>
      </c>
      <c r="G1437" s="175" t="n">
        <v>65</v>
      </c>
      <c r="H1437" s="176" t="n">
        <v>25463.9393591608</v>
      </c>
      <c r="I1437" s="177" t="n">
        <v>2770263.69819981</v>
      </c>
      <c r="J1437" s="178" t="str">
        <f>IF(I1437&gt;0,H1437/I1437,0)</f>
      </c>
      <c r="K1437" s="179" t="str">
        <f>1-EXP(-J1437)</f>
      </c>
      <c r="L1437" s="180" t="str">
        <f>IF(G1437=30,1,M1436)</f>
      </c>
      <c r="M1437" s="181" t="str">
        <f>L1437*(1-K1437)</f>
      </c>
    </row>
    <row r="1438">
      <c r="A1438" t="s">
        <v>164</v>
      </c>
      <c r="B1438" t="s">
        <v>112</v>
      </c>
      <c r="C1438" s="32" t="s">
        <v>297</v>
      </c>
      <c r="D1438" t="s">
        <v>112</v>
      </c>
      <c r="E1438" t="s">
        <v>395</v>
      </c>
      <c r="F1438" s="174" t="n">
        <v>2034</v>
      </c>
      <c r="G1438" s="175" t="n">
        <v>66</v>
      </c>
      <c r="H1438" s="176" t="n">
        <v>26661.0471505427</v>
      </c>
      <c r="I1438" s="177" t="n">
        <v>2644866.64210486</v>
      </c>
      <c r="J1438" s="178" t="str">
        <f>IF(I1438&gt;0,H1438/I1438,0)</f>
      </c>
      <c r="K1438" s="179" t="str">
        <f>1-EXP(-J1438)</f>
      </c>
      <c r="L1438" s="180" t="str">
        <f>IF(G1438=30,1,M1437)</f>
      </c>
      <c r="M1438" s="181" t="str">
        <f>L1438*(1-K1438)</f>
      </c>
    </row>
    <row r="1439">
      <c r="A1439" t="s">
        <v>164</v>
      </c>
      <c r="B1439" t="s">
        <v>112</v>
      </c>
      <c r="C1439" s="32" t="s">
        <v>297</v>
      </c>
      <c r="D1439" t="s">
        <v>112</v>
      </c>
      <c r="E1439" t="s">
        <v>395</v>
      </c>
      <c r="F1439" s="174" t="n">
        <v>2034</v>
      </c>
      <c r="G1439" s="175" t="n">
        <v>67</v>
      </c>
      <c r="H1439" s="176" t="n">
        <v>27569.4101983956</v>
      </c>
      <c r="I1439" s="177" t="n">
        <v>2490717.46588644</v>
      </c>
      <c r="J1439" s="178" t="str">
        <f>IF(I1439&gt;0,H1439/I1439,0)</f>
      </c>
      <c r="K1439" s="179" t="str">
        <f>1-EXP(-J1439)</f>
      </c>
      <c r="L1439" s="180" t="str">
        <f>IF(G1439=30,1,M1438)</f>
      </c>
      <c r="M1439" s="181" t="str">
        <f>L1439*(1-K1439)</f>
      </c>
    </row>
    <row r="1440">
      <c r="A1440" t="s">
        <v>164</v>
      </c>
      <c r="B1440" t="s">
        <v>112</v>
      </c>
      <c r="C1440" s="32" t="s">
        <v>297</v>
      </c>
      <c r="D1440" t="s">
        <v>112</v>
      </c>
      <c r="E1440" t="s">
        <v>395</v>
      </c>
      <c r="F1440" s="174" t="n">
        <v>2034</v>
      </c>
      <c r="G1440" s="175" t="n">
        <v>68</v>
      </c>
      <c r="H1440" s="176" t="n">
        <v>28793.5011240634</v>
      </c>
      <c r="I1440" s="177" t="n">
        <v>2369504.43718229</v>
      </c>
      <c r="J1440" s="178" t="str">
        <f>IF(I1440&gt;0,H1440/I1440,0)</f>
      </c>
      <c r="K1440" s="179" t="str">
        <f>1-EXP(-J1440)</f>
      </c>
      <c r="L1440" s="180" t="str">
        <f>IF(G1440=30,1,M1439)</f>
      </c>
      <c r="M1440" s="181" t="str">
        <f>L1440*(1-K1440)</f>
      </c>
    </row>
    <row r="1441">
      <c r="A1441" t="s">
        <v>164</v>
      </c>
      <c r="B1441" t="s">
        <v>112</v>
      </c>
      <c r="C1441" s="32" t="s">
        <v>297</v>
      </c>
      <c r="D1441" t="s">
        <v>112</v>
      </c>
      <c r="E1441" t="s">
        <v>395</v>
      </c>
      <c r="F1441" s="174" t="n">
        <v>2034</v>
      </c>
      <c r="G1441" s="175" t="n">
        <v>69</v>
      </c>
      <c r="H1441" s="176" t="n">
        <v>29760.8146474671</v>
      </c>
      <c r="I1441" s="177" t="n">
        <v>2229313.05701056</v>
      </c>
      <c r="J1441" s="178" t="str">
        <f>IF(I1441&gt;0,H1441/I1441,0)</f>
      </c>
      <c r="K1441" s="179" t="str">
        <f>1-EXP(-J1441)</f>
      </c>
      <c r="L1441" s="180" t="str">
        <f>IF(G1441=30,1,M1440)</f>
      </c>
      <c r="M1441" s="181" t="str">
        <f>L1441*(1-K1441)</f>
      </c>
    </row>
    <row r="1442">
      <c r="A1442" t="s">
        <v>164</v>
      </c>
      <c r="B1442" t="s">
        <v>112</v>
      </c>
      <c r="C1442" s="32" t="s">
        <v>297</v>
      </c>
      <c r="D1442" t="s">
        <v>112</v>
      </c>
      <c r="E1442" t="s">
        <v>395</v>
      </c>
      <c r="F1442" s="174" t="n">
        <v>2035</v>
      </c>
      <c r="G1442" s="175" t="n">
        <v>30</v>
      </c>
      <c r="H1442" s="176" t="n">
        <v>808.760449094376</v>
      </c>
      <c r="I1442" s="177" t="n">
        <v>4552852.62019601</v>
      </c>
      <c r="J1442" s="178" t="str">
        <f>IF(I1442&gt;0,H1442/I1442,0)</f>
      </c>
      <c r="K1442" s="179" t="str">
        <f>1-EXP(-J1442)</f>
      </c>
      <c r="L1442" s="180" t="str">
        <f>IF(G1442=30,1,M1441)</f>
      </c>
      <c r="M1442" s="181" t="str">
        <f>L1442*(1-K1442)</f>
      </c>
    </row>
    <row r="1443">
      <c r="A1443" t="s">
        <v>164</v>
      </c>
      <c r="B1443" t="s">
        <v>112</v>
      </c>
      <c r="C1443" s="32" t="s">
        <v>297</v>
      </c>
      <c r="D1443" t="s">
        <v>112</v>
      </c>
      <c r="E1443" t="s">
        <v>395</v>
      </c>
      <c r="F1443" s="174" t="n">
        <v>2035</v>
      </c>
      <c r="G1443" s="175" t="n">
        <v>31</v>
      </c>
      <c r="H1443" s="176" t="n">
        <v>984.700287497179</v>
      </c>
      <c r="I1443" s="177" t="n">
        <v>4424108.03798398</v>
      </c>
      <c r="J1443" s="178" t="str">
        <f>IF(I1443&gt;0,H1443/I1443,0)</f>
      </c>
      <c r="K1443" s="179" t="str">
        <f>1-EXP(-J1443)</f>
      </c>
      <c r="L1443" s="180" t="str">
        <f>IF(G1443=30,1,M1442)</f>
      </c>
      <c r="M1443" s="181" t="str">
        <f>L1443*(1-K1443)</f>
      </c>
    </row>
    <row r="1444">
      <c r="A1444" t="s">
        <v>164</v>
      </c>
      <c r="B1444" t="s">
        <v>112</v>
      </c>
      <c r="C1444" s="32" t="s">
        <v>297</v>
      </c>
      <c r="D1444" t="s">
        <v>112</v>
      </c>
      <c r="E1444" t="s">
        <v>395</v>
      </c>
      <c r="F1444" s="174" t="n">
        <v>2035</v>
      </c>
      <c r="G1444" s="175" t="n">
        <v>32</v>
      </c>
      <c r="H1444" s="176" t="n">
        <v>1021.78689935896</v>
      </c>
      <c r="I1444" s="177" t="n">
        <v>4358877.56557047</v>
      </c>
      <c r="J1444" s="178" t="str">
        <f>IF(I1444&gt;0,H1444/I1444,0)</f>
      </c>
      <c r="K1444" s="179" t="str">
        <f>1-EXP(-J1444)</f>
      </c>
      <c r="L1444" s="180" t="str">
        <f>IF(G1444=30,1,M1443)</f>
      </c>
      <c r="M1444" s="181" t="str">
        <f>L1444*(1-K1444)</f>
      </c>
    </row>
    <row r="1445">
      <c r="A1445" t="s">
        <v>164</v>
      </c>
      <c r="B1445" t="s">
        <v>112</v>
      </c>
      <c r="C1445" s="32" t="s">
        <v>297</v>
      </c>
      <c r="D1445" t="s">
        <v>112</v>
      </c>
      <c r="E1445" t="s">
        <v>395</v>
      </c>
      <c r="F1445" s="174" t="n">
        <v>2035</v>
      </c>
      <c r="G1445" s="175" t="n">
        <v>33</v>
      </c>
      <c r="H1445" s="176" t="n">
        <v>1225.14738533206</v>
      </c>
      <c r="I1445" s="177" t="n">
        <v>4337721.45423099</v>
      </c>
      <c r="J1445" s="178" t="str">
        <f>IF(I1445&gt;0,H1445/I1445,0)</f>
      </c>
      <c r="K1445" s="179" t="str">
        <f>1-EXP(-J1445)</f>
      </c>
      <c r="L1445" s="180" t="str">
        <f>IF(G1445=30,1,M1444)</f>
      </c>
      <c r="M1445" s="181" t="str">
        <f>L1445*(1-K1445)</f>
      </c>
    </row>
    <row r="1446">
      <c r="A1446" t="s">
        <v>164</v>
      </c>
      <c r="B1446" t="s">
        <v>112</v>
      </c>
      <c r="C1446" s="32" t="s">
        <v>297</v>
      </c>
      <c r="D1446" t="s">
        <v>112</v>
      </c>
      <c r="E1446" t="s">
        <v>395</v>
      </c>
      <c r="F1446" s="174" t="n">
        <v>2035</v>
      </c>
      <c r="G1446" s="175" t="n">
        <v>34</v>
      </c>
      <c r="H1446" s="176" t="n">
        <v>1296.62150825137</v>
      </c>
      <c r="I1446" s="177" t="n">
        <v>4317717.93276423</v>
      </c>
      <c r="J1446" s="178" t="str">
        <f>IF(I1446&gt;0,H1446/I1446,0)</f>
      </c>
      <c r="K1446" s="179" t="str">
        <f>1-EXP(-J1446)</f>
      </c>
      <c r="L1446" s="180" t="str">
        <f>IF(G1446=30,1,M1445)</f>
      </c>
      <c r="M1446" s="181" t="str">
        <f>L1446*(1-K1446)</f>
      </c>
    </row>
    <row r="1447">
      <c r="A1447" t="s">
        <v>164</v>
      </c>
      <c r="B1447" t="s">
        <v>112</v>
      </c>
      <c r="C1447" s="32" t="s">
        <v>297</v>
      </c>
      <c r="D1447" t="s">
        <v>112</v>
      </c>
      <c r="E1447" t="s">
        <v>395</v>
      </c>
      <c r="F1447" s="174" t="n">
        <v>2035</v>
      </c>
      <c r="G1447" s="175" t="n">
        <v>35</v>
      </c>
      <c r="H1447" s="176" t="n">
        <v>1737.39010831328</v>
      </c>
      <c r="I1447" s="177" t="n">
        <v>4297390.44872987</v>
      </c>
      <c r="J1447" s="178" t="str">
        <f>IF(I1447&gt;0,H1447/I1447,0)</f>
      </c>
      <c r="K1447" s="179" t="str">
        <f>1-EXP(-J1447)</f>
      </c>
      <c r="L1447" s="180" t="str">
        <f>IF(G1447=30,1,M1446)</f>
      </c>
      <c r="M1447" s="181" t="str">
        <f>L1447*(1-K1447)</f>
      </c>
    </row>
    <row r="1448">
      <c r="A1448" t="s">
        <v>164</v>
      </c>
      <c r="B1448" t="s">
        <v>112</v>
      </c>
      <c r="C1448" s="32" t="s">
        <v>297</v>
      </c>
      <c r="D1448" t="s">
        <v>112</v>
      </c>
      <c r="E1448" t="s">
        <v>395</v>
      </c>
      <c r="F1448" s="174" t="n">
        <v>2035</v>
      </c>
      <c r="G1448" s="175" t="n">
        <v>36</v>
      </c>
      <c r="H1448" s="176" t="n">
        <v>1950.67398282648</v>
      </c>
      <c r="I1448" s="177" t="n">
        <v>4316177.31312162</v>
      </c>
      <c r="J1448" s="178" t="str">
        <f>IF(I1448&gt;0,H1448/I1448,0)</f>
      </c>
      <c r="K1448" s="179" t="str">
        <f>1-EXP(-J1448)</f>
      </c>
      <c r="L1448" s="180" t="str">
        <f>IF(G1448=30,1,M1447)</f>
      </c>
      <c r="M1448" s="181" t="str">
        <f>L1448*(1-K1448)</f>
      </c>
    </row>
    <row r="1449">
      <c r="A1449" t="s">
        <v>164</v>
      </c>
      <c r="B1449" t="s">
        <v>112</v>
      </c>
      <c r="C1449" s="32" t="s">
        <v>297</v>
      </c>
      <c r="D1449" t="s">
        <v>112</v>
      </c>
      <c r="E1449" t="s">
        <v>395</v>
      </c>
      <c r="F1449" s="174" t="n">
        <v>2035</v>
      </c>
      <c r="G1449" s="175" t="n">
        <v>37</v>
      </c>
      <c r="H1449" s="176" t="n">
        <v>2125.55162550919</v>
      </c>
      <c r="I1449" s="177" t="n">
        <v>4374214.64096426</v>
      </c>
      <c r="J1449" s="178" t="str">
        <f>IF(I1449&gt;0,H1449/I1449,0)</f>
      </c>
      <c r="K1449" s="179" t="str">
        <f>1-EXP(-J1449)</f>
      </c>
      <c r="L1449" s="180" t="str">
        <f>IF(G1449=30,1,M1448)</f>
      </c>
      <c r="M1449" s="181" t="str">
        <f>L1449*(1-K1449)</f>
      </c>
    </row>
    <row r="1450">
      <c r="A1450" t="s">
        <v>164</v>
      </c>
      <c r="B1450" t="s">
        <v>112</v>
      </c>
      <c r="C1450" s="32" t="s">
        <v>297</v>
      </c>
      <c r="D1450" t="s">
        <v>112</v>
      </c>
      <c r="E1450" t="s">
        <v>395</v>
      </c>
      <c r="F1450" s="174" t="n">
        <v>2035</v>
      </c>
      <c r="G1450" s="175" t="n">
        <v>38</v>
      </c>
      <c r="H1450" s="176" t="n">
        <v>2567.97431961046</v>
      </c>
      <c r="I1450" s="177" t="n">
        <v>4510764.82370315</v>
      </c>
      <c r="J1450" s="178" t="str">
        <f>IF(I1450&gt;0,H1450/I1450,0)</f>
      </c>
      <c r="K1450" s="179" t="str">
        <f>1-EXP(-J1450)</f>
      </c>
      <c r="L1450" s="180" t="str">
        <f>IF(G1450=30,1,M1449)</f>
      </c>
      <c r="M1450" s="181" t="str">
        <f>L1450*(1-K1450)</f>
      </c>
    </row>
    <row r="1451">
      <c r="A1451" t="s">
        <v>164</v>
      </c>
      <c r="B1451" t="s">
        <v>112</v>
      </c>
      <c r="C1451" s="32" t="s">
        <v>297</v>
      </c>
      <c r="D1451" t="s">
        <v>112</v>
      </c>
      <c r="E1451" t="s">
        <v>395</v>
      </c>
      <c r="F1451" s="174" t="n">
        <v>2035</v>
      </c>
      <c r="G1451" s="175" t="n">
        <v>39</v>
      </c>
      <c r="H1451" s="176" t="n">
        <v>2736.30420069645</v>
      </c>
      <c r="I1451" s="177" t="n">
        <v>4465861.34525947</v>
      </c>
      <c r="J1451" s="178" t="str">
        <f>IF(I1451&gt;0,H1451/I1451,0)</f>
      </c>
      <c r="K1451" s="179" t="str">
        <f>1-EXP(-J1451)</f>
      </c>
      <c r="L1451" s="180" t="str">
        <f>IF(G1451=30,1,M1450)</f>
      </c>
      <c r="M1451" s="181" t="str">
        <f>L1451*(1-K1451)</f>
      </c>
    </row>
    <row r="1452">
      <c r="A1452" t="s">
        <v>164</v>
      </c>
      <c r="B1452" t="s">
        <v>112</v>
      </c>
      <c r="C1452" s="32" t="s">
        <v>297</v>
      </c>
      <c r="D1452" t="s">
        <v>112</v>
      </c>
      <c r="E1452" t="s">
        <v>395</v>
      </c>
      <c r="F1452" s="174" t="n">
        <v>2035</v>
      </c>
      <c r="G1452" s="175" t="n">
        <v>40</v>
      </c>
      <c r="H1452" s="176" t="n">
        <v>3605.2876878037</v>
      </c>
      <c r="I1452" s="177" t="n">
        <v>4390773.80312878</v>
      </c>
      <c r="J1452" s="178" t="str">
        <f>IF(I1452&gt;0,H1452/I1452,0)</f>
      </c>
      <c r="K1452" s="179" t="str">
        <f>1-EXP(-J1452)</f>
      </c>
      <c r="L1452" s="180" t="str">
        <f>IF(G1452=30,1,M1451)</f>
      </c>
      <c r="M1452" s="181" t="str">
        <f>L1452*(1-K1452)</f>
      </c>
    </row>
    <row r="1453">
      <c r="A1453" t="s">
        <v>164</v>
      </c>
      <c r="B1453" t="s">
        <v>112</v>
      </c>
      <c r="C1453" s="32" t="s">
        <v>297</v>
      </c>
      <c r="D1453" t="s">
        <v>112</v>
      </c>
      <c r="E1453" t="s">
        <v>395</v>
      </c>
      <c r="F1453" s="174" t="n">
        <v>2035</v>
      </c>
      <c r="G1453" s="175" t="n">
        <v>41</v>
      </c>
      <c r="H1453" s="176" t="n">
        <v>3842.95082668167</v>
      </c>
      <c r="I1453" s="177" t="n">
        <v>4330263.34401818</v>
      </c>
      <c r="J1453" s="178" t="str">
        <f>IF(I1453&gt;0,H1453/I1453,0)</f>
      </c>
      <c r="K1453" s="179" t="str">
        <f>1-EXP(-J1453)</f>
      </c>
      <c r="L1453" s="180" t="str">
        <f>IF(G1453=30,1,M1452)</f>
      </c>
      <c r="M1453" s="181" t="str">
        <f>L1453*(1-K1453)</f>
      </c>
    </row>
    <row r="1454">
      <c r="A1454" t="s">
        <v>164</v>
      </c>
      <c r="B1454" t="s">
        <v>112</v>
      </c>
      <c r="C1454" s="32" t="s">
        <v>297</v>
      </c>
      <c r="D1454" t="s">
        <v>112</v>
      </c>
      <c r="E1454" t="s">
        <v>395</v>
      </c>
      <c r="F1454" s="174" t="n">
        <v>2035</v>
      </c>
      <c r="G1454" s="175" t="n">
        <v>42</v>
      </c>
      <c r="H1454" s="176" t="n">
        <v>4110.52772890328</v>
      </c>
      <c r="I1454" s="177" t="n">
        <v>4273793.95097627</v>
      </c>
      <c r="J1454" s="178" t="str">
        <f>IF(I1454&gt;0,H1454/I1454,0)</f>
      </c>
      <c r="K1454" s="179" t="str">
        <f>1-EXP(-J1454)</f>
      </c>
      <c r="L1454" s="180" t="str">
        <f>IF(G1454=30,1,M1453)</f>
      </c>
      <c r="M1454" s="181" t="str">
        <f>L1454*(1-K1454)</f>
      </c>
    </row>
    <row r="1455">
      <c r="A1455" t="s">
        <v>164</v>
      </c>
      <c r="B1455" t="s">
        <v>112</v>
      </c>
      <c r="C1455" s="32" t="s">
        <v>297</v>
      </c>
      <c r="D1455" t="s">
        <v>112</v>
      </c>
      <c r="E1455" t="s">
        <v>395</v>
      </c>
      <c r="F1455" s="174" t="n">
        <v>2035</v>
      </c>
      <c r="G1455" s="175" t="n">
        <v>43</v>
      </c>
      <c r="H1455" s="176" t="n">
        <v>4498.86460028584</v>
      </c>
      <c r="I1455" s="177" t="n">
        <v>4307371.90889628</v>
      </c>
      <c r="J1455" s="178" t="str">
        <f>IF(I1455&gt;0,H1455/I1455,0)</f>
      </c>
      <c r="K1455" s="179" t="str">
        <f>1-EXP(-J1455)</f>
      </c>
      <c r="L1455" s="180" t="str">
        <f>IF(G1455=30,1,M1454)</f>
      </c>
      <c r="M1455" s="181" t="str">
        <f>L1455*(1-K1455)</f>
      </c>
    </row>
    <row r="1456">
      <c r="A1456" t="s">
        <v>164</v>
      </c>
      <c r="B1456" t="s">
        <v>112</v>
      </c>
      <c r="C1456" s="32" t="s">
        <v>297</v>
      </c>
      <c r="D1456" t="s">
        <v>112</v>
      </c>
      <c r="E1456" t="s">
        <v>395</v>
      </c>
      <c r="F1456" s="174" t="n">
        <v>2035</v>
      </c>
      <c r="G1456" s="175" t="n">
        <v>44</v>
      </c>
      <c r="H1456" s="176" t="n">
        <v>4919.22285634185</v>
      </c>
      <c r="I1456" s="177" t="n">
        <v>4320969.11778944</v>
      </c>
      <c r="J1456" s="178" t="str">
        <f>IF(I1456&gt;0,H1456/I1456,0)</f>
      </c>
      <c r="K1456" s="179" t="str">
        <f>1-EXP(-J1456)</f>
      </c>
      <c r="L1456" s="180" t="str">
        <f>IF(G1456=30,1,M1455)</f>
      </c>
      <c r="M1456" s="181" t="str">
        <f>L1456*(1-K1456)</f>
      </c>
    </row>
    <row r="1457">
      <c r="A1457" t="s">
        <v>164</v>
      </c>
      <c r="B1457" t="s">
        <v>112</v>
      </c>
      <c r="C1457" s="32" t="s">
        <v>297</v>
      </c>
      <c r="D1457" t="s">
        <v>112</v>
      </c>
      <c r="E1457" t="s">
        <v>395</v>
      </c>
      <c r="F1457" s="174" t="n">
        <v>2035</v>
      </c>
      <c r="G1457" s="175" t="n">
        <v>45</v>
      </c>
      <c r="H1457" s="176" t="n">
        <v>8675.83282376692</v>
      </c>
      <c r="I1457" s="177" t="n">
        <v>6359717.22504422</v>
      </c>
      <c r="J1457" s="178" t="str">
        <f>IF(I1457&gt;0,H1457/I1457,0)</f>
      </c>
      <c r="K1457" s="179" t="str">
        <f>1-EXP(-J1457)</f>
      </c>
      <c r="L1457" s="180" t="str">
        <f>IF(G1457=30,1,M1456)</f>
      </c>
      <c r="M1457" s="181" t="str">
        <f>L1457*(1-K1457)</f>
      </c>
    </row>
    <row r="1458">
      <c r="A1458" t="s">
        <v>164</v>
      </c>
      <c r="B1458" t="s">
        <v>112</v>
      </c>
      <c r="C1458" s="32" t="s">
        <v>297</v>
      </c>
      <c r="D1458" t="s">
        <v>112</v>
      </c>
      <c r="E1458" t="s">
        <v>395</v>
      </c>
      <c r="F1458" s="174" t="n">
        <v>2035</v>
      </c>
      <c r="G1458" s="175" t="n">
        <v>46</v>
      </c>
      <c r="H1458" s="176" t="n">
        <v>6848.94589583304</v>
      </c>
      <c r="I1458" s="177" t="n">
        <v>4269202.25384383</v>
      </c>
      <c r="J1458" s="178" t="str">
        <f>IF(I1458&gt;0,H1458/I1458,0)</f>
      </c>
      <c r="K1458" s="179" t="str">
        <f>1-EXP(-J1458)</f>
      </c>
      <c r="L1458" s="180" t="str">
        <f>IF(G1458=30,1,M1457)</f>
      </c>
      <c r="M1458" s="181" t="str">
        <f>L1458*(1-K1458)</f>
      </c>
    </row>
    <row r="1459">
      <c r="A1459" t="s">
        <v>164</v>
      </c>
      <c r="B1459" t="s">
        <v>112</v>
      </c>
      <c r="C1459" s="32" t="s">
        <v>297</v>
      </c>
      <c r="D1459" t="s">
        <v>112</v>
      </c>
      <c r="E1459" t="s">
        <v>395</v>
      </c>
      <c r="F1459" s="174" t="n">
        <v>2035</v>
      </c>
      <c r="G1459" s="175" t="n">
        <v>47</v>
      </c>
      <c r="H1459" s="176" t="n">
        <v>7463.35616704607</v>
      </c>
      <c r="I1459" s="177" t="n">
        <v>4246815.34461137</v>
      </c>
      <c r="J1459" s="178" t="str">
        <f>IF(I1459&gt;0,H1459/I1459,0)</f>
      </c>
      <c r="K1459" s="179" t="str">
        <f>1-EXP(-J1459)</f>
      </c>
      <c r="L1459" s="180" t="str">
        <f>IF(G1459=30,1,M1458)</f>
      </c>
      <c r="M1459" s="181" t="str">
        <f>L1459*(1-K1459)</f>
      </c>
    </row>
    <row r="1460">
      <c r="A1460" t="s">
        <v>164</v>
      </c>
      <c r="B1460" t="s">
        <v>112</v>
      </c>
      <c r="C1460" s="32" t="s">
        <v>297</v>
      </c>
      <c r="D1460" t="s">
        <v>112</v>
      </c>
      <c r="E1460" t="s">
        <v>395</v>
      </c>
      <c r="F1460" s="174" t="n">
        <v>2035</v>
      </c>
      <c r="G1460" s="175" t="n">
        <v>48</v>
      </c>
      <c r="H1460" s="176" t="n">
        <v>7917.97034686376</v>
      </c>
      <c r="I1460" s="177" t="n">
        <v>4110293.72133855</v>
      </c>
      <c r="J1460" s="178" t="str">
        <f>IF(I1460&gt;0,H1460/I1460,0)</f>
      </c>
      <c r="K1460" s="179" t="str">
        <f>1-EXP(-J1460)</f>
      </c>
      <c r="L1460" s="180" t="str">
        <f>IF(G1460=30,1,M1459)</f>
      </c>
      <c r="M1460" s="181" t="str">
        <f>L1460*(1-K1460)</f>
      </c>
    </row>
    <row r="1461">
      <c r="A1461" t="s">
        <v>164</v>
      </c>
      <c r="B1461" t="s">
        <v>112</v>
      </c>
      <c r="C1461" s="32" t="s">
        <v>297</v>
      </c>
      <c r="D1461" t="s">
        <v>112</v>
      </c>
      <c r="E1461" t="s">
        <v>395</v>
      </c>
      <c r="F1461" s="174" t="n">
        <v>2035</v>
      </c>
      <c r="G1461" s="175" t="n">
        <v>49</v>
      </c>
      <c r="H1461" s="176" t="n">
        <v>8586.79827761759</v>
      </c>
      <c r="I1461" s="177" t="n">
        <v>4069205.06689973</v>
      </c>
      <c r="J1461" s="178" t="str">
        <f>IF(I1461&gt;0,H1461/I1461,0)</f>
      </c>
      <c r="K1461" s="179" t="str">
        <f>1-EXP(-J1461)</f>
      </c>
      <c r="L1461" s="180" t="str">
        <f>IF(G1461=30,1,M1460)</f>
      </c>
      <c r="M1461" s="181" t="str">
        <f>L1461*(1-K1461)</f>
      </c>
    </row>
    <row r="1462">
      <c r="A1462" t="s">
        <v>164</v>
      </c>
      <c r="B1462" t="s">
        <v>112</v>
      </c>
      <c r="C1462" s="32" t="s">
        <v>297</v>
      </c>
      <c r="D1462" t="s">
        <v>112</v>
      </c>
      <c r="E1462" t="s">
        <v>395</v>
      </c>
      <c r="F1462" s="174" t="n">
        <v>2035</v>
      </c>
      <c r="G1462" s="175" t="n">
        <v>50</v>
      </c>
      <c r="H1462" s="176" t="n">
        <v>10052.8786678323</v>
      </c>
      <c r="I1462" s="177" t="n">
        <v>4118985.8726015</v>
      </c>
      <c r="J1462" s="178" t="str">
        <f>IF(I1462&gt;0,H1462/I1462,0)</f>
      </c>
      <c r="K1462" s="179" t="str">
        <f>1-EXP(-J1462)</f>
      </c>
      <c r="L1462" s="180" t="str">
        <f>IF(G1462=30,1,M1461)</f>
      </c>
      <c r="M1462" s="181" t="str">
        <f>L1462*(1-K1462)</f>
      </c>
    </row>
    <row r="1463">
      <c r="A1463" t="s">
        <v>164</v>
      </c>
      <c r="B1463" t="s">
        <v>112</v>
      </c>
      <c r="C1463" s="32" t="s">
        <v>297</v>
      </c>
      <c r="D1463" t="s">
        <v>112</v>
      </c>
      <c r="E1463" t="s">
        <v>395</v>
      </c>
      <c r="F1463" s="174" t="n">
        <v>2035</v>
      </c>
      <c r="G1463" s="175" t="n">
        <v>51</v>
      </c>
      <c r="H1463" s="176" t="n">
        <v>11185.6840013742</v>
      </c>
      <c r="I1463" s="177" t="n">
        <v>4191353.55048499</v>
      </c>
      <c r="J1463" s="178" t="str">
        <f>IF(I1463&gt;0,H1463/I1463,0)</f>
      </c>
      <c r="K1463" s="179" t="str">
        <f>1-EXP(-J1463)</f>
      </c>
      <c r="L1463" s="180" t="str">
        <f>IF(G1463=30,1,M1462)</f>
      </c>
      <c r="M1463" s="181" t="str">
        <f>L1463*(1-K1463)</f>
      </c>
    </row>
    <row r="1464">
      <c r="A1464" t="s">
        <v>164</v>
      </c>
      <c r="B1464" t="s">
        <v>112</v>
      </c>
      <c r="C1464" s="32" t="s">
        <v>297</v>
      </c>
      <c r="D1464" t="s">
        <v>112</v>
      </c>
      <c r="E1464" t="s">
        <v>395</v>
      </c>
      <c r="F1464" s="174" t="n">
        <v>2035</v>
      </c>
      <c r="G1464" s="175" t="n">
        <v>52</v>
      </c>
      <c r="H1464" s="176" t="n">
        <v>12121.681351115</v>
      </c>
      <c r="I1464" s="177" t="n">
        <v>4157228.07716632</v>
      </c>
      <c r="J1464" s="178" t="str">
        <f>IF(I1464&gt;0,H1464/I1464,0)</f>
      </c>
      <c r="K1464" s="179" t="str">
        <f>1-EXP(-J1464)</f>
      </c>
      <c r="L1464" s="180" t="str">
        <f>IF(G1464=30,1,M1463)</f>
      </c>
      <c r="M1464" s="181" t="str">
        <f>L1464*(1-K1464)</f>
      </c>
    </row>
    <row r="1465">
      <c r="A1465" t="s">
        <v>164</v>
      </c>
      <c r="B1465" t="s">
        <v>112</v>
      </c>
      <c r="C1465" s="32" t="s">
        <v>297</v>
      </c>
      <c r="D1465" t="s">
        <v>112</v>
      </c>
      <c r="E1465" t="s">
        <v>395</v>
      </c>
      <c r="F1465" s="174" t="n">
        <v>2035</v>
      </c>
      <c r="G1465" s="175" t="n">
        <v>53</v>
      </c>
      <c r="H1465" s="176" t="n">
        <v>12787.7886589042</v>
      </c>
      <c r="I1465" s="177" t="n">
        <v>4013199.24292096</v>
      </c>
      <c r="J1465" s="178" t="str">
        <f>IF(I1465&gt;0,H1465/I1465,0)</f>
      </c>
      <c r="K1465" s="179" t="str">
        <f>1-EXP(-J1465)</f>
      </c>
      <c r="L1465" s="180" t="str">
        <f>IF(G1465=30,1,M1464)</f>
      </c>
      <c r="M1465" s="181" t="str">
        <f>L1465*(1-K1465)</f>
      </c>
    </row>
    <row r="1466">
      <c r="A1466" t="s">
        <v>164</v>
      </c>
      <c r="B1466" t="s">
        <v>112</v>
      </c>
      <c r="C1466" s="32" t="s">
        <v>297</v>
      </c>
      <c r="D1466" t="s">
        <v>112</v>
      </c>
      <c r="E1466" t="s">
        <v>395</v>
      </c>
      <c r="F1466" s="174" t="n">
        <v>2035</v>
      </c>
      <c r="G1466" s="175" t="n">
        <v>54</v>
      </c>
      <c r="H1466" s="176" t="n">
        <v>13664.4403206307</v>
      </c>
      <c r="I1466" s="177" t="n">
        <v>3929325.9050972</v>
      </c>
      <c r="J1466" s="178" t="str">
        <f>IF(I1466&gt;0,H1466/I1466,0)</f>
      </c>
      <c r="K1466" s="179" t="str">
        <f>1-EXP(-J1466)</f>
      </c>
      <c r="L1466" s="180" t="str">
        <f>IF(G1466=30,1,M1465)</f>
      </c>
      <c r="M1466" s="181" t="str">
        <f>L1466*(1-K1466)</f>
      </c>
    </row>
    <row r="1467">
      <c r="A1467" t="s">
        <v>164</v>
      </c>
      <c r="B1467" t="s">
        <v>112</v>
      </c>
      <c r="C1467" s="32" t="s">
        <v>297</v>
      </c>
      <c r="D1467" t="s">
        <v>112</v>
      </c>
      <c r="E1467" t="s">
        <v>395</v>
      </c>
      <c r="F1467" s="174" t="n">
        <v>2035</v>
      </c>
      <c r="G1467" s="175" t="n">
        <v>55</v>
      </c>
      <c r="H1467" s="176" t="n">
        <v>14660.9874209964</v>
      </c>
      <c r="I1467" s="177" t="n">
        <v>3860141.53237182</v>
      </c>
      <c r="J1467" s="178" t="str">
        <f>IF(I1467&gt;0,H1467/I1467,0)</f>
      </c>
      <c r="K1467" s="179" t="str">
        <f>1-EXP(-J1467)</f>
      </c>
      <c r="L1467" s="180" t="str">
        <f>IF(G1467=30,1,M1466)</f>
      </c>
      <c r="M1467" s="181" t="str">
        <f>L1467*(1-K1467)</f>
      </c>
    </row>
    <row r="1468">
      <c r="A1468" t="s">
        <v>164</v>
      </c>
      <c r="B1468" t="s">
        <v>112</v>
      </c>
      <c r="C1468" s="32" t="s">
        <v>297</v>
      </c>
      <c r="D1468" t="s">
        <v>112</v>
      </c>
      <c r="E1468" t="s">
        <v>395</v>
      </c>
      <c r="F1468" s="174" t="n">
        <v>2035</v>
      </c>
      <c r="G1468" s="175" t="n">
        <v>56</v>
      </c>
      <c r="H1468" s="176" t="n">
        <v>15685.8185516217</v>
      </c>
      <c r="I1468" s="177" t="n">
        <v>3784664.87488385</v>
      </c>
      <c r="J1468" s="178" t="str">
        <f>IF(I1468&gt;0,H1468/I1468,0)</f>
      </c>
      <c r="K1468" s="179" t="str">
        <f>1-EXP(-J1468)</f>
      </c>
      <c r="L1468" s="180" t="str">
        <f>IF(G1468=30,1,M1467)</f>
      </c>
      <c r="M1468" s="181" t="str">
        <f>L1468*(1-K1468)</f>
      </c>
    </row>
    <row r="1469">
      <c r="A1469" t="s">
        <v>164</v>
      </c>
      <c r="B1469" t="s">
        <v>112</v>
      </c>
      <c r="C1469" s="32" t="s">
        <v>297</v>
      </c>
      <c r="D1469" t="s">
        <v>112</v>
      </c>
      <c r="E1469" t="s">
        <v>395</v>
      </c>
      <c r="F1469" s="174" t="n">
        <v>2035</v>
      </c>
      <c r="G1469" s="175" t="n">
        <v>57</v>
      </c>
      <c r="H1469" s="176" t="n">
        <v>16701.1253430426</v>
      </c>
      <c r="I1469" s="177" t="n">
        <v>3690163.4401514</v>
      </c>
      <c r="J1469" s="178" t="str">
        <f>IF(I1469&gt;0,H1469/I1469,0)</f>
      </c>
      <c r="K1469" s="179" t="str">
        <f>1-EXP(-J1469)</f>
      </c>
      <c r="L1469" s="180" t="str">
        <f>IF(G1469=30,1,M1468)</f>
      </c>
      <c r="M1469" s="181" t="str">
        <f>L1469*(1-K1469)</f>
      </c>
    </row>
    <row r="1470">
      <c r="A1470" t="s">
        <v>164</v>
      </c>
      <c r="B1470" t="s">
        <v>112</v>
      </c>
      <c r="C1470" s="32" t="s">
        <v>297</v>
      </c>
      <c r="D1470" t="s">
        <v>112</v>
      </c>
      <c r="E1470" t="s">
        <v>395</v>
      </c>
      <c r="F1470" s="174" t="n">
        <v>2035</v>
      </c>
      <c r="G1470" s="175" t="n">
        <v>58</v>
      </c>
      <c r="H1470" s="176" t="n">
        <v>17881.8322171735</v>
      </c>
      <c r="I1470" s="177" t="n">
        <v>3611094.46519662</v>
      </c>
      <c r="J1470" s="178" t="str">
        <f>IF(I1470&gt;0,H1470/I1470,0)</f>
      </c>
      <c r="K1470" s="179" t="str">
        <f>1-EXP(-J1470)</f>
      </c>
      <c r="L1470" s="180" t="str">
        <f>IF(G1470=30,1,M1469)</f>
      </c>
      <c r="M1470" s="181" t="str">
        <f>L1470*(1-K1470)</f>
      </c>
    </row>
    <row r="1471">
      <c r="A1471" t="s">
        <v>164</v>
      </c>
      <c r="B1471" t="s">
        <v>112</v>
      </c>
      <c r="C1471" s="32" t="s">
        <v>297</v>
      </c>
      <c r="D1471" t="s">
        <v>112</v>
      </c>
      <c r="E1471" t="s">
        <v>395</v>
      </c>
      <c r="F1471" s="174" t="n">
        <v>2035</v>
      </c>
      <c r="G1471" s="175" t="n">
        <v>59</v>
      </c>
      <c r="H1471" s="176" t="n">
        <v>19061.4219066024</v>
      </c>
      <c r="I1471" s="177" t="n">
        <v>3520120.14770187</v>
      </c>
      <c r="J1471" s="178" t="str">
        <f>IF(I1471&gt;0,H1471/I1471,0)</f>
      </c>
      <c r="K1471" s="179" t="str">
        <f>1-EXP(-J1471)</f>
      </c>
      <c r="L1471" s="180" t="str">
        <f>IF(G1471=30,1,M1470)</f>
      </c>
      <c r="M1471" s="181" t="str">
        <f>L1471*(1-K1471)</f>
      </c>
    </row>
    <row r="1472">
      <c r="A1472" t="s">
        <v>164</v>
      </c>
      <c r="B1472" t="s">
        <v>112</v>
      </c>
      <c r="C1472" s="32" t="s">
        <v>297</v>
      </c>
      <c r="D1472" t="s">
        <v>112</v>
      </c>
      <c r="E1472" t="s">
        <v>395</v>
      </c>
      <c r="F1472" s="174" t="n">
        <v>2035</v>
      </c>
      <c r="G1472" s="175" t="n">
        <v>60</v>
      </c>
      <c r="H1472" s="176" t="n">
        <v>20454.2829290966</v>
      </c>
      <c r="I1472" s="177" t="n">
        <v>3427637.29918462</v>
      </c>
      <c r="J1472" s="178" t="str">
        <f>IF(I1472&gt;0,H1472/I1472,0)</f>
      </c>
      <c r="K1472" s="179" t="str">
        <f>1-EXP(-J1472)</f>
      </c>
      <c r="L1472" s="180" t="str">
        <f>IF(G1472=30,1,M1471)</f>
      </c>
      <c r="M1472" s="181" t="str">
        <f>L1472*(1-K1472)</f>
      </c>
    </row>
    <row r="1473">
      <c r="A1473" t="s">
        <v>164</v>
      </c>
      <c r="B1473" t="s">
        <v>112</v>
      </c>
      <c r="C1473" s="32" t="s">
        <v>297</v>
      </c>
      <c r="D1473" t="s">
        <v>112</v>
      </c>
      <c r="E1473" t="s">
        <v>395</v>
      </c>
      <c r="F1473" s="174" t="n">
        <v>2035</v>
      </c>
      <c r="G1473" s="175" t="n">
        <v>61</v>
      </c>
      <c r="H1473" s="176" t="n">
        <v>21609.0055749234</v>
      </c>
      <c r="I1473" s="177" t="n">
        <v>3308118.84734358</v>
      </c>
      <c r="J1473" s="178" t="str">
        <f>IF(I1473&gt;0,H1473/I1473,0)</f>
      </c>
      <c r="K1473" s="179" t="str">
        <f>1-EXP(-J1473)</f>
      </c>
      <c r="L1473" s="180" t="str">
        <f>IF(G1473=30,1,M1472)</f>
      </c>
      <c r="M1473" s="181" t="str">
        <f>L1473*(1-K1473)</f>
      </c>
    </row>
    <row r="1474">
      <c r="A1474" t="s">
        <v>164</v>
      </c>
      <c r="B1474" t="s">
        <v>112</v>
      </c>
      <c r="C1474" s="32" t="s">
        <v>297</v>
      </c>
      <c r="D1474" t="s">
        <v>112</v>
      </c>
      <c r="E1474" t="s">
        <v>395</v>
      </c>
      <c r="F1474" s="174" t="n">
        <v>2035</v>
      </c>
      <c r="G1474" s="175" t="n">
        <v>62</v>
      </c>
      <c r="H1474" s="176" t="n">
        <v>23204.6300504064</v>
      </c>
      <c r="I1474" s="177" t="n">
        <v>3244122.02852549</v>
      </c>
      <c r="J1474" s="178" t="str">
        <f>IF(I1474&gt;0,H1474/I1474,0)</f>
      </c>
      <c r="K1474" s="179" t="str">
        <f>1-EXP(-J1474)</f>
      </c>
      <c r="L1474" s="180" t="str">
        <f>IF(G1474=30,1,M1473)</f>
      </c>
      <c r="M1474" s="181" t="str">
        <f>L1474*(1-K1474)</f>
      </c>
    </row>
    <row r="1475">
      <c r="A1475" t="s">
        <v>164</v>
      </c>
      <c r="B1475" t="s">
        <v>112</v>
      </c>
      <c r="C1475" s="32" t="s">
        <v>297</v>
      </c>
      <c r="D1475" t="s">
        <v>112</v>
      </c>
      <c r="E1475" t="s">
        <v>395</v>
      </c>
      <c r="F1475" s="174" t="n">
        <v>2035</v>
      </c>
      <c r="G1475" s="175" t="n">
        <v>63</v>
      </c>
      <c r="H1475" s="176" t="n">
        <v>23753.5592301736</v>
      </c>
      <c r="I1475" s="177" t="n">
        <v>3027826.57259789</v>
      </c>
      <c r="J1475" s="178" t="str">
        <f>IF(I1475&gt;0,H1475/I1475,0)</f>
      </c>
      <c r="K1475" s="179" t="str">
        <f>1-EXP(-J1475)</f>
      </c>
      <c r="L1475" s="180" t="str">
        <f>IF(G1475=30,1,M1474)</f>
      </c>
      <c r="M1475" s="181" t="str">
        <f>L1475*(1-K1475)</f>
      </c>
    </row>
    <row r="1476">
      <c r="A1476" t="s">
        <v>164</v>
      </c>
      <c r="B1476" t="s">
        <v>112</v>
      </c>
      <c r="C1476" s="32" t="s">
        <v>297</v>
      </c>
      <c r="D1476" t="s">
        <v>112</v>
      </c>
      <c r="E1476" t="s">
        <v>395</v>
      </c>
      <c r="F1476" s="174" t="n">
        <v>2035</v>
      </c>
      <c r="G1476" s="175" t="n">
        <v>64</v>
      </c>
      <c r="H1476" s="176" t="n">
        <v>25129.3216682702</v>
      </c>
      <c r="I1476" s="177" t="n">
        <v>2923514.10811697</v>
      </c>
      <c r="J1476" s="178" t="str">
        <f>IF(I1476&gt;0,H1476/I1476,0)</f>
      </c>
      <c r="K1476" s="179" t="str">
        <f>1-EXP(-J1476)</f>
      </c>
      <c r="L1476" s="180" t="str">
        <f>IF(G1476=30,1,M1475)</f>
      </c>
      <c r="M1476" s="181" t="str">
        <f>L1476*(1-K1476)</f>
      </c>
    </row>
    <row r="1477">
      <c r="A1477" t="s">
        <v>164</v>
      </c>
      <c r="B1477" t="s">
        <v>112</v>
      </c>
      <c r="C1477" s="32" t="s">
        <v>297</v>
      </c>
      <c r="D1477" t="s">
        <v>112</v>
      </c>
      <c r="E1477" t="s">
        <v>395</v>
      </c>
      <c r="F1477" s="174" t="n">
        <v>2035</v>
      </c>
      <c r="G1477" s="175" t="n">
        <v>65</v>
      </c>
      <c r="H1477" s="176" t="n">
        <v>25648.3918694076</v>
      </c>
      <c r="I1477" s="177" t="n">
        <v>2822365.33245025</v>
      </c>
      <c r="J1477" s="178" t="str">
        <f>IF(I1477&gt;0,H1477/I1477,0)</f>
      </c>
      <c r="K1477" s="179" t="str">
        <f>1-EXP(-J1477)</f>
      </c>
      <c r="L1477" s="180" t="str">
        <f>IF(G1477=30,1,M1476)</f>
      </c>
      <c r="M1477" s="181" t="str">
        <f>L1477*(1-K1477)</f>
      </c>
    </row>
    <row r="1478">
      <c r="A1478" t="s">
        <v>164</v>
      </c>
      <c r="B1478" t="s">
        <v>112</v>
      </c>
      <c r="C1478" s="32" t="s">
        <v>297</v>
      </c>
      <c r="D1478" t="s">
        <v>112</v>
      </c>
      <c r="E1478" t="s">
        <v>395</v>
      </c>
      <c r="F1478" s="174" t="n">
        <v>2035</v>
      </c>
      <c r="G1478" s="175" t="n">
        <v>66</v>
      </c>
      <c r="H1478" s="176" t="n">
        <v>27033.5508913034</v>
      </c>
      <c r="I1478" s="177" t="n">
        <v>2712470.04387973</v>
      </c>
      <c r="J1478" s="178" t="str">
        <f>IF(I1478&gt;0,H1478/I1478,0)</f>
      </c>
      <c r="K1478" s="179" t="str">
        <f>1-EXP(-J1478)</f>
      </c>
      <c r="L1478" s="180" t="str">
        <f>IF(G1478=30,1,M1477)</f>
      </c>
      <c r="M1478" s="181" t="str">
        <f>L1478*(1-K1478)</f>
      </c>
    </row>
    <row r="1479">
      <c r="A1479" t="s">
        <v>164</v>
      </c>
      <c r="B1479" t="s">
        <v>112</v>
      </c>
      <c r="C1479" s="32" t="s">
        <v>297</v>
      </c>
      <c r="D1479" t="s">
        <v>112</v>
      </c>
      <c r="E1479" t="s">
        <v>395</v>
      </c>
      <c r="F1479" s="174" t="n">
        <v>2035</v>
      </c>
      <c r="G1479" s="175" t="n">
        <v>67</v>
      </c>
      <c r="H1479" s="176" t="n">
        <v>28256.0906755603</v>
      </c>
      <c r="I1479" s="177" t="n">
        <v>2584021.39772463</v>
      </c>
      <c r="J1479" s="178" t="str">
        <f>IF(I1479&gt;0,H1479/I1479,0)</f>
      </c>
      <c r="K1479" s="179" t="str">
        <f>1-EXP(-J1479)</f>
      </c>
      <c r="L1479" s="180" t="str">
        <f>IF(G1479=30,1,M1478)</f>
      </c>
      <c r="M1479" s="181" t="str">
        <f>L1479*(1-K1479)</f>
      </c>
    </row>
    <row r="1480">
      <c r="A1480" t="s">
        <v>164</v>
      </c>
      <c r="B1480" t="s">
        <v>112</v>
      </c>
      <c r="C1480" s="32" t="s">
        <v>297</v>
      </c>
      <c r="D1480" t="s">
        <v>112</v>
      </c>
      <c r="E1480" t="s">
        <v>395</v>
      </c>
      <c r="F1480" s="174" t="n">
        <v>2035</v>
      </c>
      <c r="G1480" s="175" t="n">
        <v>68</v>
      </c>
      <c r="H1480" s="176" t="n">
        <v>29171.6991953378</v>
      </c>
      <c r="I1480" s="177" t="n">
        <v>2427833.7378996</v>
      </c>
      <c r="J1480" s="178" t="str">
        <f>IF(I1480&gt;0,H1480/I1480,0)</f>
      </c>
      <c r="K1480" s="179" t="str">
        <f>1-EXP(-J1480)</f>
      </c>
      <c r="L1480" s="180" t="str">
        <f>IF(G1480=30,1,M1479)</f>
      </c>
      <c r="M1480" s="181" t="str">
        <f>L1480*(1-K1480)</f>
      </c>
    </row>
    <row r="1481">
      <c r="A1481" t="s">
        <v>164</v>
      </c>
      <c r="B1481" t="s">
        <v>112</v>
      </c>
      <c r="C1481" s="32" t="s">
        <v>297</v>
      </c>
      <c r="D1481" t="s">
        <v>112</v>
      </c>
      <c r="E1481" t="s">
        <v>395</v>
      </c>
      <c r="F1481" s="174" t="n">
        <v>2035</v>
      </c>
      <c r="G1481" s="175" t="n">
        <v>69</v>
      </c>
      <c r="H1481" s="176" t="n">
        <v>30417.4846013716</v>
      </c>
      <c r="I1481" s="177" t="n">
        <v>2303884.82625638</v>
      </c>
      <c r="J1481" s="178" t="str">
        <f>IF(I1481&gt;0,H1481/I1481,0)</f>
      </c>
      <c r="K1481" s="179" t="str">
        <f>1-EXP(-J1481)</f>
      </c>
      <c r="L1481" s="180" t="str">
        <f>IF(G1481=30,1,M1480)</f>
      </c>
      <c r="M1481" s="181" t="str">
        <f>L1481*(1-K1481)</f>
      </c>
    </row>
    <row r="1482">
      <c r="A1482" t="s">
        <v>164</v>
      </c>
      <c r="B1482" t="s">
        <v>112</v>
      </c>
      <c r="C1482" s="32" t="s">
        <v>297</v>
      </c>
      <c r="D1482" t="s">
        <v>112</v>
      </c>
      <c r="E1482" t="s">
        <v>395</v>
      </c>
      <c r="F1482" s="174" t="n">
        <v>2036</v>
      </c>
      <c r="G1482" s="175" t="n">
        <v>30</v>
      </c>
      <c r="H1482" s="176" t="n">
        <v>822.912078373967</v>
      </c>
      <c r="I1482" s="177" t="n">
        <v>4608165.95180422</v>
      </c>
      <c r="J1482" s="178" t="str">
        <f>IF(I1482&gt;0,H1482/I1482,0)</f>
      </c>
      <c r="K1482" s="179" t="str">
        <f>1-EXP(-J1482)</f>
      </c>
      <c r="L1482" s="180" t="str">
        <f>IF(G1482=30,1,M1481)</f>
      </c>
      <c r="M1482" s="181" t="str">
        <f>L1482*(1-K1482)</f>
      </c>
    </row>
    <row r="1483">
      <c r="A1483" t="s">
        <v>164</v>
      </c>
      <c r="B1483" t="s">
        <v>112</v>
      </c>
      <c r="C1483" s="32" t="s">
        <v>297</v>
      </c>
      <c r="D1483" t="s">
        <v>112</v>
      </c>
      <c r="E1483" t="s">
        <v>395</v>
      </c>
      <c r="F1483" s="174" t="n">
        <v>2036</v>
      </c>
      <c r="G1483" s="175" t="n">
        <v>31</v>
      </c>
      <c r="H1483" s="176" t="n">
        <v>1017.36280209297</v>
      </c>
      <c r="I1483" s="177" t="n">
        <v>4547185.95109915</v>
      </c>
      <c r="J1483" s="178" t="str">
        <f>IF(I1483&gt;0,H1483/I1483,0)</f>
      </c>
      <c r="K1483" s="179" t="str">
        <f>1-EXP(-J1483)</f>
      </c>
      <c r="L1483" s="180" t="str">
        <f>IF(G1483=30,1,M1482)</f>
      </c>
      <c r="M1483" s="181" t="str">
        <f>L1483*(1-K1483)</f>
      </c>
    </row>
    <row r="1484">
      <c r="A1484" t="s">
        <v>164</v>
      </c>
      <c r="B1484" t="s">
        <v>112</v>
      </c>
      <c r="C1484" s="32" t="s">
        <v>297</v>
      </c>
      <c r="D1484" t="s">
        <v>112</v>
      </c>
      <c r="E1484" t="s">
        <v>395</v>
      </c>
      <c r="F1484" s="174" t="n">
        <v>2036</v>
      </c>
      <c r="G1484" s="175" t="n">
        <v>32</v>
      </c>
      <c r="H1484" s="176" t="n">
        <v>1040.9581265409</v>
      </c>
      <c r="I1484" s="177" t="n">
        <v>4418681.60558966</v>
      </c>
      <c r="J1484" s="178" t="str">
        <f>IF(I1484&gt;0,H1484/I1484,0)</f>
      </c>
      <c r="K1484" s="179" t="str">
        <f>1-EXP(-J1484)</f>
      </c>
      <c r="L1484" s="180" t="str">
        <f>IF(G1484=30,1,M1483)</f>
      </c>
      <c r="M1484" s="181" t="str">
        <f>L1484*(1-K1484)</f>
      </c>
    </row>
    <row r="1485">
      <c r="A1485" t="s">
        <v>164</v>
      </c>
      <c r="B1485" t="s">
        <v>112</v>
      </c>
      <c r="C1485" s="32" t="s">
        <v>297</v>
      </c>
      <c r="D1485" t="s">
        <v>112</v>
      </c>
      <c r="E1485" t="s">
        <v>395</v>
      </c>
      <c r="F1485" s="174" t="n">
        <v>2036</v>
      </c>
      <c r="G1485" s="175" t="n">
        <v>33</v>
      </c>
      <c r="H1485" s="176" t="n">
        <v>1086.63040115804</v>
      </c>
      <c r="I1485" s="177" t="n">
        <v>4353305.02484156</v>
      </c>
      <c r="J1485" s="178" t="str">
        <f>IF(I1485&gt;0,H1485/I1485,0)</f>
      </c>
      <c r="K1485" s="179" t="str">
        <f>1-EXP(-J1485)</f>
      </c>
      <c r="L1485" s="180" t="str">
        <f>IF(G1485=30,1,M1484)</f>
      </c>
      <c r="M1485" s="181" t="str">
        <f>L1485*(1-K1485)</f>
      </c>
    </row>
    <row r="1486">
      <c r="A1486" t="s">
        <v>164</v>
      </c>
      <c r="B1486" t="s">
        <v>112</v>
      </c>
      <c r="C1486" s="32" t="s">
        <v>297</v>
      </c>
      <c r="D1486" t="s">
        <v>112</v>
      </c>
      <c r="E1486" t="s">
        <v>395</v>
      </c>
      <c r="F1486" s="174" t="n">
        <v>2036</v>
      </c>
      <c r="G1486" s="175" t="n">
        <v>34</v>
      </c>
      <c r="H1486" s="176" t="n">
        <v>1305.13883026096</v>
      </c>
      <c r="I1486" s="177" t="n">
        <v>4331742.6193698</v>
      </c>
      <c r="J1486" s="178" t="str">
        <f>IF(I1486&gt;0,H1486/I1486,0)</f>
      </c>
      <c r="K1486" s="179" t="str">
        <f>1-EXP(-J1486)</f>
      </c>
      <c r="L1486" s="180" t="str">
        <f>IF(G1486=30,1,M1485)</f>
      </c>
      <c r="M1486" s="181" t="str">
        <f>L1486*(1-K1486)</f>
      </c>
    </row>
    <row r="1487">
      <c r="A1487" t="s">
        <v>164</v>
      </c>
      <c r="B1487" t="s">
        <v>112</v>
      </c>
      <c r="C1487" s="32" t="s">
        <v>297</v>
      </c>
      <c r="D1487" t="s">
        <v>112</v>
      </c>
      <c r="E1487" t="s">
        <v>395</v>
      </c>
      <c r="F1487" s="174" t="n">
        <v>2036</v>
      </c>
      <c r="G1487" s="175" t="n">
        <v>35</v>
      </c>
      <c r="H1487" s="176" t="n">
        <v>1741.34105809623</v>
      </c>
      <c r="I1487" s="177" t="n">
        <v>4311444.89080795</v>
      </c>
      <c r="J1487" s="178" t="str">
        <f>IF(I1487&gt;0,H1487/I1487,0)</f>
      </c>
      <c r="K1487" s="179" t="str">
        <f>1-EXP(-J1487)</f>
      </c>
      <c r="L1487" s="180" t="str">
        <f>IF(G1487=30,1,M1486)</f>
      </c>
      <c r="M1487" s="181" t="str">
        <f>L1487*(1-K1487)</f>
      </c>
    </row>
    <row r="1488">
      <c r="A1488" t="s">
        <v>164</v>
      </c>
      <c r="B1488" t="s">
        <v>112</v>
      </c>
      <c r="C1488" s="32" t="s">
        <v>297</v>
      </c>
      <c r="D1488" t="s">
        <v>112</v>
      </c>
      <c r="E1488" t="s">
        <v>395</v>
      </c>
      <c r="F1488" s="174" t="n">
        <v>2036</v>
      </c>
      <c r="G1488" s="175" t="n">
        <v>36</v>
      </c>
      <c r="H1488" s="176" t="n">
        <v>1937.66651589762</v>
      </c>
      <c r="I1488" s="177" t="n">
        <v>4290372.89456654</v>
      </c>
      <c r="J1488" s="178" t="str">
        <f>IF(I1488&gt;0,H1488/I1488,0)</f>
      </c>
      <c r="K1488" s="179" t="str">
        <f>1-EXP(-J1488)</f>
      </c>
      <c r="L1488" s="180" t="str">
        <f>IF(G1488=30,1,M1487)</f>
      </c>
      <c r="M1488" s="181" t="str">
        <f>L1488*(1-K1488)</f>
      </c>
    </row>
    <row r="1489">
      <c r="A1489" t="s">
        <v>164</v>
      </c>
      <c r="B1489" t="s">
        <v>112</v>
      </c>
      <c r="C1489" s="32" t="s">
        <v>297</v>
      </c>
      <c r="D1489" t="s">
        <v>112</v>
      </c>
      <c r="E1489" t="s">
        <v>395</v>
      </c>
      <c r="F1489" s="174" t="n">
        <v>2036</v>
      </c>
      <c r="G1489" s="175" t="n">
        <v>37</v>
      </c>
      <c r="H1489" s="176" t="n">
        <v>2091.48926560148</v>
      </c>
      <c r="I1489" s="177" t="n">
        <v>4309026.90496072</v>
      </c>
      <c r="J1489" s="178" t="str">
        <f>IF(I1489&gt;0,H1489/I1489,0)</f>
      </c>
      <c r="K1489" s="179" t="str">
        <f>1-EXP(-J1489)</f>
      </c>
      <c r="L1489" s="180" t="str">
        <f>IF(G1489=30,1,M1488)</f>
      </c>
      <c r="M1489" s="181" t="str">
        <f>L1489*(1-K1489)</f>
      </c>
    </row>
    <row r="1490">
      <c r="A1490" t="s">
        <v>164</v>
      </c>
      <c r="B1490" t="s">
        <v>112</v>
      </c>
      <c r="C1490" s="32" t="s">
        <v>297</v>
      </c>
      <c r="D1490" t="s">
        <v>112</v>
      </c>
      <c r="E1490" t="s">
        <v>395</v>
      </c>
      <c r="F1490" s="174" t="n">
        <v>2036</v>
      </c>
      <c r="G1490" s="175" t="n">
        <v>38</v>
      </c>
      <c r="H1490" s="176" t="n">
        <v>2284.06630854919</v>
      </c>
      <c r="I1490" s="177" t="n">
        <v>4366458.32874348</v>
      </c>
      <c r="J1490" s="178" t="str">
        <f>IF(I1490&gt;0,H1490/I1490,0)</f>
      </c>
      <c r="K1490" s="179" t="str">
        <f>1-EXP(-J1490)</f>
      </c>
      <c r="L1490" s="180" t="str">
        <f>IF(G1490=30,1,M1489)</f>
      </c>
      <c r="M1490" s="181" t="str">
        <f>L1490*(1-K1490)</f>
      </c>
    </row>
    <row r="1491">
      <c r="A1491" t="s">
        <v>164</v>
      </c>
      <c r="B1491" t="s">
        <v>112</v>
      </c>
      <c r="C1491" s="32" t="s">
        <v>297</v>
      </c>
      <c r="D1491" t="s">
        <v>112</v>
      </c>
      <c r="E1491" t="s">
        <v>395</v>
      </c>
      <c r="F1491" s="174" t="n">
        <v>2036</v>
      </c>
      <c r="G1491" s="175" t="n">
        <v>39</v>
      </c>
      <c r="H1491" s="176" t="n">
        <v>2756.36562221466</v>
      </c>
      <c r="I1491" s="177" t="n">
        <v>4501943.99798825</v>
      </c>
      <c r="J1491" s="178" t="str">
        <f>IF(I1491&gt;0,H1491/I1491,0)</f>
      </c>
      <c r="K1491" s="179" t="str">
        <f>1-EXP(-J1491)</f>
      </c>
      <c r="L1491" s="180" t="str">
        <f>IF(G1491=30,1,M1490)</f>
      </c>
      <c r="M1491" s="181" t="str">
        <f>L1491*(1-K1491)</f>
      </c>
    </row>
    <row r="1492">
      <c r="A1492" t="s">
        <v>164</v>
      </c>
      <c r="B1492" t="s">
        <v>112</v>
      </c>
      <c r="C1492" s="32" t="s">
        <v>297</v>
      </c>
      <c r="D1492" t="s">
        <v>112</v>
      </c>
      <c r="E1492" t="s">
        <v>395</v>
      </c>
      <c r="F1492" s="174" t="n">
        <v>2036</v>
      </c>
      <c r="G1492" s="175" t="n">
        <v>40</v>
      </c>
      <c r="H1492" s="176" t="n">
        <v>3653.10582894645</v>
      </c>
      <c r="I1492" s="177" t="n">
        <v>4456474.58732144</v>
      </c>
      <c r="J1492" s="178" t="str">
        <f>IF(I1492&gt;0,H1492/I1492,0)</f>
      </c>
      <c r="K1492" s="179" t="str">
        <f>1-EXP(-J1492)</f>
      </c>
      <c r="L1492" s="180" t="str">
        <f>IF(G1492=30,1,M1491)</f>
      </c>
      <c r="M1492" s="181" t="str">
        <f>L1492*(1-K1492)</f>
      </c>
    </row>
    <row r="1493">
      <c r="A1493" t="s">
        <v>164</v>
      </c>
      <c r="B1493" t="s">
        <v>112</v>
      </c>
      <c r="C1493" s="32" t="s">
        <v>297</v>
      </c>
      <c r="D1493" t="s">
        <v>112</v>
      </c>
      <c r="E1493" t="s">
        <v>395</v>
      </c>
      <c r="F1493" s="174" t="n">
        <v>2036</v>
      </c>
      <c r="G1493" s="175" t="n">
        <v>41</v>
      </c>
      <c r="H1493" s="176" t="n">
        <v>3879.92528557085</v>
      </c>
      <c r="I1493" s="177" t="n">
        <v>4380033.47373923</v>
      </c>
      <c r="J1493" s="178" t="str">
        <f>IF(I1493&gt;0,H1493/I1493,0)</f>
      </c>
      <c r="K1493" s="179" t="str">
        <f>1-EXP(-J1493)</f>
      </c>
      <c r="L1493" s="180" t="str">
        <f>IF(G1493=30,1,M1492)</f>
      </c>
      <c r="M1493" s="181" t="str">
        <f>L1493*(1-K1493)</f>
      </c>
    </row>
    <row r="1494">
      <c r="A1494" t="s">
        <v>164</v>
      </c>
      <c r="B1494" t="s">
        <v>112</v>
      </c>
      <c r="C1494" s="32" t="s">
        <v>297</v>
      </c>
      <c r="D1494" t="s">
        <v>112</v>
      </c>
      <c r="E1494" t="s">
        <v>395</v>
      </c>
      <c r="F1494" s="174" t="n">
        <v>2036</v>
      </c>
      <c r="G1494" s="175" t="n">
        <v>42</v>
      </c>
      <c r="H1494" s="176" t="n">
        <v>4145.89470859059</v>
      </c>
      <c r="I1494" s="177" t="n">
        <v>4319620.22224293</v>
      </c>
      <c r="J1494" s="178" t="str">
        <f>IF(I1494&gt;0,H1494/I1494,0)</f>
      </c>
      <c r="K1494" s="179" t="str">
        <f>1-EXP(-J1494)</f>
      </c>
      <c r="L1494" s="180" t="str">
        <f>IF(G1494=30,1,M1493)</f>
      </c>
      <c r="M1494" s="181" t="str">
        <f>L1494*(1-K1494)</f>
      </c>
    </row>
    <row r="1495">
      <c r="A1495" t="s">
        <v>164</v>
      </c>
      <c r="B1495" t="s">
        <v>112</v>
      </c>
      <c r="C1495" s="32" t="s">
        <v>297</v>
      </c>
      <c r="D1495" t="s">
        <v>112</v>
      </c>
      <c r="E1495" t="s">
        <v>395</v>
      </c>
      <c r="F1495" s="174" t="n">
        <v>2036</v>
      </c>
      <c r="G1495" s="175" t="n">
        <v>43</v>
      </c>
      <c r="H1495" s="176" t="n">
        <v>4445.48120914268</v>
      </c>
      <c r="I1495" s="177" t="n">
        <v>4262429.24973728</v>
      </c>
      <c r="J1495" s="178" t="str">
        <f>IF(I1495&gt;0,H1495/I1495,0)</f>
      </c>
      <c r="K1495" s="179" t="str">
        <f>1-EXP(-J1495)</f>
      </c>
      <c r="L1495" s="180" t="str">
        <f>IF(G1495=30,1,M1494)</f>
      </c>
      <c r="M1495" s="181" t="str">
        <f>L1495*(1-K1495)</f>
      </c>
    </row>
    <row r="1496">
      <c r="A1496" t="s">
        <v>164</v>
      </c>
      <c r="B1496" t="s">
        <v>112</v>
      </c>
      <c r="C1496" s="32" t="s">
        <v>297</v>
      </c>
      <c r="D1496" t="s">
        <v>112</v>
      </c>
      <c r="E1496" t="s">
        <v>395</v>
      </c>
      <c r="F1496" s="174" t="n">
        <v>2036</v>
      </c>
      <c r="G1496" s="175" t="n">
        <v>44</v>
      </c>
      <c r="H1496" s="176" t="n">
        <v>4876.26923713479</v>
      </c>
      <c r="I1496" s="177" t="n">
        <v>4294954.91901602</v>
      </c>
      <c r="J1496" s="178" t="str">
        <f>IF(I1496&gt;0,H1496/I1496,0)</f>
      </c>
      <c r="K1496" s="179" t="str">
        <f>1-EXP(-J1496)</f>
      </c>
      <c r="L1496" s="180" t="str">
        <f>IF(G1496=30,1,M1495)</f>
      </c>
      <c r="M1496" s="181" t="str">
        <f>L1496*(1-K1496)</f>
      </c>
    </row>
    <row r="1497">
      <c r="A1497" t="s">
        <v>164</v>
      </c>
      <c r="B1497" t="s">
        <v>112</v>
      </c>
      <c r="C1497" s="32" t="s">
        <v>297</v>
      </c>
      <c r="D1497" t="s">
        <v>112</v>
      </c>
      <c r="E1497" t="s">
        <v>395</v>
      </c>
      <c r="F1497" s="174" t="n">
        <v>2036</v>
      </c>
      <c r="G1497" s="175" t="n">
        <v>45</v>
      </c>
      <c r="H1497" s="176" t="n">
        <v>6291.90925717715</v>
      </c>
      <c r="I1497" s="177" t="n">
        <v>4307416.4693019</v>
      </c>
      <c r="J1497" s="178" t="str">
        <f>IF(I1497&gt;0,H1497/I1497,0)</f>
      </c>
      <c r="K1497" s="179" t="str">
        <f>1-EXP(-J1497)</f>
      </c>
      <c r="L1497" s="180" t="str">
        <f>IF(G1497=30,1,M1496)</f>
      </c>
      <c r="M1497" s="181" t="str">
        <f>L1497*(1-K1497)</f>
      </c>
    </row>
    <row r="1498">
      <c r="A1498" t="s">
        <v>164</v>
      </c>
      <c r="B1498" t="s">
        <v>112</v>
      </c>
      <c r="C1498" s="32" t="s">
        <v>297</v>
      </c>
      <c r="D1498" t="s">
        <v>112</v>
      </c>
      <c r="E1498" t="s">
        <v>395</v>
      </c>
      <c r="F1498" s="174" t="n">
        <v>2036</v>
      </c>
      <c r="G1498" s="175" t="n">
        <v>46</v>
      </c>
      <c r="H1498" s="176" t="n">
        <v>9391.4649035514</v>
      </c>
      <c r="I1498" s="177" t="n">
        <v>6337687.34803761</v>
      </c>
      <c r="J1498" s="178" t="str">
        <f>IF(I1498&gt;0,H1498/I1498,0)</f>
      </c>
      <c r="K1498" s="179" t="str">
        <f>1-EXP(-J1498)</f>
      </c>
      <c r="L1498" s="180" t="str">
        <f>IF(G1498=30,1,M1497)</f>
      </c>
      <c r="M1498" s="181" t="str">
        <f>L1498*(1-K1498)</f>
      </c>
    </row>
    <row r="1499">
      <c r="A1499" t="s">
        <v>164</v>
      </c>
      <c r="B1499" t="s">
        <v>112</v>
      </c>
      <c r="C1499" s="32" t="s">
        <v>297</v>
      </c>
      <c r="D1499" t="s">
        <v>112</v>
      </c>
      <c r="E1499" t="s">
        <v>395</v>
      </c>
      <c r="F1499" s="174" t="n">
        <v>2036</v>
      </c>
      <c r="G1499" s="175" t="n">
        <v>47</v>
      </c>
      <c r="H1499" s="176" t="n">
        <v>7443.02498608308</v>
      </c>
      <c r="I1499" s="177" t="n">
        <v>4253138.23607698</v>
      </c>
      <c r="J1499" s="178" t="str">
        <f>IF(I1499&gt;0,H1499/I1499,0)</f>
      </c>
      <c r="K1499" s="179" t="str">
        <f>1-EXP(-J1499)</f>
      </c>
      <c r="L1499" s="180" t="str">
        <f>IF(G1499=30,1,M1498)</f>
      </c>
      <c r="M1499" s="181" t="str">
        <f>L1499*(1-K1499)</f>
      </c>
    </row>
    <row r="1500">
      <c r="A1500" t="s">
        <v>164</v>
      </c>
      <c r="B1500" t="s">
        <v>112</v>
      </c>
      <c r="C1500" s="32" t="s">
        <v>297</v>
      </c>
      <c r="D1500" t="s">
        <v>112</v>
      </c>
      <c r="E1500" t="s">
        <v>395</v>
      </c>
      <c r="F1500" s="174" t="n">
        <v>2036</v>
      </c>
      <c r="G1500" s="175" t="n">
        <v>48</v>
      </c>
      <c r="H1500" s="176" t="n">
        <v>8110.01588531935</v>
      </c>
      <c r="I1500" s="177" t="n">
        <v>4229324.81981612</v>
      </c>
      <c r="J1500" s="178" t="str">
        <f>IF(I1500&gt;0,H1500/I1500,0)</f>
      </c>
      <c r="K1500" s="179" t="str">
        <f>1-EXP(-J1500)</f>
      </c>
      <c r="L1500" s="180" t="str">
        <f>IF(G1500=30,1,M1499)</f>
      </c>
      <c r="M1500" s="181" t="str">
        <f>L1500*(1-K1500)</f>
      </c>
    </row>
    <row r="1501">
      <c r="A1501" t="s">
        <v>164</v>
      </c>
      <c r="B1501" t="s">
        <v>112</v>
      </c>
      <c r="C1501" s="32" t="s">
        <v>297</v>
      </c>
      <c r="D1501" t="s">
        <v>112</v>
      </c>
      <c r="E1501" t="s">
        <v>395</v>
      </c>
      <c r="F1501" s="174" t="n">
        <v>2036</v>
      </c>
      <c r="G1501" s="175" t="n">
        <v>49</v>
      </c>
      <c r="H1501" s="176" t="n">
        <v>8599.13029198955</v>
      </c>
      <c r="I1501" s="177" t="n">
        <v>4091749.26114892</v>
      </c>
      <c r="J1501" s="178" t="str">
        <f>IF(I1501&gt;0,H1501/I1501,0)</f>
      </c>
      <c r="K1501" s="179" t="str">
        <f>1-EXP(-J1501)</f>
      </c>
      <c r="L1501" s="180" t="str">
        <f>IF(G1501=30,1,M1500)</f>
      </c>
      <c r="M1501" s="181" t="str">
        <f>L1501*(1-K1501)</f>
      </c>
    </row>
    <row r="1502">
      <c r="A1502" t="s">
        <v>164</v>
      </c>
      <c r="B1502" t="s">
        <v>112</v>
      </c>
      <c r="C1502" s="32" t="s">
        <v>297</v>
      </c>
      <c r="D1502" t="s">
        <v>112</v>
      </c>
      <c r="E1502" t="s">
        <v>395</v>
      </c>
      <c r="F1502" s="174" t="n">
        <v>2036</v>
      </c>
      <c r="G1502" s="175" t="n">
        <v>50</v>
      </c>
      <c r="H1502" s="176" t="n">
        <v>9826.62096543353</v>
      </c>
      <c r="I1502" s="177" t="n">
        <v>4049099.3662689</v>
      </c>
      <c r="J1502" s="178" t="str">
        <f>IF(I1502&gt;0,H1502/I1502,0)</f>
      </c>
      <c r="K1502" s="179" t="str">
        <f>1-EXP(-J1502)</f>
      </c>
      <c r="L1502" s="180" t="str">
        <f>IF(G1502=30,1,M1501)</f>
      </c>
      <c r="M1502" s="181" t="str">
        <f>L1502*(1-K1502)</f>
      </c>
    </row>
    <row r="1503">
      <c r="A1503" t="s">
        <v>164</v>
      </c>
      <c r="B1503" t="s">
        <v>112</v>
      </c>
      <c r="C1503" s="32" t="s">
        <v>297</v>
      </c>
      <c r="D1503" t="s">
        <v>112</v>
      </c>
      <c r="E1503" t="s">
        <v>395</v>
      </c>
      <c r="F1503" s="174" t="n">
        <v>2036</v>
      </c>
      <c r="G1503" s="175" t="n">
        <v>51</v>
      </c>
      <c r="H1503" s="176" t="n">
        <v>10871.1131912425</v>
      </c>
      <c r="I1503" s="177" t="n">
        <v>4095906.68611275</v>
      </c>
      <c r="J1503" s="178" t="str">
        <f>IF(I1503&gt;0,H1503/I1503,0)</f>
      </c>
      <c r="K1503" s="179" t="str">
        <f>1-EXP(-J1503)</f>
      </c>
      <c r="L1503" s="180" t="str">
        <f>IF(G1503=30,1,M1502)</f>
      </c>
      <c r="M1503" s="181" t="str">
        <f>L1503*(1-K1503)</f>
      </c>
    </row>
    <row r="1504">
      <c r="A1504" t="s">
        <v>164</v>
      </c>
      <c r="B1504" t="s">
        <v>112</v>
      </c>
      <c r="C1504" s="32" t="s">
        <v>297</v>
      </c>
      <c r="D1504" t="s">
        <v>112</v>
      </c>
      <c r="E1504" t="s">
        <v>395</v>
      </c>
      <c r="F1504" s="174" t="n">
        <v>2036</v>
      </c>
      <c r="G1504" s="175" t="n">
        <v>52</v>
      </c>
      <c r="H1504" s="176" t="n">
        <v>12082.6524959104</v>
      </c>
      <c r="I1504" s="177" t="n">
        <v>4166478.27845935</v>
      </c>
      <c r="J1504" s="178" t="str">
        <f>IF(I1504&gt;0,H1504/I1504,0)</f>
      </c>
      <c r="K1504" s="179" t="str">
        <f>1-EXP(-J1504)</f>
      </c>
      <c r="L1504" s="180" t="str">
        <f>IF(G1504=30,1,M1503)</f>
      </c>
      <c r="M1504" s="181" t="str">
        <f>L1504*(1-K1504)</f>
      </c>
    </row>
    <row r="1505">
      <c r="A1505" t="s">
        <v>164</v>
      </c>
      <c r="B1505" t="s">
        <v>112</v>
      </c>
      <c r="C1505" s="32" t="s">
        <v>297</v>
      </c>
      <c r="D1505" t="s">
        <v>112</v>
      </c>
      <c r="E1505" t="s">
        <v>395</v>
      </c>
      <c r="F1505" s="174" t="n">
        <v>2036</v>
      </c>
      <c r="G1505" s="175" t="n">
        <v>53</v>
      </c>
      <c r="H1505" s="176" t="n">
        <v>13075.9618672406</v>
      </c>
      <c r="I1505" s="177" t="n">
        <v>4130270.41404763</v>
      </c>
      <c r="J1505" s="178" t="str">
        <f>IF(I1505&gt;0,H1505/I1505,0)</f>
      </c>
      <c r="K1505" s="179" t="str">
        <f>1-EXP(-J1505)</f>
      </c>
      <c r="L1505" s="180" t="str">
        <f>IF(G1505=30,1,M1504)</f>
      </c>
      <c r="M1505" s="181" t="str">
        <f>L1505*(1-K1505)</f>
      </c>
    </row>
    <row r="1506">
      <c r="A1506" t="s">
        <v>164</v>
      </c>
      <c r="B1506" t="s">
        <v>112</v>
      </c>
      <c r="C1506" s="32" t="s">
        <v>297</v>
      </c>
      <c r="D1506" t="s">
        <v>112</v>
      </c>
      <c r="E1506" t="s">
        <v>395</v>
      </c>
      <c r="F1506" s="174" t="n">
        <v>2036</v>
      </c>
      <c r="G1506" s="175" t="n">
        <v>54</v>
      </c>
      <c r="H1506" s="176" t="n">
        <v>13777.5466401562</v>
      </c>
      <c r="I1506" s="177" t="n">
        <v>3984764.49532135</v>
      </c>
      <c r="J1506" s="178" t="str">
        <f>IF(I1506&gt;0,H1506/I1506,0)</f>
      </c>
      <c r="K1506" s="179" t="str">
        <f>1-EXP(-J1506)</f>
      </c>
      <c r="L1506" s="180" t="str">
        <f>IF(G1506=30,1,M1505)</f>
      </c>
      <c r="M1506" s="181" t="str">
        <f>L1506*(1-K1506)</f>
      </c>
    </row>
    <row r="1507">
      <c r="A1507" t="s">
        <v>164</v>
      </c>
      <c r="B1507" t="s">
        <v>112</v>
      </c>
      <c r="C1507" s="32" t="s">
        <v>297</v>
      </c>
      <c r="D1507" t="s">
        <v>112</v>
      </c>
      <c r="E1507" t="s">
        <v>395</v>
      </c>
      <c r="F1507" s="174" t="n">
        <v>2036</v>
      </c>
      <c r="G1507" s="175" t="n">
        <v>55</v>
      </c>
      <c r="H1507" s="176" t="n">
        <v>14692.8572313218</v>
      </c>
      <c r="I1507" s="177" t="n">
        <v>3898943.7078317</v>
      </c>
      <c r="J1507" s="178" t="str">
        <f>IF(I1507&gt;0,H1507/I1507,0)</f>
      </c>
      <c r="K1507" s="179" t="str">
        <f>1-EXP(-J1507)</f>
      </c>
      <c r="L1507" s="180" t="str">
        <f>IF(G1507=30,1,M1506)</f>
      </c>
      <c r="M1507" s="181" t="str">
        <f>L1507*(1-K1507)</f>
      </c>
    </row>
    <row r="1508">
      <c r="A1508" t="s">
        <v>164</v>
      </c>
      <c r="B1508" t="s">
        <v>112</v>
      </c>
      <c r="C1508" s="32" t="s">
        <v>297</v>
      </c>
      <c r="D1508" t="s">
        <v>112</v>
      </c>
      <c r="E1508" t="s">
        <v>395</v>
      </c>
      <c r="F1508" s="174" t="n">
        <v>2036</v>
      </c>
      <c r="G1508" s="175" t="n">
        <v>56</v>
      </c>
      <c r="H1508" s="176" t="n">
        <v>15734.6685133687</v>
      </c>
      <c r="I1508" s="177" t="n">
        <v>3827259.08188371</v>
      </c>
      <c r="J1508" s="178" t="str">
        <f>IF(I1508&gt;0,H1508/I1508,0)</f>
      </c>
      <c r="K1508" s="179" t="str">
        <f>1-EXP(-J1508)</f>
      </c>
      <c r="L1508" s="180" t="str">
        <f>IF(G1508=30,1,M1507)</f>
      </c>
      <c r="M1508" s="181" t="str">
        <f>L1508*(1-K1508)</f>
      </c>
    </row>
    <row r="1509">
      <c r="A1509" t="s">
        <v>164</v>
      </c>
      <c r="B1509" t="s">
        <v>112</v>
      </c>
      <c r="C1509" s="32" t="s">
        <v>297</v>
      </c>
      <c r="D1509" t="s">
        <v>112</v>
      </c>
      <c r="E1509" t="s">
        <v>395</v>
      </c>
      <c r="F1509" s="174" t="n">
        <v>2036</v>
      </c>
      <c r="G1509" s="175" t="n">
        <v>57</v>
      </c>
      <c r="H1509" s="176" t="n">
        <v>16831.0237665145</v>
      </c>
      <c r="I1509" s="177" t="n">
        <v>3749797.13973671</v>
      </c>
      <c r="J1509" s="178" t="str">
        <f>IF(I1509&gt;0,H1509/I1509,0)</f>
      </c>
      <c r="K1509" s="179" t="str">
        <f>1-EXP(-J1509)</f>
      </c>
      <c r="L1509" s="180" t="str">
        <f>IF(G1509=30,1,M1508)</f>
      </c>
      <c r="M1509" s="181" t="str">
        <f>L1509*(1-K1509)</f>
      </c>
    </row>
    <row r="1510">
      <c r="A1510" t="s">
        <v>164</v>
      </c>
      <c r="B1510" t="s">
        <v>112</v>
      </c>
      <c r="C1510" s="32" t="s">
        <v>297</v>
      </c>
      <c r="D1510" t="s">
        <v>112</v>
      </c>
      <c r="E1510" t="s">
        <v>395</v>
      </c>
      <c r="F1510" s="174" t="n">
        <v>2036</v>
      </c>
      <c r="G1510" s="175" t="n">
        <v>58</v>
      </c>
      <c r="H1510" s="176" t="n">
        <v>17918.0065120741</v>
      </c>
      <c r="I1510" s="177" t="n">
        <v>3653055.19092454</v>
      </c>
      <c r="J1510" s="178" t="str">
        <f>IF(I1510&gt;0,H1510/I1510,0)</f>
      </c>
      <c r="K1510" s="179" t="str">
        <f>1-EXP(-J1510)</f>
      </c>
      <c r="L1510" s="180" t="str">
        <f>IF(G1510=30,1,M1509)</f>
      </c>
      <c r="M1510" s="181" t="str">
        <f>L1510*(1-K1510)</f>
      </c>
    </row>
    <row r="1511">
      <c r="A1511" t="s">
        <v>164</v>
      </c>
      <c r="B1511" t="s">
        <v>112</v>
      </c>
      <c r="C1511" s="32" t="s">
        <v>297</v>
      </c>
      <c r="D1511" t="s">
        <v>112</v>
      </c>
      <c r="E1511" t="s">
        <v>395</v>
      </c>
      <c r="F1511" s="174" t="n">
        <v>2036</v>
      </c>
      <c r="G1511" s="175" t="n">
        <v>59</v>
      </c>
      <c r="H1511" s="176" t="n">
        <v>19182.0608073268</v>
      </c>
      <c r="I1511" s="177" t="n">
        <v>3571386.71573347</v>
      </c>
      <c r="J1511" s="178" t="str">
        <f>IF(I1511&gt;0,H1511/I1511,0)</f>
      </c>
      <c r="K1511" s="179" t="str">
        <f>1-EXP(-J1511)</f>
      </c>
      <c r="L1511" s="180" t="str">
        <f>IF(G1511=30,1,M1510)</f>
      </c>
      <c r="M1511" s="181" t="str">
        <f>L1511*(1-K1511)</f>
      </c>
    </row>
    <row r="1512">
      <c r="A1512" t="s">
        <v>164</v>
      </c>
      <c r="B1512" t="s">
        <v>112</v>
      </c>
      <c r="C1512" s="32" t="s">
        <v>297</v>
      </c>
      <c r="D1512" t="s">
        <v>112</v>
      </c>
      <c r="E1512" t="s">
        <v>395</v>
      </c>
      <c r="F1512" s="174" t="n">
        <v>2036</v>
      </c>
      <c r="G1512" s="175" t="n">
        <v>60</v>
      </c>
      <c r="H1512" s="176" t="n">
        <v>20544.1827138315</v>
      </c>
      <c r="I1512" s="177" t="n">
        <v>3477812.62912315</v>
      </c>
      <c r="J1512" s="178" t="str">
        <f>IF(I1512&gt;0,H1512/I1512,0)</f>
      </c>
      <c r="K1512" s="179" t="str">
        <f>1-EXP(-J1512)</f>
      </c>
      <c r="L1512" s="180" t="str">
        <f>IF(G1512=30,1,M1511)</f>
      </c>
      <c r="M1512" s="181" t="str">
        <f>L1512*(1-K1512)</f>
      </c>
    </row>
    <row r="1513">
      <c r="A1513" t="s">
        <v>164</v>
      </c>
      <c r="B1513" t="s">
        <v>112</v>
      </c>
      <c r="C1513" s="32" t="s">
        <v>297</v>
      </c>
      <c r="D1513" t="s">
        <v>112</v>
      </c>
      <c r="E1513" t="s">
        <v>395</v>
      </c>
      <c r="F1513" s="174" t="n">
        <v>2036</v>
      </c>
      <c r="G1513" s="175" t="n">
        <v>61</v>
      </c>
      <c r="H1513" s="176" t="n">
        <v>21872.2452059444</v>
      </c>
      <c r="I1513" s="177" t="n">
        <v>3382166.85773495</v>
      </c>
      <c r="J1513" s="178" t="str">
        <f>IF(I1513&gt;0,H1513/I1513,0)</f>
      </c>
      <c r="K1513" s="179" t="str">
        <f>1-EXP(-J1513)</f>
      </c>
      <c r="L1513" s="180" t="str">
        <f>IF(G1513=30,1,M1512)</f>
      </c>
      <c r="M1513" s="181" t="str">
        <f>L1513*(1-K1513)</f>
      </c>
    </row>
    <row r="1514">
      <c r="A1514" t="s">
        <v>164</v>
      </c>
      <c r="B1514" t="s">
        <v>112</v>
      </c>
      <c r="C1514" s="32" t="s">
        <v>297</v>
      </c>
      <c r="D1514" t="s">
        <v>112</v>
      </c>
      <c r="E1514" t="s">
        <v>395</v>
      </c>
      <c r="F1514" s="174" t="n">
        <v>2036</v>
      </c>
      <c r="G1514" s="175" t="n">
        <v>62</v>
      </c>
      <c r="H1514" s="176" t="n">
        <v>23093.1520008667</v>
      </c>
      <c r="I1514" s="177" t="n">
        <v>3260489.76759723</v>
      </c>
      <c r="J1514" s="178" t="str">
        <f>IF(I1514&gt;0,H1514/I1514,0)</f>
      </c>
      <c r="K1514" s="179" t="str">
        <f>1-EXP(-J1514)</f>
      </c>
      <c r="L1514" s="180" t="str">
        <f>IF(G1514=30,1,M1513)</f>
      </c>
      <c r="M1514" s="181" t="str">
        <f>L1514*(1-K1514)</f>
      </c>
    </row>
    <row r="1515">
      <c r="A1515" t="s">
        <v>164</v>
      </c>
      <c r="B1515" t="s">
        <v>112</v>
      </c>
      <c r="C1515" s="32" t="s">
        <v>297</v>
      </c>
      <c r="D1515" t="s">
        <v>112</v>
      </c>
      <c r="E1515" t="s">
        <v>395</v>
      </c>
      <c r="F1515" s="174" t="n">
        <v>2036</v>
      </c>
      <c r="G1515" s="175" t="n">
        <v>63</v>
      </c>
      <c r="H1515" s="176" t="n">
        <v>24774.4119726002</v>
      </c>
      <c r="I1515" s="177" t="n">
        <v>3192990.05106605</v>
      </c>
      <c r="J1515" s="178" t="str">
        <f>IF(I1515&gt;0,H1515/I1515,0)</f>
      </c>
      <c r="K1515" s="179" t="str">
        <f>1-EXP(-J1515)</f>
      </c>
      <c r="L1515" s="180" t="str">
        <f>IF(G1515=30,1,M1514)</f>
      </c>
      <c r="M1515" s="181" t="str">
        <f>L1515*(1-K1515)</f>
      </c>
    </row>
    <row r="1516">
      <c r="A1516" t="s">
        <v>164</v>
      </c>
      <c r="B1516" t="s">
        <v>112</v>
      </c>
      <c r="C1516" s="32" t="s">
        <v>297</v>
      </c>
      <c r="D1516" t="s">
        <v>112</v>
      </c>
      <c r="E1516" t="s">
        <v>395</v>
      </c>
      <c r="F1516" s="174" t="n">
        <v>2036</v>
      </c>
      <c r="G1516" s="175" t="n">
        <v>64</v>
      </c>
      <c r="H1516" s="176" t="n">
        <v>25328.2625662954</v>
      </c>
      <c r="I1516" s="177" t="n">
        <v>2975495.4521472</v>
      </c>
      <c r="J1516" s="178" t="str">
        <f>IF(I1516&gt;0,H1516/I1516,0)</f>
      </c>
      <c r="K1516" s="179" t="str">
        <f>1-EXP(-J1516)</f>
      </c>
      <c r="L1516" s="180" t="str">
        <f>IF(G1516=30,1,M1515)</f>
      </c>
      <c r="M1516" s="181" t="str">
        <f>L1516*(1-K1516)</f>
      </c>
    </row>
    <row r="1517">
      <c r="A1517" t="s">
        <v>164</v>
      </c>
      <c r="B1517" t="s">
        <v>112</v>
      </c>
      <c r="C1517" s="32" t="s">
        <v>297</v>
      </c>
      <c r="D1517" t="s">
        <v>112</v>
      </c>
      <c r="E1517" t="s">
        <v>395</v>
      </c>
      <c r="F1517" s="174" t="n">
        <v>2036</v>
      </c>
      <c r="G1517" s="175" t="n">
        <v>65</v>
      </c>
      <c r="H1517" s="176" t="n">
        <v>25778.0874669371</v>
      </c>
      <c r="I1517" s="177" t="n">
        <v>2868161.82058969</v>
      </c>
      <c r="J1517" s="178" t="str">
        <f>IF(I1517&gt;0,H1517/I1517,0)</f>
      </c>
      <c r="K1517" s="179" t="str">
        <f>1-EXP(-J1517)</f>
      </c>
      <c r="L1517" s="180" t="str">
        <f>IF(G1517=30,1,M1516)</f>
      </c>
      <c r="M1517" s="181" t="str">
        <f>L1517*(1-K1517)</f>
      </c>
    </row>
    <row r="1518">
      <c r="A1518" t="s">
        <v>164</v>
      </c>
      <c r="B1518" t="s">
        <v>112</v>
      </c>
      <c r="C1518" s="32" t="s">
        <v>297</v>
      </c>
      <c r="D1518" t="s">
        <v>112</v>
      </c>
      <c r="E1518" t="s">
        <v>395</v>
      </c>
      <c r="F1518" s="174" t="n">
        <v>2036</v>
      </c>
      <c r="G1518" s="175" t="n">
        <v>66</v>
      </c>
      <c r="H1518" s="176" t="n">
        <v>27249.2222074255</v>
      </c>
      <c r="I1518" s="177" t="n">
        <v>2764223.0622552</v>
      </c>
      <c r="J1518" s="178" t="str">
        <f>IF(I1518&gt;0,H1518/I1518,0)</f>
      </c>
      <c r="K1518" s="179" t="str">
        <f>1-EXP(-J1518)</f>
      </c>
      <c r="L1518" s="180" t="str">
        <f>IF(G1518=30,1,M1517)</f>
      </c>
      <c r="M1518" s="181" t="str">
        <f>L1518*(1-K1518)</f>
      </c>
    </row>
    <row r="1519">
      <c r="A1519" t="s">
        <v>164</v>
      </c>
      <c r="B1519" t="s">
        <v>112</v>
      </c>
      <c r="C1519" s="32" t="s">
        <v>297</v>
      </c>
      <c r="D1519" t="s">
        <v>112</v>
      </c>
      <c r="E1519" t="s">
        <v>395</v>
      </c>
      <c r="F1519" s="174" t="n">
        <v>2036</v>
      </c>
      <c r="G1519" s="175" t="n">
        <v>67</v>
      </c>
      <c r="H1519" s="176" t="n">
        <v>28671.8145272197</v>
      </c>
      <c r="I1519" s="177" t="n">
        <v>2650824.85585748</v>
      </c>
      <c r="J1519" s="178" t="str">
        <f>IF(I1519&gt;0,H1519/I1519,0)</f>
      </c>
      <c r="K1519" s="179" t="str">
        <f>1-EXP(-J1519)</f>
      </c>
      <c r="L1519" s="180" t="str">
        <f>IF(G1519=30,1,M1518)</f>
      </c>
      <c r="M1519" s="181" t="str">
        <f>L1519*(1-K1519)</f>
      </c>
    </row>
    <row r="1520">
      <c r="A1520" t="s">
        <v>164</v>
      </c>
      <c r="B1520" t="s">
        <v>112</v>
      </c>
      <c r="C1520" s="32" t="s">
        <v>297</v>
      </c>
      <c r="D1520" t="s">
        <v>112</v>
      </c>
      <c r="E1520" t="s">
        <v>395</v>
      </c>
      <c r="F1520" s="174" t="n">
        <v>2036</v>
      </c>
      <c r="G1520" s="175" t="n">
        <v>68</v>
      </c>
      <c r="H1520" s="176" t="n">
        <v>29922.3943499646</v>
      </c>
      <c r="I1520" s="177" t="n">
        <v>2519636.29338214</v>
      </c>
      <c r="J1520" s="178" t="str">
        <f>IF(I1520&gt;0,H1520/I1520,0)</f>
      </c>
      <c r="K1520" s="179" t="str">
        <f>1-EXP(-J1520)</f>
      </c>
      <c r="L1520" s="180" t="str">
        <f>IF(G1520=30,1,M1519)</f>
      </c>
      <c r="M1520" s="181" t="str">
        <f>L1520*(1-K1520)</f>
      </c>
    </row>
    <row r="1521">
      <c r="A1521" t="s">
        <v>164</v>
      </c>
      <c r="B1521" t="s">
        <v>112</v>
      </c>
      <c r="C1521" s="32" t="s">
        <v>297</v>
      </c>
      <c r="D1521" t="s">
        <v>112</v>
      </c>
      <c r="E1521" t="s">
        <v>395</v>
      </c>
      <c r="F1521" s="174" t="n">
        <v>2036</v>
      </c>
      <c r="G1521" s="175" t="n">
        <v>69</v>
      </c>
      <c r="H1521" s="176" t="n">
        <v>30841.3922177049</v>
      </c>
      <c r="I1521" s="177" t="n">
        <v>2361408.7688455</v>
      </c>
      <c r="J1521" s="178" t="str">
        <f>IF(I1521&gt;0,H1521/I1521,0)</f>
      </c>
      <c r="K1521" s="179" t="str">
        <f>1-EXP(-J1521)</f>
      </c>
      <c r="L1521" s="180" t="str">
        <f>IF(G1521=30,1,M1520)</f>
      </c>
      <c r="M1521" s="181" t="str">
        <f>L1521*(1-K1521)</f>
      </c>
    </row>
    <row r="1522">
      <c r="A1522" t="s">
        <v>164</v>
      </c>
      <c r="B1522" t="s">
        <v>112</v>
      </c>
      <c r="C1522" s="32" t="s">
        <v>297</v>
      </c>
      <c r="D1522" t="s">
        <v>112</v>
      </c>
      <c r="E1522" t="s">
        <v>395</v>
      </c>
      <c r="F1522" s="174" t="n">
        <v>2037</v>
      </c>
      <c r="G1522" s="175" t="n">
        <v>30</v>
      </c>
      <c r="H1522" s="176" t="n">
        <v>840.820435338457</v>
      </c>
      <c r="I1522" s="177" t="n">
        <v>4685527.89729263</v>
      </c>
      <c r="J1522" s="178" t="str">
        <f>IF(I1522&gt;0,H1522/I1522,0)</f>
      </c>
      <c r="K1522" s="179" t="str">
        <f>1-EXP(-J1522)</f>
      </c>
      <c r="L1522" s="180" t="str">
        <f>IF(G1522=30,1,M1521)</f>
      </c>
      <c r="M1522" s="181" t="str">
        <f>L1522*(1-K1522)</f>
      </c>
    </row>
    <row r="1523">
      <c r="A1523" t="s">
        <v>164</v>
      </c>
      <c r="B1523" t="s">
        <v>112</v>
      </c>
      <c r="C1523" s="32" t="s">
        <v>297</v>
      </c>
      <c r="D1523" t="s">
        <v>112</v>
      </c>
      <c r="E1523" t="s">
        <v>395</v>
      </c>
      <c r="F1523" s="174" t="n">
        <v>2037</v>
      </c>
      <c r="G1523" s="175" t="n">
        <v>31</v>
      </c>
      <c r="H1523" s="176" t="n">
        <v>1034.69913223741</v>
      </c>
      <c r="I1523" s="177" t="n">
        <v>4602471.49850647</v>
      </c>
      <c r="J1523" s="178" t="str">
        <f>IF(I1523&gt;0,H1523/I1523,0)</f>
      </c>
      <c r="K1523" s="179" t="str">
        <f>1-EXP(-J1523)</f>
      </c>
      <c r="L1523" s="180" t="str">
        <f>IF(G1523=30,1,M1522)</f>
      </c>
      <c r="M1523" s="181" t="str">
        <f>L1523*(1-K1523)</f>
      </c>
    </row>
    <row r="1524">
      <c r="A1524" t="s">
        <v>164</v>
      </c>
      <c r="B1524" t="s">
        <v>112</v>
      </c>
      <c r="C1524" s="32" t="s">
        <v>297</v>
      </c>
      <c r="D1524" t="s">
        <v>112</v>
      </c>
      <c r="E1524" t="s">
        <v>395</v>
      </c>
      <c r="F1524" s="174" t="n">
        <v>2037</v>
      </c>
      <c r="G1524" s="175" t="n">
        <v>32</v>
      </c>
      <c r="H1524" s="176" t="n">
        <v>1074.77595697754</v>
      </c>
      <c r="I1524" s="177" t="n">
        <v>4541650.95561902</v>
      </c>
      <c r="J1524" s="178" t="str">
        <f>IF(I1524&gt;0,H1524/I1524,0)</f>
      </c>
      <c r="K1524" s="179" t="str">
        <f>1-EXP(-J1524)</f>
      </c>
      <c r="L1524" s="180" t="str">
        <f>IF(G1524=30,1,M1523)</f>
      </c>
      <c r="M1524" s="181" t="str">
        <f>L1524*(1-K1524)</f>
      </c>
    </row>
    <row r="1525">
      <c r="A1525" t="s">
        <v>164</v>
      </c>
      <c r="B1525" t="s">
        <v>112</v>
      </c>
      <c r="C1525" s="32" t="s">
        <v>297</v>
      </c>
      <c r="D1525" t="s">
        <v>112</v>
      </c>
      <c r="E1525" t="s">
        <v>395</v>
      </c>
      <c r="F1525" s="174" t="n">
        <v>2037</v>
      </c>
      <c r="G1525" s="175" t="n">
        <v>33</v>
      </c>
      <c r="H1525" s="176" t="n">
        <v>1106.22121214188</v>
      </c>
      <c r="I1525" s="177" t="n">
        <v>4413076.3385403</v>
      </c>
      <c r="J1525" s="178" t="str">
        <f>IF(I1525&gt;0,H1525/I1525,0)</f>
      </c>
      <c r="K1525" s="179" t="str">
        <f>1-EXP(-J1525)</f>
      </c>
      <c r="L1525" s="180" t="str">
        <f>IF(G1525=30,1,M1524)</f>
      </c>
      <c r="M1525" s="181" t="str">
        <f>L1525*(1-K1525)</f>
      </c>
    </row>
    <row r="1526">
      <c r="A1526" t="s">
        <v>164</v>
      </c>
      <c r="B1526" t="s">
        <v>112</v>
      </c>
      <c r="C1526" s="32" t="s">
        <v>297</v>
      </c>
      <c r="D1526" t="s">
        <v>112</v>
      </c>
      <c r="E1526" t="s">
        <v>395</v>
      </c>
      <c r="F1526" s="174" t="n">
        <v>2037</v>
      </c>
      <c r="G1526" s="175" t="n">
        <v>34</v>
      </c>
      <c r="H1526" s="176" t="n">
        <v>1161.69874826334</v>
      </c>
      <c r="I1526" s="177" t="n">
        <v>4347518.65226858</v>
      </c>
      <c r="J1526" s="178" t="str">
        <f>IF(I1526&gt;0,H1526/I1526,0)</f>
      </c>
      <c r="K1526" s="179" t="str">
        <f>1-EXP(-J1526)</f>
      </c>
      <c r="L1526" s="180" t="str">
        <f>IF(G1526=30,1,M1525)</f>
      </c>
      <c r="M1526" s="181" t="str">
        <f>L1526*(1-K1526)</f>
      </c>
    </row>
    <row r="1527">
      <c r="A1527" t="s">
        <v>164</v>
      </c>
      <c r="B1527" t="s">
        <v>112</v>
      </c>
      <c r="C1527" s="32" t="s">
        <v>297</v>
      </c>
      <c r="D1527" t="s">
        <v>112</v>
      </c>
      <c r="E1527" t="s">
        <v>395</v>
      </c>
      <c r="F1527" s="174" t="n">
        <v>2037</v>
      </c>
      <c r="G1527" s="175" t="n">
        <v>35</v>
      </c>
      <c r="H1527" s="176" t="n">
        <v>1745.91340096546</v>
      </c>
      <c r="I1527" s="177" t="n">
        <v>4325500.24046208</v>
      </c>
      <c r="J1527" s="178" t="str">
        <f>IF(I1527&gt;0,H1527/I1527,0)</f>
      </c>
      <c r="K1527" s="179" t="str">
        <f>1-EXP(-J1527)</f>
      </c>
      <c r="L1527" s="180" t="str">
        <f>IF(G1527=30,1,M1526)</f>
      </c>
      <c r="M1527" s="181" t="str">
        <f>L1527*(1-K1527)</f>
      </c>
    </row>
    <row r="1528">
      <c r="A1528" t="s">
        <v>164</v>
      </c>
      <c r="B1528" t="s">
        <v>112</v>
      </c>
      <c r="C1528" s="32" t="s">
        <v>297</v>
      </c>
      <c r="D1528" t="s">
        <v>112</v>
      </c>
      <c r="E1528" t="s">
        <v>395</v>
      </c>
      <c r="F1528" s="174" t="n">
        <v>2037</v>
      </c>
      <c r="G1528" s="175" t="n">
        <v>36</v>
      </c>
      <c r="H1528" s="176" t="n">
        <v>1941.45121460133</v>
      </c>
      <c r="I1528" s="177" t="n">
        <v>4304466.31836404</v>
      </c>
      <c r="J1528" s="178" t="str">
        <f>IF(I1528&gt;0,H1528/I1528,0)</f>
      </c>
      <c r="K1528" s="179" t="str">
        <f>1-EXP(-J1528)</f>
      </c>
      <c r="L1528" s="180" t="str">
        <f>IF(G1528=30,1,M1527)</f>
      </c>
      <c r="M1528" s="181" t="str">
        <f>L1528*(1-K1528)</f>
      </c>
    </row>
    <row r="1529">
      <c r="A1529" t="s">
        <v>164</v>
      </c>
      <c r="B1529" t="s">
        <v>112</v>
      </c>
      <c r="C1529" s="32" t="s">
        <v>297</v>
      </c>
      <c r="D1529" t="s">
        <v>112</v>
      </c>
      <c r="E1529" t="s">
        <v>395</v>
      </c>
      <c r="F1529" s="174" t="n">
        <v>2037</v>
      </c>
      <c r="G1529" s="175" t="n">
        <v>37</v>
      </c>
      <c r="H1529" s="176" t="n">
        <v>2076.33493577926</v>
      </c>
      <c r="I1529" s="177" t="n">
        <v>4283327.10618521</v>
      </c>
      <c r="J1529" s="178" t="str">
        <f>IF(I1529&gt;0,H1529/I1529,0)</f>
      </c>
      <c r="K1529" s="179" t="str">
        <f>1-EXP(-J1529)</f>
      </c>
      <c r="L1529" s="180" t="str">
        <f>IF(G1529=30,1,M1528)</f>
      </c>
      <c r="M1529" s="181" t="str">
        <f>L1529*(1-K1529)</f>
      </c>
    </row>
    <row r="1530">
      <c r="A1530" t="s">
        <v>164</v>
      </c>
      <c r="B1530" t="s">
        <v>112</v>
      </c>
      <c r="C1530" s="32" t="s">
        <v>297</v>
      </c>
      <c r="D1530" t="s">
        <v>112</v>
      </c>
      <c r="E1530" t="s">
        <v>395</v>
      </c>
      <c r="F1530" s="174" t="n">
        <v>2037</v>
      </c>
      <c r="G1530" s="175" t="n">
        <v>38</v>
      </c>
      <c r="H1530" s="176" t="n">
        <v>2246.33849225523</v>
      </c>
      <c r="I1530" s="177" t="n">
        <v>4301455.54736714</v>
      </c>
      <c r="J1530" s="178" t="str">
        <f>IF(I1530&gt;0,H1530/I1530,0)</f>
      </c>
      <c r="K1530" s="179" t="str">
        <f>1-EXP(-J1530)</f>
      </c>
      <c r="L1530" s="180" t="str">
        <f>IF(G1530=30,1,M1529)</f>
      </c>
      <c r="M1530" s="181" t="str">
        <f>L1530*(1-K1530)</f>
      </c>
    </row>
    <row r="1531">
      <c r="A1531" t="s">
        <v>164</v>
      </c>
      <c r="B1531" t="s">
        <v>112</v>
      </c>
      <c r="C1531" s="32" t="s">
        <v>297</v>
      </c>
      <c r="D1531" t="s">
        <v>112</v>
      </c>
      <c r="E1531" t="s">
        <v>395</v>
      </c>
      <c r="F1531" s="174" t="n">
        <v>2037</v>
      </c>
      <c r="G1531" s="175" t="n">
        <v>39</v>
      </c>
      <c r="H1531" s="176" t="n">
        <v>2457.76937652024</v>
      </c>
      <c r="I1531" s="177" t="n">
        <v>4358223.93929822</v>
      </c>
      <c r="J1531" s="178" t="str">
        <f>IF(I1531&gt;0,H1531/I1531,0)</f>
      </c>
      <c r="K1531" s="179" t="str">
        <f>1-EXP(-J1531)</f>
      </c>
      <c r="L1531" s="180" t="str">
        <f>IF(G1531=30,1,M1530)</f>
      </c>
      <c r="M1531" s="181" t="str">
        <f>L1531*(1-K1531)</f>
      </c>
    </row>
    <row r="1532">
      <c r="A1532" t="s">
        <v>164</v>
      </c>
      <c r="B1532" t="s">
        <v>112</v>
      </c>
      <c r="C1532" s="32" t="s">
        <v>297</v>
      </c>
      <c r="D1532" t="s">
        <v>112</v>
      </c>
      <c r="E1532" t="s">
        <v>395</v>
      </c>
      <c r="F1532" s="174" t="n">
        <v>2037</v>
      </c>
      <c r="G1532" s="175" t="n">
        <v>40</v>
      </c>
      <c r="H1532" s="176" t="n">
        <v>3675.49560218975</v>
      </c>
      <c r="I1532" s="177" t="n">
        <v>4492566.57995808</v>
      </c>
      <c r="J1532" s="178" t="str">
        <f>IF(I1532&gt;0,H1532/I1532,0)</f>
      </c>
      <c r="K1532" s="179" t="str">
        <f>1-EXP(-J1532)</f>
      </c>
      <c r="L1532" s="180" t="str">
        <f>IF(G1532=30,1,M1531)</f>
      </c>
      <c r="M1532" s="181" t="str">
        <f>L1532*(1-K1532)</f>
      </c>
    </row>
    <row r="1533">
      <c r="A1533" t="s">
        <v>164</v>
      </c>
      <c r="B1533" t="s">
        <v>112</v>
      </c>
      <c r="C1533" s="32" t="s">
        <v>297</v>
      </c>
      <c r="D1533" t="s">
        <v>112</v>
      </c>
      <c r="E1533" t="s">
        <v>395</v>
      </c>
      <c r="F1533" s="174" t="n">
        <v>2037</v>
      </c>
      <c r="G1533" s="175" t="n">
        <v>41</v>
      </c>
      <c r="H1533" s="176" t="n">
        <v>3929.5537596343</v>
      </c>
      <c r="I1533" s="177" t="n">
        <v>4445670.12210756</v>
      </c>
      <c r="J1533" s="178" t="str">
        <f>IF(I1533&gt;0,H1533/I1533,0)</f>
      </c>
      <c r="K1533" s="179" t="str">
        <f>1-EXP(-J1533)</f>
      </c>
      <c r="L1533" s="180" t="str">
        <f>IF(G1533=30,1,M1532)</f>
      </c>
      <c r="M1533" s="181" t="str">
        <f>L1533*(1-K1533)</f>
      </c>
    </row>
    <row r="1534">
      <c r="A1534" t="s">
        <v>164</v>
      </c>
      <c r="B1534" t="s">
        <v>112</v>
      </c>
      <c r="C1534" s="32" t="s">
        <v>297</v>
      </c>
      <c r="D1534" t="s">
        <v>112</v>
      </c>
      <c r="E1534" t="s">
        <v>395</v>
      </c>
      <c r="F1534" s="174" t="n">
        <v>2037</v>
      </c>
      <c r="G1534" s="175" t="n">
        <v>42</v>
      </c>
      <c r="H1534" s="176" t="n">
        <v>4183.50807477629</v>
      </c>
      <c r="I1534" s="177" t="n">
        <v>4369367.64410091</v>
      </c>
      <c r="J1534" s="178" t="str">
        <f>IF(I1534&gt;0,H1534/I1534,0)</f>
      </c>
      <c r="K1534" s="179" t="str">
        <f>1-EXP(-J1534)</f>
      </c>
      <c r="L1534" s="180" t="str">
        <f>IF(G1534=30,1,M1533)</f>
      </c>
      <c r="M1534" s="181" t="str">
        <f>L1534*(1-K1534)</f>
      </c>
    </row>
    <row r="1535">
      <c r="A1535" t="s">
        <v>164</v>
      </c>
      <c r="B1535" t="s">
        <v>112</v>
      </c>
      <c r="C1535" s="32" t="s">
        <v>297</v>
      </c>
      <c r="D1535" t="s">
        <v>112</v>
      </c>
      <c r="E1535" t="s">
        <v>395</v>
      </c>
      <c r="F1535" s="174" t="n">
        <v>2037</v>
      </c>
      <c r="G1535" s="175" t="n">
        <v>43</v>
      </c>
      <c r="H1535" s="176" t="n">
        <v>4480.89673846534</v>
      </c>
      <c r="I1535" s="177" t="n">
        <v>4308242.2038057</v>
      </c>
      <c r="J1535" s="178" t="str">
        <f>IF(I1535&gt;0,H1535/I1535,0)</f>
      </c>
      <c r="K1535" s="179" t="str">
        <f>1-EXP(-J1535)</f>
      </c>
      <c r="L1535" s="180" t="str">
        <f>IF(G1535=30,1,M1534)</f>
      </c>
      <c r="M1535" s="181" t="str">
        <f>L1535*(1-K1535)</f>
      </c>
    </row>
    <row r="1536">
      <c r="A1536" t="s">
        <v>164</v>
      </c>
      <c r="B1536" t="s">
        <v>112</v>
      </c>
      <c r="C1536" s="32" t="s">
        <v>297</v>
      </c>
      <c r="D1536" t="s">
        <v>112</v>
      </c>
      <c r="E1536" t="s">
        <v>395</v>
      </c>
      <c r="F1536" s="174" t="n">
        <v>2037</v>
      </c>
      <c r="G1536" s="175" t="n">
        <v>44</v>
      </c>
      <c r="H1536" s="176" t="n">
        <v>4815.30093283384</v>
      </c>
      <c r="I1536" s="177" t="n">
        <v>4250251.44554818</v>
      </c>
      <c r="J1536" s="178" t="str">
        <f>IF(I1536&gt;0,H1536/I1536,0)</f>
      </c>
      <c r="K1536" s="179" t="str">
        <f>1-EXP(-J1536)</f>
      </c>
      <c r="L1536" s="180" t="str">
        <f>IF(G1536=30,1,M1535)</f>
      </c>
      <c r="M1536" s="181" t="str">
        <f>L1536*(1-K1536)</f>
      </c>
    </row>
    <row r="1537">
      <c r="A1537" t="s">
        <v>164</v>
      </c>
      <c r="B1537" t="s">
        <v>112</v>
      </c>
      <c r="C1537" s="32" t="s">
        <v>297</v>
      </c>
      <c r="D1537" t="s">
        <v>112</v>
      </c>
      <c r="E1537" t="s">
        <v>395</v>
      </c>
      <c r="F1537" s="174" t="n">
        <v>2037</v>
      </c>
      <c r="G1537" s="175" t="n">
        <v>45</v>
      </c>
      <c r="H1537" s="176" t="n">
        <v>6229.14034932193</v>
      </c>
      <c r="I1537" s="177" t="n">
        <v>4281618.48628419</v>
      </c>
      <c r="J1537" s="178" t="str">
        <f>IF(I1537&gt;0,H1537/I1537,0)</f>
      </c>
      <c r="K1537" s="179" t="str">
        <f>1-EXP(-J1537)</f>
      </c>
      <c r="L1537" s="180" t="str">
        <f>IF(G1537=30,1,M1536)</f>
      </c>
      <c r="M1537" s="181" t="str">
        <f>L1537*(1-K1537)</f>
      </c>
    </row>
    <row r="1538">
      <c r="A1538" t="s">
        <v>164</v>
      </c>
      <c r="B1538" t="s">
        <v>112</v>
      </c>
      <c r="C1538" s="32" t="s">
        <v>297</v>
      </c>
      <c r="D1538" t="s">
        <v>112</v>
      </c>
      <c r="E1538" t="s">
        <v>395</v>
      </c>
      <c r="F1538" s="174" t="n">
        <v>2037</v>
      </c>
      <c r="G1538" s="175" t="n">
        <v>46</v>
      </c>
      <c r="H1538" s="176" t="n">
        <v>6828.73745255221</v>
      </c>
      <c r="I1538" s="177" t="n">
        <v>4291826.09793619</v>
      </c>
      <c r="J1538" s="178" t="str">
        <f>IF(I1538&gt;0,H1538/I1538,0)</f>
      </c>
      <c r="K1538" s="179" t="str">
        <f>1-EXP(-J1538)</f>
      </c>
      <c r="L1538" s="180" t="str">
        <f>IF(G1538=30,1,M1537)</f>
      </c>
      <c r="M1538" s="181" t="str">
        <f>L1538*(1-K1538)</f>
      </c>
    </row>
    <row r="1539">
      <c r="A1539" t="s">
        <v>164</v>
      </c>
      <c r="B1539" t="s">
        <v>112</v>
      </c>
      <c r="C1539" s="32" t="s">
        <v>297</v>
      </c>
      <c r="D1539" t="s">
        <v>112</v>
      </c>
      <c r="E1539" t="s">
        <v>395</v>
      </c>
      <c r="F1539" s="174" t="n">
        <v>2037</v>
      </c>
      <c r="G1539" s="175" t="n">
        <v>47</v>
      </c>
      <c r="H1539" s="176" t="n">
        <v>10163.8196516879</v>
      </c>
      <c r="I1539" s="177" t="n">
        <v>6315324.83889989</v>
      </c>
      <c r="J1539" s="178" t="str">
        <f>IF(I1539&gt;0,H1539/I1539,0)</f>
      </c>
      <c r="K1539" s="179" t="str">
        <f>1-EXP(-J1539)</f>
      </c>
      <c r="L1539" s="180" t="str">
        <f>IF(G1539=30,1,M1538)</f>
      </c>
      <c r="M1539" s="181" t="str">
        <f>L1539*(1-K1539)</f>
      </c>
    </row>
    <row r="1540">
      <c r="A1540" t="s">
        <v>164</v>
      </c>
      <c r="B1540" t="s">
        <v>112</v>
      </c>
      <c r="C1540" s="32" t="s">
        <v>297</v>
      </c>
      <c r="D1540" t="s">
        <v>112</v>
      </c>
      <c r="E1540" t="s">
        <v>395</v>
      </c>
      <c r="F1540" s="174" t="n">
        <v>2037</v>
      </c>
      <c r="G1540" s="175" t="n">
        <v>48</v>
      </c>
      <c r="H1540" s="176" t="n">
        <v>8084.86476626289</v>
      </c>
      <c r="I1540" s="177" t="n">
        <v>4235814.02947476</v>
      </c>
      <c r="J1540" s="178" t="str">
        <f>IF(I1540&gt;0,H1540/I1540,0)</f>
      </c>
      <c r="K1540" s="179" t="str">
        <f>1-EXP(-J1540)</f>
      </c>
      <c r="L1540" s="180" t="str">
        <f>IF(G1540=30,1,M1539)</f>
      </c>
      <c r="M1540" s="181" t="str">
        <f>L1540*(1-K1540)</f>
      </c>
    </row>
    <row r="1541">
      <c r="A1541" t="s">
        <v>164</v>
      </c>
      <c r="B1541" t="s">
        <v>112</v>
      </c>
      <c r="C1541" s="32" t="s">
        <v>297</v>
      </c>
      <c r="D1541" t="s">
        <v>112</v>
      </c>
      <c r="E1541" t="s">
        <v>395</v>
      </c>
      <c r="F1541" s="174" t="n">
        <v>2037</v>
      </c>
      <c r="G1541" s="175" t="n">
        <v>49</v>
      </c>
      <c r="H1541" s="176" t="n">
        <v>8805.07666138873</v>
      </c>
      <c r="I1541" s="177" t="n">
        <v>4210459.78122692</v>
      </c>
      <c r="J1541" s="178" t="str">
        <f>IF(I1541&gt;0,H1541/I1541,0)</f>
      </c>
      <c r="K1541" s="179" t="str">
        <f>1-EXP(-J1541)</f>
      </c>
      <c r="L1541" s="180" t="str">
        <f>IF(G1541=30,1,M1540)</f>
      </c>
      <c r="M1541" s="181" t="str">
        <f>L1541*(1-K1541)</f>
      </c>
    </row>
    <row r="1542">
      <c r="A1542" t="s">
        <v>164</v>
      </c>
      <c r="B1542" t="s">
        <v>112</v>
      </c>
      <c r="C1542" s="32" t="s">
        <v>297</v>
      </c>
      <c r="D1542" t="s">
        <v>112</v>
      </c>
      <c r="E1542" t="s">
        <v>395</v>
      </c>
      <c r="F1542" s="174" t="n">
        <v>2037</v>
      </c>
      <c r="G1542" s="175" t="n">
        <v>50</v>
      </c>
      <c r="H1542" s="176" t="n">
        <v>9824.37234742012</v>
      </c>
      <c r="I1542" s="177" t="n">
        <v>4071755.5386669</v>
      </c>
      <c r="J1542" s="178" t="str">
        <f>IF(I1542&gt;0,H1542/I1542,0)</f>
      </c>
      <c r="K1542" s="179" t="str">
        <f>1-EXP(-J1542)</f>
      </c>
      <c r="L1542" s="180" t="str">
        <f>IF(G1542=30,1,M1541)</f>
      </c>
      <c r="M1542" s="181" t="str">
        <f>L1542*(1-K1542)</f>
      </c>
    </row>
    <row r="1543">
      <c r="A1543" t="s">
        <v>164</v>
      </c>
      <c r="B1543" t="s">
        <v>112</v>
      </c>
      <c r="C1543" s="32" t="s">
        <v>297</v>
      </c>
      <c r="D1543" t="s">
        <v>112</v>
      </c>
      <c r="E1543" t="s">
        <v>395</v>
      </c>
      <c r="F1543" s="174" t="n">
        <v>2037</v>
      </c>
      <c r="G1543" s="175" t="n">
        <v>51</v>
      </c>
      <c r="H1543" s="176" t="n">
        <v>10624.2471384995</v>
      </c>
      <c r="I1543" s="177" t="n">
        <v>4026674.25592216</v>
      </c>
      <c r="J1543" s="178" t="str">
        <f>IF(I1543&gt;0,H1543/I1543,0)</f>
      </c>
      <c r="K1543" s="179" t="str">
        <f>1-EXP(-J1543)</f>
      </c>
      <c r="L1543" s="180" t="str">
        <f>IF(G1543=30,1,M1542)</f>
      </c>
      <c r="M1543" s="181" t="str">
        <f>L1543*(1-K1543)</f>
      </c>
    </row>
    <row r="1544">
      <c r="A1544" t="s">
        <v>164</v>
      </c>
      <c r="B1544" t="s">
        <v>112</v>
      </c>
      <c r="C1544" s="32" t="s">
        <v>297</v>
      </c>
      <c r="D1544" t="s">
        <v>112</v>
      </c>
      <c r="E1544" t="s">
        <v>395</v>
      </c>
      <c r="F1544" s="174" t="n">
        <v>2037</v>
      </c>
      <c r="G1544" s="175" t="n">
        <v>52</v>
      </c>
      <c r="H1544" s="176" t="n">
        <v>11739.497737891</v>
      </c>
      <c r="I1544" s="177" t="n">
        <v>4071866.99640263</v>
      </c>
      <c r="J1544" s="178" t="str">
        <f>IF(I1544&gt;0,H1544/I1544,0)</f>
      </c>
      <c r="K1544" s="179" t="str">
        <f>1-EXP(-J1544)</f>
      </c>
      <c r="L1544" s="180" t="str">
        <f>IF(G1544=30,1,M1543)</f>
      </c>
      <c r="M1544" s="181" t="str">
        <f>L1544*(1-K1544)</f>
      </c>
    </row>
    <row r="1545">
      <c r="A1545" t="s">
        <v>164</v>
      </c>
      <c r="B1545" t="s">
        <v>112</v>
      </c>
      <c r="C1545" s="32" t="s">
        <v>297</v>
      </c>
      <c r="D1545" t="s">
        <v>112</v>
      </c>
      <c r="E1545" t="s">
        <v>395</v>
      </c>
      <c r="F1545" s="174" t="n">
        <v>2037</v>
      </c>
      <c r="G1545" s="175" t="n">
        <v>53</v>
      </c>
      <c r="H1545" s="176" t="n">
        <v>13028.6275404525</v>
      </c>
      <c r="I1545" s="177" t="n">
        <v>4139758.17507528</v>
      </c>
      <c r="J1545" s="178" t="str">
        <f>IF(I1545&gt;0,H1545/I1545,0)</f>
      </c>
      <c r="K1545" s="179" t="str">
        <f>1-EXP(-J1545)</f>
      </c>
      <c r="L1545" s="180" t="str">
        <f>IF(G1545=30,1,M1544)</f>
      </c>
      <c r="M1545" s="181" t="str">
        <f>L1545*(1-K1545)</f>
      </c>
    </row>
    <row r="1546">
      <c r="A1546" t="s">
        <v>164</v>
      </c>
      <c r="B1546" t="s">
        <v>112</v>
      </c>
      <c r="C1546" s="32" t="s">
        <v>297</v>
      </c>
      <c r="D1546" t="s">
        <v>112</v>
      </c>
      <c r="E1546" t="s">
        <v>395</v>
      </c>
      <c r="F1546" s="174" t="n">
        <v>2037</v>
      </c>
      <c r="G1546" s="175" t="n">
        <v>54</v>
      </c>
      <c r="H1546" s="176" t="n">
        <v>14080.4369705945</v>
      </c>
      <c r="I1546" s="177" t="n">
        <v>4101352.01155265</v>
      </c>
      <c r="J1546" s="178" t="str">
        <f>IF(I1546&gt;0,H1546/I1546,0)</f>
      </c>
      <c r="K1546" s="179" t="str">
        <f>1-EXP(-J1546)</f>
      </c>
      <c r="L1546" s="180" t="str">
        <f>IF(G1546=30,1,M1545)</f>
      </c>
      <c r="M1546" s="181" t="str">
        <f>L1546*(1-K1546)</f>
      </c>
    </row>
    <row r="1547">
      <c r="A1547" t="s">
        <v>164</v>
      </c>
      <c r="B1547" t="s">
        <v>112</v>
      </c>
      <c r="C1547" s="32" t="s">
        <v>297</v>
      </c>
      <c r="D1547" t="s">
        <v>112</v>
      </c>
      <c r="E1547" t="s">
        <v>395</v>
      </c>
      <c r="F1547" s="174" t="n">
        <v>2037</v>
      </c>
      <c r="G1547" s="175" t="n">
        <v>55</v>
      </c>
      <c r="H1547" s="176" t="n">
        <v>14780.5202657503</v>
      </c>
      <c r="I1547" s="177" t="n">
        <v>3954300.26304167</v>
      </c>
      <c r="J1547" s="178" t="str">
        <f>IF(I1547&gt;0,H1547/I1547,0)</f>
      </c>
      <c r="K1547" s="179" t="str">
        <f>1-EXP(-J1547)</f>
      </c>
      <c r="L1547" s="180" t="str">
        <f>IF(G1547=30,1,M1546)</f>
      </c>
      <c r="M1547" s="181" t="str">
        <f>L1547*(1-K1547)</f>
      </c>
    </row>
    <row r="1548">
      <c r="A1548" t="s">
        <v>164</v>
      </c>
      <c r="B1548" t="s">
        <v>112</v>
      </c>
      <c r="C1548" s="32" t="s">
        <v>297</v>
      </c>
      <c r="D1548" t="s">
        <v>112</v>
      </c>
      <c r="E1548" t="s">
        <v>395</v>
      </c>
      <c r="F1548" s="174" t="n">
        <v>2037</v>
      </c>
      <c r="G1548" s="175" t="n">
        <v>56</v>
      </c>
      <c r="H1548" s="176" t="n">
        <v>15761.2561610495</v>
      </c>
      <c r="I1548" s="177" t="n">
        <v>3866137.6775345</v>
      </c>
      <c r="J1548" s="178" t="str">
        <f>IF(I1548&gt;0,H1548/I1548,0)</f>
      </c>
      <c r="K1548" s="179" t="str">
        <f>1-EXP(-J1548)</f>
      </c>
      <c r="L1548" s="180" t="str">
        <f>IF(G1548=30,1,M1547)</f>
      </c>
      <c r="M1548" s="181" t="str">
        <f>L1548*(1-K1548)</f>
      </c>
    </row>
    <row r="1549">
      <c r="A1549" t="s">
        <v>164</v>
      </c>
      <c r="B1549" t="s">
        <v>112</v>
      </c>
      <c r="C1549" s="32" t="s">
        <v>297</v>
      </c>
      <c r="D1549" t="s">
        <v>112</v>
      </c>
      <c r="E1549" t="s">
        <v>395</v>
      </c>
      <c r="F1549" s="174" t="n">
        <v>2037</v>
      </c>
      <c r="G1549" s="175" t="n">
        <v>57</v>
      </c>
      <c r="H1549" s="176" t="n">
        <v>16876.327731085</v>
      </c>
      <c r="I1549" s="177" t="n">
        <v>3792417.46745425</v>
      </c>
      <c r="J1549" s="178" t="str">
        <f>IF(I1549&gt;0,H1549/I1549,0)</f>
      </c>
      <c r="K1549" s="179" t="str">
        <f>1-EXP(-J1549)</f>
      </c>
      <c r="L1549" s="180" t="str">
        <f>IF(G1549=30,1,M1548)</f>
      </c>
      <c r="M1549" s="181" t="str">
        <f>L1549*(1-K1549)</f>
      </c>
    </row>
    <row r="1550">
      <c r="A1550" t="s">
        <v>164</v>
      </c>
      <c r="B1550" t="s">
        <v>112</v>
      </c>
      <c r="C1550" s="32" t="s">
        <v>297</v>
      </c>
      <c r="D1550" t="s">
        <v>112</v>
      </c>
      <c r="E1550" t="s">
        <v>395</v>
      </c>
      <c r="F1550" s="174" t="n">
        <v>2037</v>
      </c>
      <c r="G1550" s="175" t="n">
        <v>58</v>
      </c>
      <c r="H1550" s="176" t="n">
        <v>18051.496674961</v>
      </c>
      <c r="I1550" s="177" t="n">
        <v>3712545.3325709</v>
      </c>
      <c r="J1550" s="178" t="str">
        <f>IF(I1550&gt;0,H1550/I1550,0)</f>
      </c>
      <c r="K1550" s="179" t="str">
        <f>1-EXP(-J1550)</f>
      </c>
      <c r="L1550" s="180" t="str">
        <f>IF(G1550=30,1,M1549)</f>
      </c>
      <c r="M1550" s="181" t="str">
        <f>L1550*(1-K1550)</f>
      </c>
    </row>
    <row r="1551">
      <c r="A1551" t="s">
        <v>164</v>
      </c>
      <c r="B1551" t="s">
        <v>112</v>
      </c>
      <c r="C1551" s="32" t="s">
        <v>297</v>
      </c>
      <c r="D1551" t="s">
        <v>112</v>
      </c>
      <c r="E1551" t="s">
        <v>395</v>
      </c>
      <c r="F1551" s="174" t="n">
        <v>2037</v>
      </c>
      <c r="G1551" s="175" t="n">
        <v>59</v>
      </c>
      <c r="H1551" s="176" t="n">
        <v>19216.1316131842</v>
      </c>
      <c r="I1551" s="177" t="n">
        <v>3613419.01301168</v>
      </c>
      <c r="J1551" s="178" t="str">
        <f>IF(I1551&gt;0,H1551/I1551,0)</f>
      </c>
      <c r="K1551" s="179" t="str">
        <f>1-EXP(-J1551)</f>
      </c>
      <c r="L1551" s="180" t="str">
        <f>IF(G1551=30,1,M1550)</f>
      </c>
      <c r="M1551" s="181" t="str">
        <f>L1551*(1-K1551)</f>
      </c>
    </row>
    <row r="1552">
      <c r="A1552" t="s">
        <v>164</v>
      </c>
      <c r="B1552" t="s">
        <v>112</v>
      </c>
      <c r="C1552" s="32" t="s">
        <v>297</v>
      </c>
      <c r="D1552" t="s">
        <v>112</v>
      </c>
      <c r="E1552" t="s">
        <v>395</v>
      </c>
      <c r="F1552" s="174" t="n">
        <v>2037</v>
      </c>
      <c r="G1552" s="175" t="n">
        <v>60</v>
      </c>
      <c r="H1552" s="176" t="n">
        <v>20628.5165692017</v>
      </c>
      <c r="I1552" s="177" t="n">
        <v>3528981.01088436</v>
      </c>
      <c r="J1552" s="178" t="str">
        <f>IF(I1552&gt;0,H1552/I1552,0)</f>
      </c>
      <c r="K1552" s="179" t="str">
        <f>1-EXP(-J1552)</f>
      </c>
      <c r="L1552" s="180" t="str">
        <f>IF(G1552=30,1,M1551)</f>
      </c>
      <c r="M1552" s="181" t="str">
        <f>L1552*(1-K1552)</f>
      </c>
    </row>
    <row r="1553">
      <c r="A1553" t="s">
        <v>164</v>
      </c>
      <c r="B1553" t="s">
        <v>112</v>
      </c>
      <c r="C1553" s="32" t="s">
        <v>297</v>
      </c>
      <c r="D1553" t="s">
        <v>112</v>
      </c>
      <c r="E1553" t="s">
        <v>395</v>
      </c>
      <c r="F1553" s="174" t="n">
        <v>2037</v>
      </c>
      <c r="G1553" s="175" t="n">
        <v>61</v>
      </c>
      <c r="H1553" s="176" t="n">
        <v>21968.6239524732</v>
      </c>
      <c r="I1553" s="177" t="n">
        <v>3432265.44074233</v>
      </c>
      <c r="J1553" s="178" t="str">
        <f>IF(I1553&gt;0,H1553/I1553,0)</f>
      </c>
      <c r="K1553" s="179" t="str">
        <f>1-EXP(-J1553)</f>
      </c>
      <c r="L1553" s="180" t="str">
        <f>IF(G1553=30,1,M1552)</f>
      </c>
      <c r="M1553" s="181" t="str">
        <f>L1553*(1-K1553)</f>
      </c>
    </row>
    <row r="1554">
      <c r="A1554" t="s">
        <v>164</v>
      </c>
      <c r="B1554" t="s">
        <v>112</v>
      </c>
      <c r="C1554" s="32" t="s">
        <v>297</v>
      </c>
      <c r="D1554" t="s">
        <v>112</v>
      </c>
      <c r="E1554" t="s">
        <v>395</v>
      </c>
      <c r="F1554" s="174" t="n">
        <v>2037</v>
      </c>
      <c r="G1554" s="175" t="n">
        <v>62</v>
      </c>
      <c r="H1554" s="176" t="n">
        <v>23375.0138688984</v>
      </c>
      <c r="I1554" s="177" t="n">
        <v>3334055.66319458</v>
      </c>
      <c r="J1554" s="178" t="str">
        <f>IF(I1554&gt;0,H1554/I1554,0)</f>
      </c>
      <c r="K1554" s="179" t="str">
        <f>1-EXP(-J1554)</f>
      </c>
      <c r="L1554" s="180" t="str">
        <f>IF(G1554=30,1,M1553)</f>
      </c>
      <c r="M1554" s="181" t="str">
        <f>L1554*(1-K1554)</f>
      </c>
    </row>
    <row r="1555">
      <c r="A1555" t="s">
        <v>164</v>
      </c>
      <c r="B1555" t="s">
        <v>112</v>
      </c>
      <c r="C1555" s="32" t="s">
        <v>297</v>
      </c>
      <c r="D1555" t="s">
        <v>112</v>
      </c>
      <c r="E1555" t="s">
        <v>395</v>
      </c>
      <c r="F1555" s="174" t="n">
        <v>2037</v>
      </c>
      <c r="G1555" s="175" t="n">
        <v>63</v>
      </c>
      <c r="H1555" s="176" t="n">
        <v>24655.8424239078</v>
      </c>
      <c r="I1555" s="177" t="n">
        <v>3209707.05151986</v>
      </c>
      <c r="J1555" s="178" t="str">
        <f>IF(I1555&gt;0,H1555/I1555,0)</f>
      </c>
      <c r="K1555" s="179" t="str">
        <f>1-EXP(-J1555)</f>
      </c>
      <c r="L1555" s="180" t="str">
        <f>IF(G1555=30,1,M1554)</f>
      </c>
      <c r="M1555" s="181" t="str">
        <f>L1555*(1-K1555)</f>
      </c>
    </row>
    <row r="1556">
      <c r="A1556" t="s">
        <v>164</v>
      </c>
      <c r="B1556" t="s">
        <v>112</v>
      </c>
      <c r="C1556" s="32" t="s">
        <v>297</v>
      </c>
      <c r="D1556" t="s">
        <v>112</v>
      </c>
      <c r="E1556" t="s">
        <v>395</v>
      </c>
      <c r="F1556" s="174" t="n">
        <v>2037</v>
      </c>
      <c r="G1556" s="175" t="n">
        <v>64</v>
      </c>
      <c r="H1556" s="176" t="n">
        <v>26417.3355844244</v>
      </c>
      <c r="I1556" s="177" t="n">
        <v>3138521.63068424</v>
      </c>
      <c r="J1556" s="178" t="str">
        <f>IF(I1556&gt;0,H1556/I1556,0)</f>
      </c>
      <c r="K1556" s="179" t="str">
        <f>1-EXP(-J1556)</f>
      </c>
      <c r="L1556" s="180" t="str">
        <f>IF(G1556=30,1,M1555)</f>
      </c>
      <c r="M1556" s="181" t="str">
        <f>L1556*(1-K1556)</f>
      </c>
    </row>
    <row r="1557">
      <c r="A1557" t="s">
        <v>164</v>
      </c>
      <c r="B1557" t="s">
        <v>112</v>
      </c>
      <c r="C1557" s="32" t="s">
        <v>297</v>
      </c>
      <c r="D1557" t="s">
        <v>112</v>
      </c>
      <c r="E1557" t="s">
        <v>395</v>
      </c>
      <c r="F1557" s="174" t="n">
        <v>2037</v>
      </c>
      <c r="G1557" s="175" t="n">
        <v>65</v>
      </c>
      <c r="H1557" s="176" t="n">
        <v>25948.6480856152</v>
      </c>
      <c r="I1557" s="177" t="n">
        <v>2919816.98707286</v>
      </c>
      <c r="J1557" s="178" t="str">
        <f>IF(I1557&gt;0,H1557/I1557,0)</f>
      </c>
      <c r="K1557" s="179" t="str">
        <f>1-EXP(-J1557)</f>
      </c>
      <c r="L1557" s="180" t="str">
        <f>IF(G1557=30,1,M1556)</f>
      </c>
      <c r="M1557" s="181" t="str">
        <f>L1557*(1-K1557)</f>
      </c>
    </row>
    <row r="1558">
      <c r="A1558" t="s">
        <v>164</v>
      </c>
      <c r="B1558" t="s">
        <v>112</v>
      </c>
      <c r="C1558" s="32" t="s">
        <v>297</v>
      </c>
      <c r="D1558" t="s">
        <v>112</v>
      </c>
      <c r="E1558" t="s">
        <v>395</v>
      </c>
      <c r="F1558" s="174" t="n">
        <v>2037</v>
      </c>
      <c r="G1558" s="175" t="n">
        <v>66</v>
      </c>
      <c r="H1558" s="176" t="n">
        <v>27389.1076667988</v>
      </c>
      <c r="I1558" s="177" t="n">
        <v>2809795.20434501</v>
      </c>
      <c r="J1558" s="178" t="str">
        <f>IF(I1558&gt;0,H1558/I1558,0)</f>
      </c>
      <c r="K1558" s="179" t="str">
        <f>1-EXP(-J1558)</f>
      </c>
      <c r="L1558" s="180" t="str">
        <f>IF(G1558=30,1,M1557)</f>
      </c>
      <c r="M1558" s="181" t="str">
        <f>L1558*(1-K1558)</f>
      </c>
    </row>
    <row r="1559">
      <c r="A1559" t="s">
        <v>164</v>
      </c>
      <c r="B1559" t="s">
        <v>112</v>
      </c>
      <c r="C1559" s="32" t="s">
        <v>297</v>
      </c>
      <c r="D1559" t="s">
        <v>112</v>
      </c>
      <c r="E1559" t="s">
        <v>395</v>
      </c>
      <c r="F1559" s="174" t="n">
        <v>2037</v>
      </c>
      <c r="G1559" s="175" t="n">
        <v>67</v>
      </c>
      <c r="H1559" s="176" t="n">
        <v>28903.2668934823</v>
      </c>
      <c r="I1559" s="177" t="n">
        <v>2702135.34491153</v>
      </c>
      <c r="J1559" s="178" t="str">
        <f>IF(I1559&gt;0,H1559/I1559,0)</f>
      </c>
      <c r="K1559" s="179" t="str">
        <f>1-EXP(-J1559)</f>
      </c>
      <c r="L1559" s="180" t="str">
        <f>IF(G1559=30,1,M1558)</f>
      </c>
      <c r="M1559" s="181" t="str">
        <f>L1559*(1-K1559)</f>
      </c>
    </row>
    <row r="1560">
      <c r="A1560" t="s">
        <v>164</v>
      </c>
      <c r="B1560" t="s">
        <v>112</v>
      </c>
      <c r="C1560" s="32" t="s">
        <v>297</v>
      </c>
      <c r="D1560" t="s">
        <v>112</v>
      </c>
      <c r="E1560" t="s">
        <v>395</v>
      </c>
      <c r="F1560" s="174" t="n">
        <v>2037</v>
      </c>
      <c r="G1560" s="175" t="n">
        <v>68</v>
      </c>
      <c r="H1560" s="176" t="n">
        <v>30366.7647152019</v>
      </c>
      <c r="I1560" s="177" t="n">
        <v>2585545.37001591</v>
      </c>
      <c r="J1560" s="178" t="str">
        <f>IF(I1560&gt;0,H1560/I1560,0)</f>
      </c>
      <c r="K1560" s="179" t="str">
        <f>1-EXP(-J1560)</f>
      </c>
      <c r="L1560" s="180" t="str">
        <f>IF(G1560=30,1,M1559)</f>
      </c>
      <c r="M1560" s="181" t="str">
        <f>L1560*(1-K1560)</f>
      </c>
    </row>
    <row r="1561">
      <c r="A1561" t="s">
        <v>164</v>
      </c>
      <c r="B1561" t="s">
        <v>112</v>
      </c>
      <c r="C1561" s="32" t="s">
        <v>297</v>
      </c>
      <c r="D1561" t="s">
        <v>112</v>
      </c>
      <c r="E1561" t="s">
        <v>395</v>
      </c>
      <c r="F1561" s="174" t="n">
        <v>2037</v>
      </c>
      <c r="G1561" s="175" t="n">
        <v>69</v>
      </c>
      <c r="H1561" s="176" t="n">
        <v>31642.6816757506</v>
      </c>
      <c r="I1561" s="177" t="n">
        <v>2451571.3742655</v>
      </c>
      <c r="J1561" s="178" t="str">
        <f>IF(I1561&gt;0,H1561/I1561,0)</f>
      </c>
      <c r="K1561" s="179" t="str">
        <f>1-EXP(-J1561)</f>
      </c>
      <c r="L1561" s="180" t="str">
        <f>IF(G1561=30,1,M1560)</f>
      </c>
      <c r="M1561" s="181" t="str">
        <f>L1561*(1-K1561)</f>
      </c>
    </row>
    <row r="1562">
      <c r="A1562" t="s">
        <v>164</v>
      </c>
      <c r="B1562" t="s">
        <v>112</v>
      </c>
      <c r="C1562" s="32" t="s">
        <v>297</v>
      </c>
      <c r="D1562" t="s">
        <v>112</v>
      </c>
      <c r="E1562" t="s">
        <v>395</v>
      </c>
      <c r="F1562" s="174" t="n">
        <v>2038</v>
      </c>
      <c r="G1562" s="175" t="n">
        <v>30</v>
      </c>
      <c r="H1562" s="176" t="n">
        <v>777.316312717667</v>
      </c>
      <c r="I1562" s="177" t="n">
        <v>4653435.833222</v>
      </c>
      <c r="J1562" s="178" t="str">
        <f>IF(I1562&gt;0,H1562/I1562,0)</f>
      </c>
      <c r="K1562" s="179" t="str">
        <f>1-EXP(-J1562)</f>
      </c>
      <c r="L1562" s="180" t="str">
        <f>IF(G1562=30,1,M1561)</f>
      </c>
      <c r="M1562" s="181" t="str">
        <f>L1562*(1-K1562)</f>
      </c>
    </row>
    <row r="1563">
      <c r="A1563" t="s">
        <v>164</v>
      </c>
      <c r="B1563" t="s">
        <v>112</v>
      </c>
      <c r="C1563" s="32" t="s">
        <v>297</v>
      </c>
      <c r="D1563" t="s">
        <v>112</v>
      </c>
      <c r="E1563" t="s">
        <v>395</v>
      </c>
      <c r="F1563" s="174" t="n">
        <v>2038</v>
      </c>
      <c r="G1563" s="175" t="n">
        <v>31</v>
      </c>
      <c r="H1563" s="176" t="n">
        <v>1056.64027631744</v>
      </c>
      <c r="I1563" s="177" t="n">
        <v>4679780.66359376</v>
      </c>
      <c r="J1563" s="178" t="str">
        <f>IF(I1563&gt;0,H1563/I1563,0)</f>
      </c>
      <c r="K1563" s="179" t="str">
        <f>1-EXP(-J1563)</f>
      </c>
      <c r="L1563" s="180" t="str">
        <f>IF(G1563=30,1,M1562)</f>
      </c>
      <c r="M1563" s="181" t="str">
        <f>L1563*(1-K1563)</f>
      </c>
    </row>
    <row r="1564">
      <c r="A1564" t="s">
        <v>164</v>
      </c>
      <c r="B1564" t="s">
        <v>112</v>
      </c>
      <c r="C1564" s="32" t="s">
        <v>297</v>
      </c>
      <c r="D1564" t="s">
        <v>112</v>
      </c>
      <c r="E1564" t="s">
        <v>395</v>
      </c>
      <c r="F1564" s="174" t="n">
        <v>2038</v>
      </c>
      <c r="G1564" s="175" t="n">
        <v>32</v>
      </c>
      <c r="H1564" s="176" t="n">
        <v>1092.3068516284</v>
      </c>
      <c r="I1564" s="177" t="n">
        <v>4596912.81640778</v>
      </c>
      <c r="J1564" s="178" t="str">
        <f>IF(I1564&gt;0,H1564/I1564,0)</f>
      </c>
      <c r="K1564" s="179" t="str">
        <f>1-EXP(-J1564)</f>
      </c>
      <c r="L1564" s="180" t="str">
        <f>IF(G1564=30,1,M1563)</f>
      </c>
      <c r="M1564" s="181" t="str">
        <f>L1564*(1-K1564)</f>
      </c>
    </row>
    <row r="1565">
      <c r="A1565" t="s">
        <v>164</v>
      </c>
      <c r="B1565" t="s">
        <v>112</v>
      </c>
      <c r="C1565" s="32" t="s">
        <v>297</v>
      </c>
      <c r="D1565" t="s">
        <v>112</v>
      </c>
      <c r="E1565" t="s">
        <v>395</v>
      </c>
      <c r="F1565" s="174" t="n">
        <v>2038</v>
      </c>
      <c r="G1565" s="175" t="n">
        <v>33</v>
      </c>
      <c r="H1565" s="176" t="n">
        <v>1141.25835237648</v>
      </c>
      <c r="I1565" s="177" t="n">
        <v>4535935.57280462</v>
      </c>
      <c r="J1565" s="178" t="str">
        <f>IF(I1565&gt;0,H1565/I1565,0)</f>
      </c>
      <c r="K1565" s="179" t="str">
        <f>1-EXP(-J1565)</f>
      </c>
      <c r="L1565" s="180" t="str">
        <f>IF(G1565=30,1,M1564)</f>
      </c>
      <c r="M1565" s="181" t="str">
        <f>L1565*(1-K1565)</f>
      </c>
    </row>
    <row r="1566">
      <c r="A1566" t="s">
        <v>164</v>
      </c>
      <c r="B1566" t="s">
        <v>112</v>
      </c>
      <c r="C1566" s="32" t="s">
        <v>297</v>
      </c>
      <c r="D1566" t="s">
        <v>112</v>
      </c>
      <c r="E1566" t="s">
        <v>395</v>
      </c>
      <c r="F1566" s="174" t="n">
        <v>2038</v>
      </c>
      <c r="G1566" s="175" t="n">
        <v>34</v>
      </c>
      <c r="H1566" s="176" t="n">
        <v>1181.65183148098</v>
      </c>
      <c r="I1566" s="177" t="n">
        <v>4407258.37649329</v>
      </c>
      <c r="J1566" s="178" t="str">
        <f>IF(I1566&gt;0,H1566/I1566,0)</f>
      </c>
      <c r="K1566" s="179" t="str">
        <f>1-EXP(-J1566)</f>
      </c>
      <c r="L1566" s="180" t="str">
        <f>IF(G1566=30,1,M1565)</f>
      </c>
      <c r="M1566" s="181" t="str">
        <f>L1566*(1-K1566)</f>
      </c>
    </row>
    <row r="1567">
      <c r="A1567" t="s">
        <v>164</v>
      </c>
      <c r="B1567" t="s">
        <v>112</v>
      </c>
      <c r="C1567" s="32" t="s">
        <v>297</v>
      </c>
      <c r="D1567" t="s">
        <v>112</v>
      </c>
      <c r="E1567" t="s">
        <v>395</v>
      </c>
      <c r="F1567" s="174" t="n">
        <v>2038</v>
      </c>
      <c r="G1567" s="175" t="n">
        <v>35</v>
      </c>
      <c r="H1567" s="176" t="n">
        <v>1561.01646158794</v>
      </c>
      <c r="I1567" s="177" t="n">
        <v>4341478.07195024</v>
      </c>
      <c r="J1567" s="178" t="str">
        <f>IF(I1567&gt;0,H1567/I1567,0)</f>
      </c>
      <c r="K1567" s="179" t="str">
        <f>1-EXP(-J1567)</f>
      </c>
      <c r="L1567" s="180" t="str">
        <f>IF(G1567=30,1,M1566)</f>
      </c>
      <c r="M1567" s="181" t="str">
        <f>L1567*(1-K1567)</f>
      </c>
    </row>
    <row r="1568">
      <c r="A1568" t="s">
        <v>164</v>
      </c>
      <c r="B1568" t="s">
        <v>112</v>
      </c>
      <c r="C1568" s="32" t="s">
        <v>297</v>
      </c>
      <c r="D1568" t="s">
        <v>112</v>
      </c>
      <c r="E1568" t="s">
        <v>395</v>
      </c>
      <c r="F1568" s="174" t="n">
        <v>2038</v>
      </c>
      <c r="G1568" s="175" t="n">
        <v>36</v>
      </c>
      <c r="H1568" s="176" t="n">
        <v>1945.19320066139</v>
      </c>
      <c r="I1568" s="177" t="n">
        <v>4318560.51290437</v>
      </c>
      <c r="J1568" s="178" t="str">
        <f>IF(I1568&gt;0,H1568/I1568,0)</f>
      </c>
      <c r="K1568" s="179" t="str">
        <f>1-EXP(-J1568)</f>
      </c>
      <c r="L1568" s="180" t="str">
        <f>IF(G1568=30,1,M1567)</f>
      </c>
      <c r="M1568" s="181" t="str">
        <f>L1568*(1-K1568)</f>
      </c>
    </row>
    <row r="1569">
      <c r="A1569" t="s">
        <v>164</v>
      </c>
      <c r="B1569" t="s">
        <v>112</v>
      </c>
      <c r="C1569" s="32" t="s">
        <v>297</v>
      </c>
      <c r="D1569" t="s">
        <v>112</v>
      </c>
      <c r="E1569" t="s">
        <v>395</v>
      </c>
      <c r="F1569" s="174" t="n">
        <v>2038</v>
      </c>
      <c r="G1569" s="175" t="n">
        <v>37</v>
      </c>
      <c r="H1569" s="176" t="n">
        <v>2078.97680294331</v>
      </c>
      <c r="I1569" s="177" t="n">
        <v>4297460.44360414</v>
      </c>
      <c r="J1569" s="178" t="str">
        <f>IF(I1569&gt;0,H1569/I1569,0)</f>
      </c>
      <c r="K1569" s="179" t="str">
        <f>1-EXP(-J1569)</f>
      </c>
      <c r="L1569" s="180" t="str">
        <f>IF(G1569=30,1,M1568)</f>
      </c>
      <c r="M1569" s="181" t="str">
        <f>L1569*(1-K1569)</f>
      </c>
    </row>
    <row r="1570">
      <c r="A1570" t="s">
        <v>164</v>
      </c>
      <c r="B1570" t="s">
        <v>112</v>
      </c>
      <c r="C1570" s="32" t="s">
        <v>297</v>
      </c>
      <c r="D1570" t="s">
        <v>112</v>
      </c>
      <c r="E1570" t="s">
        <v>395</v>
      </c>
      <c r="F1570" s="174" t="n">
        <v>2038</v>
      </c>
      <c r="G1570" s="175" t="n">
        <v>38</v>
      </c>
      <c r="H1570" s="176" t="n">
        <v>2228.7041342192</v>
      </c>
      <c r="I1570" s="177" t="n">
        <v>4275870.14623547</v>
      </c>
      <c r="J1570" s="178" t="str">
        <f>IF(I1570&gt;0,H1570/I1570,0)</f>
      </c>
      <c r="K1570" s="179" t="str">
        <f>1-EXP(-J1570)</f>
      </c>
      <c r="L1570" s="180" t="str">
        <f>IF(G1570=30,1,M1569)</f>
      </c>
      <c r="M1570" s="181" t="str">
        <f>L1570*(1-K1570)</f>
      </c>
    </row>
    <row r="1571">
      <c r="A1571" t="s">
        <v>164</v>
      </c>
      <c r="B1571" t="s">
        <v>112</v>
      </c>
      <c r="C1571" s="32" t="s">
        <v>297</v>
      </c>
      <c r="D1571" t="s">
        <v>112</v>
      </c>
      <c r="E1571" t="s">
        <v>395</v>
      </c>
      <c r="F1571" s="174" t="n">
        <v>2038</v>
      </c>
      <c r="G1571" s="175" t="n">
        <v>39</v>
      </c>
      <c r="H1571" s="176" t="n">
        <v>2415.85781001933</v>
      </c>
      <c r="I1571" s="177" t="n">
        <v>4293420.76563285</v>
      </c>
      <c r="J1571" s="178" t="str">
        <f>IF(I1571&gt;0,H1571/I1571,0)</f>
      </c>
      <c r="K1571" s="179" t="str">
        <f>1-EXP(-J1571)</f>
      </c>
      <c r="L1571" s="180" t="str">
        <f>IF(G1571=30,1,M1570)</f>
      </c>
      <c r="M1571" s="181" t="str">
        <f>L1571*(1-K1571)</f>
      </c>
    </row>
    <row r="1572">
      <c r="A1572" t="s">
        <v>164</v>
      </c>
      <c r="B1572" t="s">
        <v>112</v>
      </c>
      <c r="C1572" s="32" t="s">
        <v>297</v>
      </c>
      <c r="D1572" t="s">
        <v>112</v>
      </c>
      <c r="E1572" t="s">
        <v>395</v>
      </c>
      <c r="F1572" s="174" t="n">
        <v>2038</v>
      </c>
      <c r="G1572" s="175" t="n">
        <v>40</v>
      </c>
      <c r="H1572" s="176" t="n">
        <v>3290.28066201408</v>
      </c>
      <c r="I1572" s="177" t="n">
        <v>4349467.36557085</v>
      </c>
      <c r="J1572" s="178" t="str">
        <f>IF(I1572&gt;0,H1572/I1572,0)</f>
      </c>
      <c r="K1572" s="179" t="str">
        <f>1-EXP(-J1572)</f>
      </c>
      <c r="L1572" s="180" t="str">
        <f>IF(G1572=30,1,M1571)</f>
      </c>
      <c r="M1572" s="181" t="str">
        <f>L1572*(1-K1572)</f>
      </c>
    </row>
    <row r="1573">
      <c r="A1573" t="s">
        <v>164</v>
      </c>
      <c r="B1573" t="s">
        <v>112</v>
      </c>
      <c r="C1573" s="32" t="s">
        <v>297</v>
      </c>
      <c r="D1573" t="s">
        <v>112</v>
      </c>
      <c r="E1573" t="s">
        <v>395</v>
      </c>
      <c r="F1573" s="174" t="n">
        <v>2038</v>
      </c>
      <c r="G1573" s="175" t="n">
        <v>41</v>
      </c>
      <c r="H1573" s="176" t="n">
        <v>3951.44494181974</v>
      </c>
      <c r="I1573" s="177" t="n">
        <v>4481772.85372632</v>
      </c>
      <c r="J1573" s="178" t="str">
        <f>IF(I1573&gt;0,H1573/I1573,0)</f>
      </c>
      <c r="K1573" s="179" t="str">
        <f>1-EXP(-J1573)</f>
      </c>
      <c r="L1573" s="180" t="str">
        <f>IF(G1573=30,1,M1572)</f>
      </c>
      <c r="M1573" s="181" t="str">
        <f>L1573*(1-K1573)</f>
      </c>
    </row>
    <row r="1574">
      <c r="A1574" t="s">
        <v>164</v>
      </c>
      <c r="B1574" t="s">
        <v>112</v>
      </c>
      <c r="C1574" s="32" t="s">
        <v>297</v>
      </c>
      <c r="D1574" t="s">
        <v>112</v>
      </c>
      <c r="E1574" t="s">
        <v>395</v>
      </c>
      <c r="F1574" s="174" t="n">
        <v>2038</v>
      </c>
      <c r="G1574" s="175" t="n">
        <v>42</v>
      </c>
      <c r="H1574" s="176" t="n">
        <v>4234.39073906361</v>
      </c>
      <c r="I1574" s="177" t="n">
        <v>4434946.70413359</v>
      </c>
      <c r="J1574" s="178" t="str">
        <f>IF(I1574&gt;0,H1574/I1574,0)</f>
      </c>
      <c r="K1574" s="179" t="str">
        <f>1-EXP(-J1574)</f>
      </c>
      <c r="L1574" s="180" t="str">
        <f>IF(G1574=30,1,M1573)</f>
      </c>
      <c r="M1574" s="181" t="str">
        <f>L1574*(1-K1574)</f>
      </c>
    </row>
    <row r="1575">
      <c r="A1575" t="s">
        <v>164</v>
      </c>
      <c r="B1575" t="s">
        <v>112</v>
      </c>
      <c r="C1575" s="32" t="s">
        <v>297</v>
      </c>
      <c r="D1575" t="s">
        <v>112</v>
      </c>
      <c r="E1575" t="s">
        <v>395</v>
      </c>
      <c r="F1575" s="174" t="n">
        <v>2038</v>
      </c>
      <c r="G1575" s="175" t="n">
        <v>43</v>
      </c>
      <c r="H1575" s="176" t="n">
        <v>4518.4270192144</v>
      </c>
      <c r="I1575" s="177" t="n">
        <v>4357969.61179515</v>
      </c>
      <c r="J1575" s="178" t="str">
        <f>IF(I1575&gt;0,H1575/I1575,0)</f>
      </c>
      <c r="K1575" s="179" t="str">
        <f>1-EXP(-J1575)</f>
      </c>
      <c r="L1575" s="180" t="str">
        <f>IF(G1575=30,1,M1574)</f>
      </c>
      <c r="M1575" s="181" t="str">
        <f>L1575*(1-K1575)</f>
      </c>
    </row>
    <row r="1576">
      <c r="A1576" t="s">
        <v>164</v>
      </c>
      <c r="B1576" t="s">
        <v>112</v>
      </c>
      <c r="C1576" s="32" t="s">
        <v>297</v>
      </c>
      <c r="D1576" t="s">
        <v>112</v>
      </c>
      <c r="E1576" t="s">
        <v>395</v>
      </c>
      <c r="F1576" s="174" t="n">
        <v>2038</v>
      </c>
      <c r="G1576" s="175" t="n">
        <v>44</v>
      </c>
      <c r="H1576" s="176" t="n">
        <v>4850.08919035496</v>
      </c>
      <c r="I1576" s="177" t="n">
        <v>4296055.69478353</v>
      </c>
      <c r="J1576" s="178" t="str">
        <f>IF(I1576&gt;0,H1576/I1576,0)</f>
      </c>
      <c r="K1576" s="179" t="str">
        <f>1-EXP(-J1576)</f>
      </c>
      <c r="L1576" s="180" t="str">
        <f>IF(G1576=30,1,M1575)</f>
      </c>
      <c r="M1576" s="181" t="str">
        <f>L1576*(1-K1576)</f>
      </c>
    </row>
    <row r="1577">
      <c r="A1577" t="s">
        <v>164</v>
      </c>
      <c r="B1577" t="s">
        <v>112</v>
      </c>
      <c r="C1577" s="32" t="s">
        <v>297</v>
      </c>
      <c r="D1577" t="s">
        <v>112</v>
      </c>
      <c r="E1577" t="s">
        <v>395</v>
      </c>
      <c r="F1577" s="174" t="n">
        <v>2038</v>
      </c>
      <c r="G1577" s="175" t="n">
        <v>45</v>
      </c>
      <c r="H1577" s="176" t="n">
        <v>6144.62010395313</v>
      </c>
      <c r="I1577" s="177" t="n">
        <v>4237178.45922371</v>
      </c>
      <c r="J1577" s="178" t="str">
        <f>IF(I1577&gt;0,H1577/I1577,0)</f>
      </c>
      <c r="K1577" s="179" t="str">
        <f>1-EXP(-J1577)</f>
      </c>
      <c r="L1577" s="180" t="str">
        <f>IF(G1577=30,1,M1576)</f>
      </c>
      <c r="M1577" s="181" t="str">
        <f>L1577*(1-K1577)</f>
      </c>
    </row>
    <row r="1578">
      <c r="A1578" t="s">
        <v>164</v>
      </c>
      <c r="B1578" t="s">
        <v>112</v>
      </c>
      <c r="C1578" s="32" t="s">
        <v>297</v>
      </c>
      <c r="D1578" t="s">
        <v>112</v>
      </c>
      <c r="E1578" t="s">
        <v>395</v>
      </c>
      <c r="F1578" s="174" t="n">
        <v>2038</v>
      </c>
      <c r="G1578" s="175" t="n">
        <v>46</v>
      </c>
      <c r="H1578" s="176" t="n">
        <v>6756.31889060837</v>
      </c>
      <c r="I1578" s="177" t="n">
        <v>4266283.47518925</v>
      </c>
      <c r="J1578" s="178" t="str">
        <f>IF(I1578&gt;0,H1578/I1578,0)</f>
      </c>
      <c r="K1578" s="179" t="str">
        <f>1-EXP(-J1578)</f>
      </c>
      <c r="L1578" s="180" t="str">
        <f>IF(G1578=30,1,M1577)</f>
      </c>
      <c r="M1578" s="181" t="str">
        <f>L1578*(1-K1578)</f>
      </c>
    </row>
    <row r="1579">
      <c r="A1579" t="s">
        <v>164</v>
      </c>
      <c r="B1579" t="s">
        <v>112</v>
      </c>
      <c r="C1579" s="32" t="s">
        <v>297</v>
      </c>
      <c r="D1579" t="s">
        <v>112</v>
      </c>
      <c r="E1579" t="s">
        <v>395</v>
      </c>
      <c r="F1579" s="174" t="n">
        <v>2038</v>
      </c>
      <c r="G1579" s="175" t="n">
        <v>47</v>
      </c>
      <c r="H1579" s="176" t="n">
        <v>7413.57784930512</v>
      </c>
      <c r="I1579" s="177" t="n">
        <v>4276023.64898999</v>
      </c>
      <c r="J1579" s="178" t="str">
        <f>IF(I1579&gt;0,H1579/I1579,0)</f>
      </c>
      <c r="K1579" s="179" t="str">
        <f>1-EXP(-J1579)</f>
      </c>
      <c r="L1579" s="180" t="str">
        <f>IF(G1579=30,1,M1578)</f>
      </c>
      <c r="M1579" s="181" t="str">
        <f>L1579*(1-K1579)</f>
      </c>
    </row>
    <row r="1580">
      <c r="A1580" t="s">
        <v>164</v>
      </c>
      <c r="B1580" t="s">
        <v>112</v>
      </c>
      <c r="C1580" s="32" t="s">
        <v>297</v>
      </c>
      <c r="D1580" t="s">
        <v>112</v>
      </c>
      <c r="E1580" t="s">
        <v>395</v>
      </c>
      <c r="F1580" s="174" t="n">
        <v>2038</v>
      </c>
      <c r="G1580" s="175" t="n">
        <v>48</v>
      </c>
      <c r="H1580" s="176" t="n">
        <v>10992.9611590986</v>
      </c>
      <c r="I1580" s="177" t="n">
        <v>6291283.97684831</v>
      </c>
      <c r="J1580" s="178" t="str">
        <f>IF(I1580&gt;0,H1580/I1580,0)</f>
      </c>
      <c r="K1580" s="179" t="str">
        <f>1-EXP(-J1580)</f>
      </c>
      <c r="L1580" s="180" t="str">
        <f>IF(G1580=30,1,M1579)</f>
      </c>
      <c r="M1580" s="181" t="str">
        <f>L1580*(1-K1580)</f>
      </c>
    </row>
    <row r="1581">
      <c r="A1581" t="s">
        <v>164</v>
      </c>
      <c r="B1581" t="s">
        <v>112</v>
      </c>
      <c r="C1581" s="32" t="s">
        <v>297</v>
      </c>
      <c r="D1581" t="s">
        <v>112</v>
      </c>
      <c r="E1581" t="s">
        <v>395</v>
      </c>
      <c r="F1581" s="174" t="n">
        <v>2038</v>
      </c>
      <c r="G1581" s="175" t="n">
        <v>49</v>
      </c>
      <c r="H1581" s="176" t="n">
        <v>8775.19555262826</v>
      </c>
      <c r="I1581" s="177" t="n">
        <v>4217135.01600243</v>
      </c>
      <c r="J1581" s="178" t="str">
        <f>IF(I1581&gt;0,H1581/I1581,0)</f>
      </c>
      <c r="K1581" s="179" t="str">
        <f>1-EXP(-J1581)</f>
      </c>
      <c r="L1581" s="180" t="str">
        <f>IF(G1581=30,1,M1580)</f>
      </c>
      <c r="M1581" s="181" t="str">
        <f>L1581*(1-K1581)</f>
      </c>
    </row>
    <row r="1582">
      <c r="A1582" t="s">
        <v>164</v>
      </c>
      <c r="B1582" t="s">
        <v>112</v>
      </c>
      <c r="C1582" s="32" t="s">
        <v>297</v>
      </c>
      <c r="D1582" t="s">
        <v>112</v>
      </c>
      <c r="E1582" t="s">
        <v>395</v>
      </c>
      <c r="F1582" s="174" t="n">
        <v>2038</v>
      </c>
      <c r="G1582" s="175" t="n">
        <v>50</v>
      </c>
      <c r="H1582" s="176" t="n">
        <v>10043.3064006305</v>
      </c>
      <c r="I1582" s="177" t="n">
        <v>4190125.79571312</v>
      </c>
      <c r="J1582" s="178" t="str">
        <f>IF(I1582&gt;0,H1582/I1582,0)</f>
      </c>
      <c r="K1582" s="179" t="str">
        <f>1-EXP(-J1582)</f>
      </c>
      <c r="L1582" s="180" t="str">
        <f>IF(G1582=30,1,M1581)</f>
      </c>
      <c r="M1582" s="181" t="str">
        <f>L1582*(1-K1582)</f>
      </c>
    </row>
    <row r="1583">
      <c r="A1583" t="s">
        <v>164</v>
      </c>
      <c r="B1583" t="s">
        <v>112</v>
      </c>
      <c r="C1583" s="32" t="s">
        <v>297</v>
      </c>
      <c r="D1583" t="s">
        <v>112</v>
      </c>
      <c r="E1583" t="s">
        <v>395</v>
      </c>
      <c r="F1583" s="174" t="n">
        <v>2038</v>
      </c>
      <c r="G1583" s="175" t="n">
        <v>51</v>
      </c>
      <c r="H1583" s="176" t="n">
        <v>10619.8922098907</v>
      </c>
      <c r="I1583" s="177" t="n">
        <v>4049468.52386624</v>
      </c>
      <c r="J1583" s="178" t="str">
        <f>IF(I1583&gt;0,H1583/I1583,0)</f>
      </c>
      <c r="K1583" s="179" t="str">
        <f>1-EXP(-J1583)</f>
      </c>
      <c r="L1583" s="180" t="str">
        <f>IF(G1583=30,1,M1582)</f>
      </c>
      <c r="M1583" s="181" t="str">
        <f>L1583*(1-K1583)</f>
      </c>
    </row>
    <row r="1584">
      <c r="A1584" t="s">
        <v>164</v>
      </c>
      <c r="B1584" t="s">
        <v>112</v>
      </c>
      <c r="C1584" s="32" t="s">
        <v>297</v>
      </c>
      <c r="D1584" t="s">
        <v>112</v>
      </c>
      <c r="E1584" t="s">
        <v>395</v>
      </c>
      <c r="F1584" s="174" t="n">
        <v>2038</v>
      </c>
      <c r="G1584" s="175" t="n">
        <v>52</v>
      </c>
      <c r="H1584" s="176" t="n">
        <v>11469.8166199805</v>
      </c>
      <c r="I1584" s="177" t="n">
        <v>4003310.45539837</v>
      </c>
      <c r="J1584" s="178" t="str">
        <f>IF(I1584&gt;0,H1584/I1584,0)</f>
      </c>
      <c r="K1584" s="179" t="str">
        <f>1-EXP(-J1584)</f>
      </c>
      <c r="L1584" s="180" t="str">
        <f>IF(G1584=30,1,M1583)</f>
      </c>
      <c r="M1584" s="181" t="str">
        <f>L1584*(1-K1584)</f>
      </c>
    </row>
    <row r="1585">
      <c r="A1585" t="s">
        <v>164</v>
      </c>
      <c r="B1585" t="s">
        <v>112</v>
      </c>
      <c r="C1585" s="32" t="s">
        <v>297</v>
      </c>
      <c r="D1585" t="s">
        <v>112</v>
      </c>
      <c r="E1585" t="s">
        <v>395</v>
      </c>
      <c r="F1585" s="174" t="n">
        <v>2038</v>
      </c>
      <c r="G1585" s="175" t="n">
        <v>53</v>
      </c>
      <c r="H1585" s="176" t="n">
        <v>12653.8419707196</v>
      </c>
      <c r="I1585" s="177" t="n">
        <v>4046049.16657191</v>
      </c>
      <c r="J1585" s="178" t="str">
        <f>IF(I1585&gt;0,H1585/I1585,0)</f>
      </c>
      <c r="K1585" s="179" t="str">
        <f>1-EXP(-J1585)</f>
      </c>
      <c r="L1585" s="180" t="str">
        <f>IF(G1585=30,1,M1584)</f>
      </c>
      <c r="M1585" s="181" t="str">
        <f>L1585*(1-K1585)</f>
      </c>
    </row>
    <row r="1586">
      <c r="A1586" t="s">
        <v>164</v>
      </c>
      <c r="B1586" t="s">
        <v>112</v>
      </c>
      <c r="C1586" s="32" t="s">
        <v>297</v>
      </c>
      <c r="D1586" t="s">
        <v>112</v>
      </c>
      <c r="E1586" t="s">
        <v>395</v>
      </c>
      <c r="F1586" s="174" t="n">
        <v>2038</v>
      </c>
      <c r="G1586" s="175" t="n">
        <v>54</v>
      </c>
      <c r="H1586" s="176" t="n">
        <v>14022.834974631</v>
      </c>
      <c r="I1586" s="177" t="n">
        <v>4111102.59305467</v>
      </c>
      <c r="J1586" s="178" t="str">
        <f>IF(I1586&gt;0,H1586/I1586,0)</f>
      </c>
      <c r="K1586" s="179" t="str">
        <f>1-EXP(-J1586)</f>
      </c>
      <c r="L1586" s="180" t="str">
        <f>IF(G1586=30,1,M1585)</f>
      </c>
      <c r="M1586" s="181" t="str">
        <f>L1586*(1-K1586)</f>
      </c>
    </row>
    <row r="1587">
      <c r="A1587" t="s">
        <v>164</v>
      </c>
      <c r="B1587" t="s">
        <v>112</v>
      </c>
      <c r="C1587" s="32" t="s">
        <v>297</v>
      </c>
      <c r="D1587" t="s">
        <v>112</v>
      </c>
      <c r="E1587" t="s">
        <v>395</v>
      </c>
      <c r="F1587" s="174" t="n">
        <v>2038</v>
      </c>
      <c r="G1587" s="175" t="n">
        <v>55</v>
      </c>
      <c r="H1587" s="176" t="n">
        <v>15073.1236534546</v>
      </c>
      <c r="I1587" s="177" t="n">
        <v>4070382.46434357</v>
      </c>
      <c r="J1587" s="178" t="str">
        <f>IF(I1587&gt;0,H1587/I1587,0)</f>
      </c>
      <c r="K1587" s="179" t="str">
        <f>1-EXP(-J1587)</f>
      </c>
      <c r="L1587" s="180" t="str">
        <f>IF(G1587=30,1,M1586)</f>
      </c>
      <c r="M1587" s="181" t="str">
        <f>L1587*(1-K1587)</f>
      </c>
    </row>
    <row r="1588">
      <c r="A1588" t="s">
        <v>164</v>
      </c>
      <c r="B1588" t="s">
        <v>112</v>
      </c>
      <c r="C1588" s="32" t="s">
        <v>297</v>
      </c>
      <c r="D1588" t="s">
        <v>112</v>
      </c>
      <c r="E1588" t="s">
        <v>395</v>
      </c>
      <c r="F1588" s="174" t="n">
        <v>2038</v>
      </c>
      <c r="G1588" s="175" t="n">
        <v>56</v>
      </c>
      <c r="H1588" s="176" t="n">
        <v>15848.7824807581</v>
      </c>
      <c r="I1588" s="177" t="n">
        <v>3921444.83464497</v>
      </c>
      <c r="J1588" s="178" t="str">
        <f>IF(I1588&gt;0,H1588/I1588,0)</f>
      </c>
      <c r="K1588" s="179" t="str">
        <f>1-EXP(-J1588)</f>
      </c>
      <c r="L1588" s="180" t="str">
        <f>IF(G1588=30,1,M1587)</f>
      </c>
      <c r="M1588" s="181" t="str">
        <f>L1588*(1-K1588)</f>
      </c>
    </row>
    <row r="1589">
      <c r="A1589" t="s">
        <v>164</v>
      </c>
      <c r="B1589" t="s">
        <v>112</v>
      </c>
      <c r="C1589" s="32" t="s">
        <v>297</v>
      </c>
      <c r="D1589" t="s">
        <v>112</v>
      </c>
      <c r="E1589" t="s">
        <v>395</v>
      </c>
      <c r="F1589" s="174" t="n">
        <v>2038</v>
      </c>
      <c r="G1589" s="175" t="n">
        <v>57</v>
      </c>
      <c r="H1589" s="176" t="n">
        <v>16899.015376434</v>
      </c>
      <c r="I1589" s="177" t="n">
        <v>3831369.85003973</v>
      </c>
      <c r="J1589" s="178" t="str">
        <f>IF(I1589&gt;0,H1589/I1589,0)</f>
      </c>
      <c r="K1589" s="179" t="str">
        <f>1-EXP(-J1589)</f>
      </c>
      <c r="L1589" s="180" t="str">
        <f>IF(G1589=30,1,M1588)</f>
      </c>
      <c r="M1589" s="181" t="str">
        <f>L1589*(1-K1589)</f>
      </c>
    </row>
    <row r="1590">
      <c r="A1590" t="s">
        <v>164</v>
      </c>
      <c r="B1590" t="s">
        <v>112</v>
      </c>
      <c r="C1590" s="32" t="s">
        <v>297</v>
      </c>
      <c r="D1590" t="s">
        <v>112</v>
      </c>
      <c r="E1590" t="s">
        <v>395</v>
      </c>
      <c r="F1590" s="174" t="n">
        <v>2038</v>
      </c>
      <c r="G1590" s="175" t="n">
        <v>58</v>
      </c>
      <c r="H1590" s="176" t="n">
        <v>18095.7097669488</v>
      </c>
      <c r="I1590" s="177" t="n">
        <v>3755208.40908831</v>
      </c>
      <c r="J1590" s="178" t="str">
        <f>IF(I1590&gt;0,H1590/I1590,0)</f>
      </c>
      <c r="K1590" s="179" t="str">
        <f>1-EXP(-J1590)</f>
      </c>
      <c r="L1590" s="180" t="str">
        <f>IF(G1590=30,1,M1589)</f>
      </c>
      <c r="M1590" s="181" t="str">
        <f>L1590*(1-K1590)</f>
      </c>
    </row>
    <row r="1591">
      <c r="A1591" t="s">
        <v>164</v>
      </c>
      <c r="B1591" t="s">
        <v>112</v>
      </c>
      <c r="C1591" s="32" t="s">
        <v>297</v>
      </c>
      <c r="D1591" t="s">
        <v>112</v>
      </c>
      <c r="E1591" t="s">
        <v>395</v>
      </c>
      <c r="F1591" s="174" t="n">
        <v>2038</v>
      </c>
      <c r="G1591" s="175" t="n">
        <v>59</v>
      </c>
      <c r="H1591" s="176" t="n">
        <v>19356.6525993016</v>
      </c>
      <c r="I1591" s="177" t="n">
        <v>3672768.37775637</v>
      </c>
      <c r="J1591" s="178" t="str">
        <f>IF(I1591&gt;0,H1591/I1591,0)</f>
      </c>
      <c r="K1591" s="179" t="str">
        <f>1-EXP(-J1591)</f>
      </c>
      <c r="L1591" s="180" t="str">
        <f>IF(G1591=30,1,M1590)</f>
      </c>
      <c r="M1591" s="181" t="str">
        <f>L1591*(1-K1591)</f>
      </c>
    </row>
    <row r="1592">
      <c r="A1592" t="s">
        <v>164</v>
      </c>
      <c r="B1592" t="s">
        <v>112</v>
      </c>
      <c r="C1592" s="32" t="s">
        <v>297</v>
      </c>
      <c r="D1592" t="s">
        <v>112</v>
      </c>
      <c r="E1592" t="s">
        <v>395</v>
      </c>
      <c r="F1592" s="174" t="n">
        <v>2038</v>
      </c>
      <c r="G1592" s="175" t="n">
        <v>60</v>
      </c>
      <c r="H1592" s="176" t="n">
        <v>20624.9195711035</v>
      </c>
      <c r="I1592" s="177" t="n">
        <v>3571099.78735294</v>
      </c>
      <c r="J1592" s="178" t="str">
        <f>IF(I1592&gt;0,H1592/I1592,0)</f>
      </c>
      <c r="K1592" s="179" t="str">
        <f>1-EXP(-J1592)</f>
      </c>
      <c r="L1592" s="180" t="str">
        <f>IF(G1592=30,1,M1591)</f>
      </c>
      <c r="M1592" s="181" t="str">
        <f>L1592*(1-K1592)</f>
      </c>
    </row>
    <row r="1593">
      <c r="A1593" t="s">
        <v>164</v>
      </c>
      <c r="B1593" t="s">
        <v>112</v>
      </c>
      <c r="C1593" s="32" t="s">
        <v>297</v>
      </c>
      <c r="D1593" t="s">
        <v>112</v>
      </c>
      <c r="E1593" t="s">
        <v>395</v>
      </c>
      <c r="F1593" s="174" t="n">
        <v>2038</v>
      </c>
      <c r="G1593" s="175" t="n">
        <v>61</v>
      </c>
      <c r="H1593" s="176" t="n">
        <v>22061.3679709191</v>
      </c>
      <c r="I1593" s="177" t="n">
        <v>3483368.73278787</v>
      </c>
      <c r="J1593" s="178" t="str">
        <f>IF(I1593&gt;0,H1593/I1593,0)</f>
      </c>
      <c r="K1593" s="179" t="str">
        <f>1-EXP(-J1593)</f>
      </c>
      <c r="L1593" s="180" t="str">
        <f>IF(G1593=30,1,M1592)</f>
      </c>
      <c r="M1593" s="181" t="str">
        <f>L1593*(1-K1593)</f>
      </c>
    </row>
    <row r="1594">
      <c r="A1594" t="s">
        <v>164</v>
      </c>
      <c r="B1594" t="s">
        <v>112</v>
      </c>
      <c r="C1594" s="32" t="s">
        <v>297</v>
      </c>
      <c r="D1594" t="s">
        <v>112</v>
      </c>
      <c r="E1594" t="s">
        <v>395</v>
      </c>
      <c r="F1594" s="174" t="n">
        <v>2038</v>
      </c>
      <c r="G1594" s="175" t="n">
        <v>62</v>
      </c>
      <c r="H1594" s="176" t="n">
        <v>23480.806229939</v>
      </c>
      <c r="I1594" s="177" t="n">
        <v>3384039.3979623</v>
      </c>
      <c r="J1594" s="178" t="str">
        <f>IF(I1594&gt;0,H1594/I1594,0)</f>
      </c>
      <c r="K1594" s="179" t="str">
        <f>1-EXP(-J1594)</f>
      </c>
      <c r="L1594" s="180" t="str">
        <f>IF(G1594=30,1,M1593)</f>
      </c>
      <c r="M1594" s="181" t="str">
        <f>L1594*(1-K1594)</f>
      </c>
    </row>
    <row r="1595">
      <c r="A1595" t="s">
        <v>164</v>
      </c>
      <c r="B1595" t="s">
        <v>112</v>
      </c>
      <c r="C1595" s="32" t="s">
        <v>297</v>
      </c>
      <c r="D1595" t="s">
        <v>112</v>
      </c>
      <c r="E1595" t="s">
        <v>395</v>
      </c>
      <c r="F1595" s="174" t="n">
        <v>2038</v>
      </c>
      <c r="G1595" s="175" t="n">
        <v>63</v>
      </c>
      <c r="H1595" s="176" t="n">
        <v>24959.4161988147</v>
      </c>
      <c r="I1595" s="177" t="n">
        <v>3282756.56602043</v>
      </c>
      <c r="J1595" s="178" t="str">
        <f>IF(I1595&gt;0,H1595/I1595,0)</f>
      </c>
      <c r="K1595" s="179" t="str">
        <f>1-EXP(-J1595)</f>
      </c>
      <c r="L1595" s="180" t="str">
        <f>IF(G1595=30,1,M1594)</f>
      </c>
      <c r="M1595" s="181" t="str">
        <f>L1595*(1-K1595)</f>
      </c>
    </row>
    <row r="1596">
      <c r="A1596" t="s">
        <v>164</v>
      </c>
      <c r="B1596" t="s">
        <v>112</v>
      </c>
      <c r="C1596" s="32" t="s">
        <v>297</v>
      </c>
      <c r="D1596" t="s">
        <v>112</v>
      </c>
      <c r="E1596" t="s">
        <v>395</v>
      </c>
      <c r="F1596" s="174" t="n">
        <v>2038</v>
      </c>
      <c r="G1596" s="175" t="n">
        <v>64</v>
      </c>
      <c r="H1596" s="176" t="n">
        <v>26292.9394706154</v>
      </c>
      <c r="I1596" s="177" t="n">
        <v>3155607.79526381</v>
      </c>
      <c r="J1596" s="178" t="str">
        <f>IF(I1596&gt;0,H1596/I1596,0)</f>
      </c>
      <c r="K1596" s="179" t="str">
        <f>1-EXP(-J1596)</f>
      </c>
      <c r="L1596" s="180" t="str">
        <f>IF(G1596=30,1,M1595)</f>
      </c>
      <c r="M1596" s="181" t="str">
        <f>L1596*(1-K1596)</f>
      </c>
    </row>
    <row r="1597">
      <c r="A1597" t="s">
        <v>164</v>
      </c>
      <c r="B1597" t="s">
        <v>112</v>
      </c>
      <c r="C1597" s="32" t="s">
        <v>297</v>
      </c>
      <c r="D1597" t="s">
        <v>112</v>
      </c>
      <c r="E1597" t="s">
        <v>395</v>
      </c>
      <c r="F1597" s="174" t="n">
        <v>2038</v>
      </c>
      <c r="G1597" s="175" t="n">
        <v>65</v>
      </c>
      <c r="H1597" s="176" t="n">
        <v>27037.9779781264</v>
      </c>
      <c r="I1597" s="177" t="n">
        <v>3080566.03583216</v>
      </c>
      <c r="J1597" s="178" t="str">
        <f>IF(I1597&gt;0,H1597/I1597,0)</f>
      </c>
      <c r="K1597" s="179" t="str">
        <f>1-EXP(-J1597)</f>
      </c>
      <c r="L1597" s="180" t="str">
        <f>IF(G1597=30,1,M1596)</f>
      </c>
      <c r="M1597" s="181" t="str">
        <f>L1597*(1-K1597)</f>
      </c>
    </row>
    <row r="1598">
      <c r="A1598" t="s">
        <v>164</v>
      </c>
      <c r="B1598" t="s">
        <v>112</v>
      </c>
      <c r="C1598" s="32" t="s">
        <v>297</v>
      </c>
      <c r="D1598" t="s">
        <v>112</v>
      </c>
      <c r="E1598" t="s">
        <v>395</v>
      </c>
      <c r="F1598" s="174" t="n">
        <v>2038</v>
      </c>
      <c r="G1598" s="175" t="n">
        <v>66</v>
      </c>
      <c r="H1598" s="176" t="n">
        <v>27574.6284086862</v>
      </c>
      <c r="I1598" s="177" t="n">
        <v>2861132.50819796</v>
      </c>
      <c r="J1598" s="178" t="str">
        <f>IF(I1598&gt;0,H1598/I1598,0)</f>
      </c>
      <c r="K1598" s="179" t="str">
        <f>1-EXP(-J1598)</f>
      </c>
      <c r="L1598" s="180" t="str">
        <f>IF(G1598=30,1,M1597)</f>
      </c>
      <c r="M1598" s="181" t="str">
        <f>L1598*(1-K1598)</f>
      </c>
    </row>
    <row r="1599">
      <c r="A1599" t="s">
        <v>164</v>
      </c>
      <c r="B1599" t="s">
        <v>112</v>
      </c>
      <c r="C1599" s="32" t="s">
        <v>297</v>
      </c>
      <c r="D1599" t="s">
        <v>112</v>
      </c>
      <c r="E1599" t="s">
        <v>395</v>
      </c>
      <c r="F1599" s="174" t="n">
        <v>2038</v>
      </c>
      <c r="G1599" s="175" t="n">
        <v>67</v>
      </c>
      <c r="H1599" s="176" t="n">
        <v>29056.2940227423</v>
      </c>
      <c r="I1599" s="177" t="n">
        <v>2747437.52261609</v>
      </c>
      <c r="J1599" s="178" t="str">
        <f>IF(I1599&gt;0,H1599/I1599,0)</f>
      </c>
      <c r="K1599" s="179" t="str">
        <f>1-EXP(-J1599)</f>
      </c>
      <c r="L1599" s="180" t="str">
        <f>IF(G1599=30,1,M1598)</f>
      </c>
      <c r="M1599" s="181" t="str">
        <f>L1599*(1-K1599)</f>
      </c>
    </row>
    <row r="1600">
      <c r="A1600" t="s">
        <v>164</v>
      </c>
      <c r="B1600" t="s">
        <v>112</v>
      </c>
      <c r="C1600" s="32" t="s">
        <v>297</v>
      </c>
      <c r="D1600" t="s">
        <v>112</v>
      </c>
      <c r="E1600" t="s">
        <v>395</v>
      </c>
      <c r="F1600" s="174" t="n">
        <v>2038</v>
      </c>
      <c r="G1600" s="175" t="n">
        <v>68</v>
      </c>
      <c r="H1600" s="176" t="n">
        <v>30617.5439432817</v>
      </c>
      <c r="I1600" s="177" t="n">
        <v>2636380.55842018</v>
      </c>
      <c r="J1600" s="178" t="str">
        <f>IF(I1600&gt;0,H1600/I1600,0)</f>
      </c>
      <c r="K1600" s="179" t="str">
        <f>1-EXP(-J1600)</f>
      </c>
      <c r="L1600" s="180" t="str">
        <f>IF(G1600=30,1,M1599)</f>
      </c>
      <c r="M1600" s="181" t="str">
        <f>L1600*(1-K1600)</f>
      </c>
    </row>
    <row r="1601">
      <c r="A1601" t="s">
        <v>164</v>
      </c>
      <c r="B1601" t="s">
        <v>112</v>
      </c>
      <c r="C1601" s="32" t="s">
        <v>297</v>
      </c>
      <c r="D1601" t="s">
        <v>112</v>
      </c>
      <c r="E1601" t="s">
        <v>395</v>
      </c>
      <c r="F1601" s="174" t="n">
        <v>2038</v>
      </c>
      <c r="G1601" s="175" t="n">
        <v>69</v>
      </c>
      <c r="H1601" s="176" t="n">
        <v>32119.6883146377</v>
      </c>
      <c r="I1601" s="177" t="n">
        <v>2516525.53749147</v>
      </c>
      <c r="J1601" s="178" t="str">
        <f>IF(I1601&gt;0,H1601/I1601,0)</f>
      </c>
      <c r="K1601" s="179" t="str">
        <f>1-EXP(-J1601)</f>
      </c>
      <c r="L1601" s="180" t="str">
        <f>IF(G1601=30,1,M1600)</f>
      </c>
      <c r="M1601" s="181" t="str">
        <f>L1601*(1-K1601)</f>
      </c>
    </row>
    <row r="1602">
      <c r="A1602" t="s">
        <v>164</v>
      </c>
      <c r="B1602" t="s">
        <v>112</v>
      </c>
      <c r="C1602" s="32" t="s">
        <v>297</v>
      </c>
      <c r="D1602" t="s">
        <v>112</v>
      </c>
      <c r="E1602" t="s">
        <v>395</v>
      </c>
      <c r="F1602" s="174" t="n">
        <v>2039</v>
      </c>
      <c r="G1602" s="175" t="n">
        <v>30</v>
      </c>
      <c r="H1602" s="176" t="n">
        <v>787.120460165612</v>
      </c>
      <c r="I1602" s="177" t="n">
        <v>4690492.19261041</v>
      </c>
      <c r="J1602" s="178" t="str">
        <f>IF(I1602&gt;0,H1602/I1602,0)</f>
      </c>
      <c r="K1602" s="179" t="str">
        <f>1-EXP(-J1602)</f>
      </c>
      <c r="L1602" s="180" t="str">
        <f>IF(G1602=30,1,M1601)</f>
      </c>
      <c r="M1602" s="181" t="str">
        <f>L1602*(1-K1602)</f>
      </c>
    </row>
    <row r="1603">
      <c r="A1603" t="s">
        <v>164</v>
      </c>
      <c r="B1603" t="s">
        <v>112</v>
      </c>
      <c r="C1603" s="32" t="s">
        <v>297</v>
      </c>
      <c r="D1603" t="s">
        <v>112</v>
      </c>
      <c r="E1603" t="s">
        <v>395</v>
      </c>
      <c r="F1603" s="174" t="n">
        <v>2039</v>
      </c>
      <c r="G1603" s="175" t="n">
        <v>31</v>
      </c>
      <c r="H1603" s="176" t="n">
        <v>1005.06550804694</v>
      </c>
      <c r="I1603" s="177" t="n">
        <v>4647833.72776423</v>
      </c>
      <c r="J1603" s="178" t="str">
        <f>IF(I1603&gt;0,H1603/I1603,0)</f>
      </c>
      <c r="K1603" s="179" t="str">
        <f>1-EXP(-J1603)</f>
      </c>
      <c r="L1603" s="180" t="str">
        <f>IF(G1603=30,1,M1602)</f>
      </c>
      <c r="M1603" s="181" t="str">
        <f>L1603*(1-K1603)</f>
      </c>
    </row>
    <row r="1604">
      <c r="A1604" t="s">
        <v>164</v>
      </c>
      <c r="B1604" t="s">
        <v>112</v>
      </c>
      <c r="C1604" s="32" t="s">
        <v>297</v>
      </c>
      <c r="D1604" t="s">
        <v>112</v>
      </c>
      <c r="E1604" t="s">
        <v>395</v>
      </c>
      <c r="F1604" s="174" t="n">
        <v>2039</v>
      </c>
      <c r="G1604" s="175" t="n">
        <v>32</v>
      </c>
      <c r="H1604" s="176" t="n">
        <v>1115.06370867544</v>
      </c>
      <c r="I1604" s="177" t="n">
        <v>4674174.10659043</v>
      </c>
      <c r="J1604" s="178" t="str">
        <f>IF(I1604&gt;0,H1604/I1604,0)</f>
      </c>
      <c r="K1604" s="179" t="str">
        <f>1-EXP(-J1604)</f>
      </c>
      <c r="L1604" s="180" t="str">
        <f>IF(G1604=30,1,M1603)</f>
      </c>
      <c r="M1604" s="181" t="str">
        <f>L1604*(1-K1604)</f>
      </c>
    </row>
    <row r="1605">
      <c r="A1605" t="s">
        <v>164</v>
      </c>
      <c r="B1605" t="s">
        <v>112</v>
      </c>
      <c r="C1605" s="32" t="s">
        <v>297</v>
      </c>
      <c r="D1605" t="s">
        <v>112</v>
      </c>
      <c r="E1605" t="s">
        <v>395</v>
      </c>
      <c r="F1605" s="174" t="n">
        <v>2039</v>
      </c>
      <c r="G1605" s="175" t="n">
        <v>33</v>
      </c>
      <c r="H1605" s="176" t="n">
        <v>1159.38206812644</v>
      </c>
      <c r="I1605" s="177" t="n">
        <v>4591175.28575082</v>
      </c>
      <c r="J1605" s="178" t="str">
        <f>IF(I1605&gt;0,H1605/I1605,0)</f>
      </c>
      <c r="K1605" s="179" t="str">
        <f>1-EXP(-J1605)</f>
      </c>
      <c r="L1605" s="180" t="str">
        <f>IF(G1605=30,1,M1604)</f>
      </c>
      <c r="M1605" s="181" t="str">
        <f>L1605*(1-K1605)</f>
      </c>
    </row>
    <row r="1606">
      <c r="A1606" t="s">
        <v>164</v>
      </c>
      <c r="B1606" t="s">
        <v>112</v>
      </c>
      <c r="C1606" s="32" t="s">
        <v>297</v>
      </c>
      <c r="D1606" t="s">
        <v>112</v>
      </c>
      <c r="E1606" t="s">
        <v>395</v>
      </c>
      <c r="F1606" s="174" t="n">
        <v>2039</v>
      </c>
      <c r="G1606" s="175" t="n">
        <v>34</v>
      </c>
      <c r="H1606" s="176" t="n">
        <v>1218.53234103652</v>
      </c>
      <c r="I1606" s="177" t="n">
        <v>4530006.10505327</v>
      </c>
      <c r="J1606" s="178" t="str">
        <f>IF(I1606&gt;0,H1606/I1606,0)</f>
      </c>
      <c r="K1606" s="179" t="str">
        <f>1-EXP(-J1606)</f>
      </c>
      <c r="L1606" s="180" t="str">
        <f>IF(G1606=30,1,M1605)</f>
      </c>
      <c r="M1606" s="181" t="str">
        <f>L1606*(1-K1606)</f>
      </c>
    </row>
    <row r="1607">
      <c r="A1607" t="s">
        <v>164</v>
      </c>
      <c r="B1607" t="s">
        <v>112</v>
      </c>
      <c r="C1607" s="32" t="s">
        <v>297</v>
      </c>
      <c r="D1607" t="s">
        <v>112</v>
      </c>
      <c r="E1607" t="s">
        <v>395</v>
      </c>
      <c r="F1607" s="174" t="n">
        <v>2039</v>
      </c>
      <c r="G1607" s="175" t="n">
        <v>35</v>
      </c>
      <c r="H1607" s="176" t="n">
        <v>1582.43026588701</v>
      </c>
      <c r="I1607" s="177" t="n">
        <v>4401188.04681337</v>
      </c>
      <c r="J1607" s="178" t="str">
        <f>IF(I1607&gt;0,H1607/I1607,0)</f>
      </c>
      <c r="K1607" s="179" t="str">
        <f>1-EXP(-J1607)</f>
      </c>
      <c r="L1607" s="180" t="str">
        <f>IF(G1607=30,1,M1606)</f>
      </c>
      <c r="M1607" s="181" t="str">
        <f>L1607*(1-K1607)</f>
      </c>
    </row>
    <row r="1608">
      <c r="A1608" t="s">
        <v>164</v>
      </c>
      <c r="B1608" t="s">
        <v>112</v>
      </c>
      <c r="C1608" s="32" t="s">
        <v>297</v>
      </c>
      <c r="D1608" t="s">
        <v>112</v>
      </c>
      <c r="E1608" t="s">
        <v>395</v>
      </c>
      <c r="F1608" s="174" t="n">
        <v>2039</v>
      </c>
      <c r="G1608" s="175" t="n">
        <v>36</v>
      </c>
      <c r="H1608" s="176" t="n">
        <v>1808.95499314805</v>
      </c>
      <c r="I1608" s="177" t="n">
        <v>4334793.95043713</v>
      </c>
      <c r="J1608" s="178" t="str">
        <f>IF(I1608&gt;0,H1608/I1608,0)</f>
      </c>
      <c r="K1608" s="179" t="str">
        <f>1-EXP(-J1608)</f>
      </c>
      <c r="L1608" s="180" t="str">
        <f>IF(G1608=30,1,M1607)</f>
      </c>
      <c r="M1608" s="181" t="str">
        <f>L1608*(1-K1608)</f>
      </c>
    </row>
    <row r="1609">
      <c r="A1609" t="s">
        <v>164</v>
      </c>
      <c r="B1609" t="s">
        <v>112</v>
      </c>
      <c r="C1609" s="32" t="s">
        <v>297</v>
      </c>
      <c r="D1609" t="s">
        <v>112</v>
      </c>
      <c r="E1609" t="s">
        <v>395</v>
      </c>
      <c r="F1609" s="174" t="n">
        <v>2039</v>
      </c>
      <c r="G1609" s="175" t="n">
        <v>37</v>
      </c>
      <c r="H1609" s="176" t="n">
        <v>2082.50531928019</v>
      </c>
      <c r="I1609" s="177" t="n">
        <v>4311595.5162286</v>
      </c>
      <c r="J1609" s="178" t="str">
        <f>IF(I1609&gt;0,H1609/I1609,0)</f>
      </c>
      <c r="K1609" s="179" t="str">
        <f>1-EXP(-J1609)</f>
      </c>
      <c r="L1609" s="180" t="str">
        <f>IF(G1609=30,1,M1608)</f>
      </c>
      <c r="M1609" s="181" t="str">
        <f>L1609*(1-K1609)</f>
      </c>
    </row>
    <row r="1610">
      <c r="A1610" t="s">
        <v>164</v>
      </c>
      <c r="B1610" t="s">
        <v>112</v>
      </c>
      <c r="C1610" s="32" t="s">
        <v>297</v>
      </c>
      <c r="D1610" t="s">
        <v>112</v>
      </c>
      <c r="E1610" t="s">
        <v>395</v>
      </c>
      <c r="F1610" s="174" t="n">
        <v>2039</v>
      </c>
      <c r="G1610" s="175" t="n">
        <v>38</v>
      </c>
      <c r="H1610" s="176" t="n">
        <v>2231.28324570503</v>
      </c>
      <c r="I1610" s="177" t="n">
        <v>4290050.06409182</v>
      </c>
      <c r="J1610" s="178" t="str">
        <f>IF(I1610&gt;0,H1610/I1610,0)</f>
      </c>
      <c r="K1610" s="179" t="str">
        <f>1-EXP(-J1610)</f>
      </c>
      <c r="L1610" s="180" t="str">
        <f>IF(G1610=30,1,M1609)</f>
      </c>
      <c r="M1610" s="181" t="str">
        <f>L1610*(1-K1610)</f>
      </c>
    </row>
    <row r="1611">
      <c r="A1611" t="s">
        <v>164</v>
      </c>
      <c r="B1611" t="s">
        <v>112</v>
      </c>
      <c r="C1611" s="32" t="s">
        <v>297</v>
      </c>
      <c r="D1611" t="s">
        <v>112</v>
      </c>
      <c r="E1611" t="s">
        <v>395</v>
      </c>
      <c r="F1611" s="174" t="n">
        <v>2039</v>
      </c>
      <c r="G1611" s="175" t="n">
        <v>39</v>
      </c>
      <c r="H1611" s="176" t="n">
        <v>2396.74886169287</v>
      </c>
      <c r="I1611" s="177" t="n">
        <v>4267960.75536282</v>
      </c>
      <c r="J1611" s="178" t="str">
        <f>IF(I1611&gt;0,H1611/I1611,0)</f>
      </c>
      <c r="K1611" s="179" t="str">
        <f>1-EXP(-J1611)</f>
      </c>
      <c r="L1611" s="180" t="str">
        <f>IF(G1611=30,1,M1610)</f>
      </c>
      <c r="M1611" s="181" t="str">
        <f>L1611*(1-K1611)</f>
      </c>
    </row>
    <row r="1612">
      <c r="A1612" t="s">
        <v>164</v>
      </c>
      <c r="B1612" t="s">
        <v>112</v>
      </c>
      <c r="C1612" s="32" t="s">
        <v>297</v>
      </c>
      <c r="D1612" t="s">
        <v>112</v>
      </c>
      <c r="E1612" t="s">
        <v>395</v>
      </c>
      <c r="F1612" s="174" t="n">
        <v>2039</v>
      </c>
      <c r="G1612" s="175" t="n">
        <v>40</v>
      </c>
      <c r="H1612" s="176" t="n">
        <v>3231.89920903624</v>
      </c>
      <c r="I1612" s="177" t="n">
        <v>4284880.08182475</v>
      </c>
      <c r="J1612" s="178" t="str">
        <f>IF(I1612&gt;0,H1612/I1612,0)</f>
      </c>
      <c r="K1612" s="179" t="str">
        <f>1-EXP(-J1612)</f>
      </c>
      <c r="L1612" s="180" t="str">
        <f>IF(G1612=30,1,M1611)</f>
      </c>
      <c r="M1612" s="181" t="str">
        <f>L1612*(1-K1612)</f>
      </c>
    </row>
    <row r="1613">
      <c r="A1613" t="s">
        <v>164</v>
      </c>
      <c r="B1613" t="s">
        <v>112</v>
      </c>
      <c r="C1613" s="32" t="s">
        <v>297</v>
      </c>
      <c r="D1613" t="s">
        <v>112</v>
      </c>
      <c r="E1613" t="s">
        <v>395</v>
      </c>
      <c r="F1613" s="174" t="n">
        <v>2039</v>
      </c>
      <c r="G1613" s="175" t="n">
        <v>41</v>
      </c>
      <c r="H1613" s="176" t="n">
        <v>3623.34573804066</v>
      </c>
      <c r="I1613" s="177" t="n">
        <v>4339418.4134297</v>
      </c>
      <c r="J1613" s="178" t="str">
        <f>IF(I1613&gt;0,H1613/I1613,0)</f>
      </c>
      <c r="K1613" s="179" t="str">
        <f>1-EXP(-J1613)</f>
      </c>
      <c r="L1613" s="180" t="str">
        <f>IF(G1613=30,1,M1612)</f>
      </c>
      <c r="M1613" s="181" t="str">
        <f>L1613*(1-K1613)</f>
      </c>
    </row>
    <row r="1614">
      <c r="A1614" t="s">
        <v>164</v>
      </c>
      <c r="B1614" t="s">
        <v>112</v>
      </c>
      <c r="C1614" s="32" t="s">
        <v>297</v>
      </c>
      <c r="D1614" t="s">
        <v>112</v>
      </c>
      <c r="E1614" t="s">
        <v>395</v>
      </c>
      <c r="F1614" s="174" t="n">
        <v>2039</v>
      </c>
      <c r="G1614" s="175" t="n">
        <v>42</v>
      </c>
      <c r="H1614" s="176" t="n">
        <v>4257.50597635007</v>
      </c>
      <c r="I1614" s="177" t="n">
        <v>4471067.06587827</v>
      </c>
      <c r="J1614" s="178" t="str">
        <f>IF(I1614&gt;0,H1614/I1614,0)</f>
      </c>
      <c r="K1614" s="179" t="str">
        <f>1-EXP(-J1614)</f>
      </c>
      <c r="L1614" s="180" t="str">
        <f>IF(G1614=30,1,M1613)</f>
      </c>
      <c r="M1614" s="181" t="str">
        <f>L1614*(1-K1614)</f>
      </c>
    </row>
    <row r="1615">
      <c r="A1615" t="s">
        <v>164</v>
      </c>
      <c r="B1615" t="s">
        <v>112</v>
      </c>
      <c r="C1615" s="32" t="s">
        <v>297</v>
      </c>
      <c r="D1615" t="s">
        <v>112</v>
      </c>
      <c r="E1615" t="s">
        <v>395</v>
      </c>
      <c r="F1615" s="174" t="n">
        <v>2039</v>
      </c>
      <c r="G1615" s="175" t="n">
        <v>43</v>
      </c>
      <c r="H1615" s="176" t="n">
        <v>4572.56722454842</v>
      </c>
      <c r="I1615" s="177" t="n">
        <v>4423492.22512542</v>
      </c>
      <c r="J1615" s="178" t="str">
        <f>IF(I1615&gt;0,H1615/I1615,0)</f>
      </c>
      <c r="K1615" s="179" t="str">
        <f>1-EXP(-J1615)</f>
      </c>
      <c r="L1615" s="180" t="str">
        <f>IF(G1615=30,1,M1614)</f>
      </c>
      <c r="M1615" s="181" t="str">
        <f>L1615*(1-K1615)</f>
      </c>
    </row>
    <row r="1616">
      <c r="A1616" t="s">
        <v>164</v>
      </c>
      <c r="B1616" t="s">
        <v>112</v>
      </c>
      <c r="C1616" s="32" t="s">
        <v>297</v>
      </c>
      <c r="D1616" t="s">
        <v>112</v>
      </c>
      <c r="E1616" t="s">
        <v>395</v>
      </c>
      <c r="F1616" s="174" t="n">
        <v>2039</v>
      </c>
      <c r="G1616" s="175" t="n">
        <v>44</v>
      </c>
      <c r="H1616" s="176" t="n">
        <v>4889.67259727123</v>
      </c>
      <c r="I1616" s="177" t="n">
        <v>4345767.91907819</v>
      </c>
      <c r="J1616" s="178" t="str">
        <f>IF(I1616&gt;0,H1616/I1616,0)</f>
      </c>
      <c r="K1616" s="179" t="str">
        <f>1-EXP(-J1616)</f>
      </c>
      <c r="L1616" s="180" t="str">
        <f>IF(G1616=30,1,M1615)</f>
      </c>
      <c r="M1616" s="181" t="str">
        <f>L1616*(1-K1616)</f>
      </c>
    </row>
    <row r="1617">
      <c r="A1617" t="s">
        <v>164</v>
      </c>
      <c r="B1617" t="s">
        <v>112</v>
      </c>
      <c r="C1617" s="32" t="s">
        <v>297</v>
      </c>
      <c r="D1617" t="s">
        <v>112</v>
      </c>
      <c r="E1617" t="s">
        <v>395</v>
      </c>
      <c r="F1617" s="174" t="n">
        <v>2039</v>
      </c>
      <c r="G1617" s="175" t="n">
        <v>45</v>
      </c>
      <c r="H1617" s="176" t="n">
        <v>6184.35331547889</v>
      </c>
      <c r="I1617" s="177" t="n">
        <v>4282980.87188368</v>
      </c>
      <c r="J1617" s="178" t="str">
        <f>IF(I1617&gt;0,H1617/I1617,0)</f>
      </c>
      <c r="K1617" s="179" t="str">
        <f>1-EXP(-J1617)</f>
      </c>
      <c r="L1617" s="180" t="str">
        <f>IF(G1617=30,1,M1616)</f>
      </c>
      <c r="M1617" s="181" t="str">
        <f>L1617*(1-K1617)</f>
      </c>
    </row>
    <row r="1618">
      <c r="A1618" t="s">
        <v>164</v>
      </c>
      <c r="B1618" t="s">
        <v>112</v>
      </c>
      <c r="C1618" s="32" t="s">
        <v>297</v>
      </c>
      <c r="D1618" t="s">
        <v>112</v>
      </c>
      <c r="E1618" t="s">
        <v>395</v>
      </c>
      <c r="F1618" s="174" t="n">
        <v>2039</v>
      </c>
      <c r="G1618" s="175" t="n">
        <v>46</v>
      </c>
      <c r="H1618" s="176" t="n">
        <v>6664.41923502577</v>
      </c>
      <c r="I1618" s="177" t="n">
        <v>4222152.01834306</v>
      </c>
      <c r="J1618" s="178" t="str">
        <f>IF(I1618&gt;0,H1618/I1618,0)</f>
      </c>
      <c r="K1618" s="179" t="str">
        <f>1-EXP(-J1618)</f>
      </c>
      <c r="L1618" s="180" t="str">
        <f>IF(G1618=30,1,M1617)</f>
      </c>
      <c r="M1618" s="181" t="str">
        <f>L1618*(1-K1618)</f>
      </c>
    </row>
    <row r="1619">
      <c r="A1619" t="s">
        <v>164</v>
      </c>
      <c r="B1619" t="s">
        <v>112</v>
      </c>
      <c r="C1619" s="32" t="s">
        <v>297</v>
      </c>
      <c r="D1619" t="s">
        <v>112</v>
      </c>
      <c r="E1619" t="s">
        <v>395</v>
      </c>
      <c r="F1619" s="174" t="n">
        <v>2039</v>
      </c>
      <c r="G1619" s="175" t="n">
        <v>47</v>
      </c>
      <c r="H1619" s="176" t="n">
        <v>7335.25138446508</v>
      </c>
      <c r="I1619" s="177" t="n">
        <v>4250750.68786266</v>
      </c>
      <c r="J1619" s="178" t="str">
        <f>IF(I1619&gt;0,H1619/I1619,0)</f>
      </c>
      <c r="K1619" s="179" t="str">
        <f>1-EXP(-J1619)</f>
      </c>
      <c r="L1619" s="180" t="str">
        <f>IF(G1619=30,1,M1618)</f>
      </c>
      <c r="M1619" s="181" t="str">
        <f>L1619*(1-K1619)</f>
      </c>
    </row>
    <row r="1620">
      <c r="A1620" t="s">
        <v>164</v>
      </c>
      <c r="B1620" t="s">
        <v>112</v>
      </c>
      <c r="C1620" s="32" t="s">
        <v>297</v>
      </c>
      <c r="D1620" t="s">
        <v>112</v>
      </c>
      <c r="E1620" t="s">
        <v>395</v>
      </c>
      <c r="F1620" s="174" t="n">
        <v>2039</v>
      </c>
      <c r="G1620" s="175" t="n">
        <v>48</v>
      </c>
      <c r="H1620" s="176" t="n">
        <v>8051.09102224396</v>
      </c>
      <c r="I1620" s="177" t="n">
        <v>4258997.23169957</v>
      </c>
      <c r="J1620" s="178" t="str">
        <f>IF(I1620&gt;0,H1620/I1620,0)</f>
      </c>
      <c r="K1620" s="179" t="str">
        <f>1-EXP(-J1620)</f>
      </c>
      <c r="L1620" s="180" t="str">
        <f>IF(G1620=30,1,M1619)</f>
      </c>
      <c r="M1620" s="181" t="str">
        <f>L1620*(1-K1620)</f>
      </c>
    </row>
    <row r="1621">
      <c r="A1621" t="s">
        <v>164</v>
      </c>
      <c r="B1621" t="s">
        <v>112</v>
      </c>
      <c r="C1621" s="32" t="s">
        <v>297</v>
      </c>
      <c r="D1621" t="s">
        <v>112</v>
      </c>
      <c r="E1621" t="s">
        <v>395</v>
      </c>
      <c r="F1621" s="174" t="n">
        <v>2039</v>
      </c>
      <c r="G1621" s="175" t="n">
        <v>49</v>
      </c>
      <c r="H1621" s="176" t="n">
        <v>11885.4353705468</v>
      </c>
      <c r="I1621" s="177" t="n">
        <v>6265448.70255709</v>
      </c>
      <c r="J1621" s="178" t="str">
        <f>IF(I1621&gt;0,H1621/I1621,0)</f>
      </c>
      <c r="K1621" s="179" t="str">
        <f>1-EXP(-J1621)</f>
      </c>
      <c r="L1621" s="180" t="str">
        <f>IF(G1621=30,1,M1620)</f>
      </c>
      <c r="M1621" s="181" t="str">
        <f>L1621*(1-K1621)</f>
      </c>
    </row>
    <row r="1622">
      <c r="A1622" t="s">
        <v>164</v>
      </c>
      <c r="B1622" t="s">
        <v>112</v>
      </c>
      <c r="C1622" s="32" t="s">
        <v>297</v>
      </c>
      <c r="D1622" t="s">
        <v>112</v>
      </c>
      <c r="E1622" t="s">
        <v>395</v>
      </c>
      <c r="F1622" s="174" t="n">
        <v>2039</v>
      </c>
      <c r="G1622" s="175" t="n">
        <v>50</v>
      </c>
      <c r="H1622" s="176" t="n">
        <v>9998.97976182667</v>
      </c>
      <c r="I1622" s="177" t="n">
        <v>4197006.29895948</v>
      </c>
      <c r="J1622" s="178" t="str">
        <f>IF(I1622&gt;0,H1622/I1622,0)</f>
      </c>
      <c r="K1622" s="179" t="str">
        <f>1-EXP(-J1622)</f>
      </c>
      <c r="L1622" s="180" t="str">
        <f>IF(G1622=30,1,M1621)</f>
      </c>
      <c r="M1622" s="181" t="str">
        <f>L1622*(1-K1622)</f>
      </c>
    </row>
    <row r="1623">
      <c r="A1623" t="s">
        <v>164</v>
      </c>
      <c r="B1623" t="s">
        <v>112</v>
      </c>
      <c r="C1623" s="32" t="s">
        <v>297</v>
      </c>
      <c r="D1623" t="s">
        <v>112</v>
      </c>
      <c r="E1623" t="s">
        <v>395</v>
      </c>
      <c r="F1623" s="174" t="n">
        <v>2039</v>
      </c>
      <c r="G1623" s="175" t="n">
        <v>51</v>
      </c>
      <c r="H1623" s="176" t="n">
        <v>10860.6154105012</v>
      </c>
      <c r="I1623" s="177" t="n">
        <v>4167472.44172932</v>
      </c>
      <c r="J1623" s="178" t="str">
        <f>IF(I1623&gt;0,H1623/I1623,0)</f>
      </c>
      <c r="K1623" s="179" t="str">
        <f>1-EXP(-J1623)</f>
      </c>
      <c r="L1623" s="180" t="str">
        <f>IF(G1623=30,1,M1622)</f>
      </c>
      <c r="M1623" s="181" t="str">
        <f>L1623*(1-K1623)</f>
      </c>
    </row>
    <row r="1624">
      <c r="A1624" t="s">
        <v>164</v>
      </c>
      <c r="B1624" t="s">
        <v>112</v>
      </c>
      <c r="C1624" s="32" t="s">
        <v>297</v>
      </c>
      <c r="D1624" t="s">
        <v>112</v>
      </c>
      <c r="E1624" t="s">
        <v>395</v>
      </c>
      <c r="F1624" s="174" t="n">
        <v>2039</v>
      </c>
      <c r="G1624" s="175" t="n">
        <v>52</v>
      </c>
      <c r="H1624" s="176" t="n">
        <v>11468.7786644474</v>
      </c>
      <c r="I1624" s="177" t="n">
        <v>4026242.12653055</v>
      </c>
      <c r="J1624" s="178" t="str">
        <f>IF(I1624&gt;0,H1624/I1624,0)</f>
      </c>
      <c r="K1624" s="179" t="str">
        <f>1-EXP(-J1624)</f>
      </c>
      <c r="L1624" s="180" t="str">
        <f>IF(G1624=30,1,M1623)</f>
      </c>
      <c r="M1624" s="181" t="str">
        <f>L1624*(1-K1624)</f>
      </c>
    </row>
    <row r="1625">
      <c r="A1625" t="s">
        <v>164</v>
      </c>
      <c r="B1625" t="s">
        <v>112</v>
      </c>
      <c r="C1625" s="32" t="s">
        <v>297</v>
      </c>
      <c r="D1625" t="s">
        <v>112</v>
      </c>
      <c r="E1625" t="s">
        <v>395</v>
      </c>
      <c r="F1625" s="174" t="n">
        <v>2039</v>
      </c>
      <c r="G1625" s="175" t="n">
        <v>53</v>
      </c>
      <c r="H1625" s="176" t="n">
        <v>12365.7042315829</v>
      </c>
      <c r="I1625" s="177" t="n">
        <v>3978222.10922993</v>
      </c>
      <c r="J1625" s="178" t="str">
        <f>IF(I1625&gt;0,H1625/I1625,0)</f>
      </c>
      <c r="K1625" s="179" t="str">
        <f>1-EXP(-J1625)</f>
      </c>
      <c r="L1625" s="180" t="str">
        <f>IF(G1625=30,1,M1624)</f>
      </c>
      <c r="M1625" s="181" t="str">
        <f>L1625*(1-K1625)</f>
      </c>
    </row>
    <row r="1626">
      <c r="A1626" t="s">
        <v>164</v>
      </c>
      <c r="B1626" t="s">
        <v>112</v>
      </c>
      <c r="C1626" s="32" t="s">
        <v>297</v>
      </c>
      <c r="D1626" t="s">
        <v>112</v>
      </c>
      <c r="E1626" t="s">
        <v>395</v>
      </c>
      <c r="F1626" s="174" t="n">
        <v>2039</v>
      </c>
      <c r="G1626" s="175" t="n">
        <v>54</v>
      </c>
      <c r="H1626" s="176" t="n">
        <v>13621.0428785518</v>
      </c>
      <c r="I1626" s="177" t="n">
        <v>4018367.63837857</v>
      </c>
      <c r="J1626" s="178" t="str">
        <f>IF(I1626&gt;0,H1626/I1626,0)</f>
      </c>
      <c r="K1626" s="179" t="str">
        <f>1-EXP(-J1626)</f>
      </c>
      <c r="L1626" s="180" t="str">
        <f>IF(G1626=30,1,M1625)</f>
      </c>
      <c r="M1626" s="181" t="str">
        <f>L1626*(1-K1626)</f>
      </c>
    </row>
    <row r="1627">
      <c r="A1627" t="s">
        <v>164</v>
      </c>
      <c r="B1627" t="s">
        <v>112</v>
      </c>
      <c r="C1627" s="32" t="s">
        <v>297</v>
      </c>
      <c r="D1627" t="s">
        <v>112</v>
      </c>
      <c r="E1627" t="s">
        <v>395</v>
      </c>
      <c r="F1627" s="174" t="n">
        <v>2039</v>
      </c>
      <c r="G1627" s="175" t="n">
        <v>55</v>
      </c>
      <c r="H1627" s="176" t="n">
        <v>14987.8151181471</v>
      </c>
      <c r="I1627" s="177" t="n">
        <v>4080424.69216688</v>
      </c>
      <c r="J1627" s="178" t="str">
        <f>IF(I1627&gt;0,H1627/I1627,0)</f>
      </c>
      <c r="K1627" s="179" t="str">
        <f>1-EXP(-J1627)</f>
      </c>
      <c r="L1627" s="180" t="str">
        <f>IF(G1627=30,1,M1626)</f>
      </c>
      <c r="M1627" s="181" t="str">
        <f>L1627*(1-K1627)</f>
      </c>
    </row>
    <row r="1628">
      <c r="A1628" t="s">
        <v>164</v>
      </c>
      <c r="B1628" t="s">
        <v>112</v>
      </c>
      <c r="C1628" s="32" t="s">
        <v>297</v>
      </c>
      <c r="D1628" t="s">
        <v>112</v>
      </c>
      <c r="E1628" t="s">
        <v>395</v>
      </c>
      <c r="F1628" s="174" t="n">
        <v>2039</v>
      </c>
      <c r="G1628" s="175" t="n">
        <v>56</v>
      </c>
      <c r="H1628" s="176" t="n">
        <v>16165.0721165315</v>
      </c>
      <c r="I1628" s="177" t="n">
        <v>4037018.47297291</v>
      </c>
      <c r="J1628" s="178" t="str">
        <f>IF(I1628&gt;0,H1628/I1628,0)</f>
      </c>
      <c r="K1628" s="179" t="str">
        <f>1-EXP(-J1628)</f>
      </c>
      <c r="L1628" s="180" t="str">
        <f>IF(G1628=30,1,M1627)</f>
      </c>
      <c r="M1628" s="181" t="str">
        <f>L1628*(1-K1628)</f>
      </c>
    </row>
    <row r="1629">
      <c r="A1629" t="s">
        <v>164</v>
      </c>
      <c r="B1629" t="s">
        <v>112</v>
      </c>
      <c r="C1629" s="32" t="s">
        <v>297</v>
      </c>
      <c r="D1629" t="s">
        <v>112</v>
      </c>
      <c r="E1629" t="s">
        <v>395</v>
      </c>
      <c r="F1629" s="174" t="n">
        <v>2039</v>
      </c>
      <c r="G1629" s="175" t="n">
        <v>57</v>
      </c>
      <c r="H1629" s="176" t="n">
        <v>16997.1497871554</v>
      </c>
      <c r="I1629" s="177" t="n">
        <v>3886614.70055799</v>
      </c>
      <c r="J1629" s="178" t="str">
        <f>IF(I1629&gt;0,H1629/I1629,0)</f>
      </c>
      <c r="K1629" s="179" t="str">
        <f>1-EXP(-J1629)</f>
      </c>
      <c r="L1629" s="180" t="str">
        <f>IF(G1629=30,1,M1628)</f>
      </c>
      <c r="M1629" s="181" t="str">
        <f>L1629*(1-K1629)</f>
      </c>
    </row>
    <row r="1630">
      <c r="A1630" t="s">
        <v>164</v>
      </c>
      <c r="B1630" t="s">
        <v>112</v>
      </c>
      <c r="C1630" s="32" t="s">
        <v>297</v>
      </c>
      <c r="D1630" t="s">
        <v>112</v>
      </c>
      <c r="E1630" t="s">
        <v>395</v>
      </c>
      <c r="F1630" s="174" t="n">
        <v>2039</v>
      </c>
      <c r="G1630" s="175" t="n">
        <v>58</v>
      </c>
      <c r="H1630" s="176" t="n">
        <v>18126.5572430505</v>
      </c>
      <c r="I1630" s="177" t="n">
        <v>3794251.14104816</v>
      </c>
      <c r="J1630" s="178" t="str">
        <f>IF(I1630&gt;0,H1630/I1630,0)</f>
      </c>
      <c r="K1630" s="179" t="str">
        <f>1-EXP(-J1630)</f>
      </c>
      <c r="L1630" s="180" t="str">
        <f>IF(G1630=30,1,M1629)</f>
      </c>
      <c r="M1630" s="181" t="str">
        <f>L1630*(1-K1630)</f>
      </c>
    </row>
    <row r="1631">
      <c r="A1631" t="s">
        <v>164</v>
      </c>
      <c r="B1631" t="s">
        <v>112</v>
      </c>
      <c r="C1631" s="32" t="s">
        <v>297</v>
      </c>
      <c r="D1631" t="s">
        <v>112</v>
      </c>
      <c r="E1631" t="s">
        <v>395</v>
      </c>
      <c r="F1631" s="174" t="n">
        <v>2039</v>
      </c>
      <c r="G1631" s="175" t="n">
        <v>59</v>
      </c>
      <c r="H1631" s="176" t="n">
        <v>19413.1570805619</v>
      </c>
      <c r="I1631" s="177" t="n">
        <v>3715485.92000567</v>
      </c>
      <c r="J1631" s="178" t="str">
        <f>IF(I1631&gt;0,H1631/I1631,0)</f>
      </c>
      <c r="K1631" s="179" t="str">
        <f>1-EXP(-J1631)</f>
      </c>
      <c r="L1631" s="180" t="str">
        <f>IF(G1631=30,1,M1630)</f>
      </c>
      <c r="M1631" s="181" t="str">
        <f>L1631*(1-K1631)</f>
      </c>
    </row>
    <row r="1632">
      <c r="A1632" t="s">
        <v>164</v>
      </c>
      <c r="B1632" t="s">
        <v>112</v>
      </c>
      <c r="C1632" s="32" t="s">
        <v>297</v>
      </c>
      <c r="D1632" t="s">
        <v>112</v>
      </c>
      <c r="E1632" t="s">
        <v>395</v>
      </c>
      <c r="F1632" s="174" t="n">
        <v>2039</v>
      </c>
      <c r="G1632" s="175" t="n">
        <v>60</v>
      </c>
      <c r="H1632" s="176" t="n">
        <v>20746.2951243058</v>
      </c>
      <c r="I1632" s="177" t="n">
        <v>3630303.81524242</v>
      </c>
      <c r="J1632" s="178" t="str">
        <f>IF(I1632&gt;0,H1632/I1632,0)</f>
      </c>
      <c r="K1632" s="179" t="str">
        <f>1-EXP(-J1632)</f>
      </c>
      <c r="L1632" s="180" t="str">
        <f>IF(G1632=30,1,M1631)</f>
      </c>
      <c r="M1632" s="181" t="str">
        <f>L1632*(1-K1632)</f>
      </c>
    </row>
    <row r="1633">
      <c r="A1633" t="s">
        <v>164</v>
      </c>
      <c r="B1633" t="s">
        <v>112</v>
      </c>
      <c r="C1633" s="32" t="s">
        <v>297</v>
      </c>
      <c r="D1633" t="s">
        <v>112</v>
      </c>
      <c r="E1633" t="s">
        <v>395</v>
      </c>
      <c r="F1633" s="174" t="n">
        <v>2039</v>
      </c>
      <c r="G1633" s="175" t="n">
        <v>61</v>
      </c>
      <c r="H1633" s="176" t="n">
        <v>22073.1528546161</v>
      </c>
      <c r="I1633" s="177" t="n">
        <v>3525613.29002712</v>
      </c>
      <c r="J1633" s="178" t="str">
        <f>IF(I1633&gt;0,H1633/I1633,0)</f>
      </c>
      <c r="K1633" s="179" t="str">
        <f>1-EXP(-J1633)</f>
      </c>
      <c r="L1633" s="180" t="str">
        <f>IF(G1633=30,1,M1632)</f>
      </c>
      <c r="M1633" s="181" t="str">
        <f>L1633*(1-K1633)</f>
      </c>
    </row>
    <row r="1634">
      <c r="A1634" t="s">
        <v>164</v>
      </c>
      <c r="B1634" t="s">
        <v>112</v>
      </c>
      <c r="C1634" s="32" t="s">
        <v>297</v>
      </c>
      <c r="D1634" t="s">
        <v>112</v>
      </c>
      <c r="E1634" t="s">
        <v>395</v>
      </c>
      <c r="F1634" s="174" t="n">
        <v>2039</v>
      </c>
      <c r="G1634" s="175" t="n">
        <v>62</v>
      </c>
      <c r="H1634" s="176" t="n">
        <v>23597.0968450749</v>
      </c>
      <c r="I1634" s="177" t="n">
        <v>3435035.17626601</v>
      </c>
      <c r="J1634" s="178" t="str">
        <f>IF(I1634&gt;0,H1634/I1634,0)</f>
      </c>
      <c r="K1634" s="179" t="str">
        <f>1-EXP(-J1634)</f>
      </c>
      <c r="L1634" s="180" t="str">
        <f>IF(G1634=30,1,M1633)</f>
      </c>
      <c r="M1634" s="181" t="str">
        <f>L1634*(1-K1634)</f>
      </c>
    </row>
    <row r="1635">
      <c r="A1635" t="s">
        <v>164</v>
      </c>
      <c r="B1635" t="s">
        <v>112</v>
      </c>
      <c r="C1635" s="32" t="s">
        <v>297</v>
      </c>
      <c r="D1635" t="s">
        <v>112</v>
      </c>
      <c r="E1635" t="s">
        <v>395</v>
      </c>
      <c r="F1635" s="174" t="n">
        <v>2039</v>
      </c>
      <c r="G1635" s="175" t="n">
        <v>63</v>
      </c>
      <c r="H1635" s="176" t="n">
        <v>25090.452377104</v>
      </c>
      <c r="I1635" s="177" t="n">
        <v>3332610.39876435</v>
      </c>
      <c r="J1635" s="178" t="str">
        <f>IF(I1635&gt;0,H1635/I1635,0)</f>
      </c>
      <c r="K1635" s="179" t="str">
        <f>1-EXP(-J1635)</f>
      </c>
      <c r="L1635" s="180" t="str">
        <f>IF(G1635=30,1,M1634)</f>
      </c>
      <c r="M1635" s="181" t="str">
        <f>L1635*(1-K1635)</f>
      </c>
    </row>
    <row r="1636">
      <c r="A1636" t="s">
        <v>164</v>
      </c>
      <c r="B1636" t="s">
        <v>112</v>
      </c>
      <c r="C1636" s="32" t="s">
        <v>297</v>
      </c>
      <c r="D1636" t="s">
        <v>112</v>
      </c>
      <c r="E1636" t="s">
        <v>395</v>
      </c>
      <c r="F1636" s="174" t="n">
        <v>2039</v>
      </c>
      <c r="G1636" s="175" t="n">
        <v>64</v>
      </c>
      <c r="H1636" s="176" t="n">
        <v>26635.266996799</v>
      </c>
      <c r="I1636" s="177" t="n">
        <v>3228099.37702942</v>
      </c>
      <c r="J1636" s="178" t="str">
        <f>IF(I1636&gt;0,H1636/I1636,0)</f>
      </c>
      <c r="K1636" s="179" t="str">
        <f>1-EXP(-J1636)</f>
      </c>
      <c r="L1636" s="180" t="str">
        <f>IF(G1636=30,1,M1635)</f>
      </c>
      <c r="M1636" s="181" t="str">
        <f>L1636*(1-K1636)</f>
      </c>
    </row>
    <row r="1637">
      <c r="A1637" t="s">
        <v>164</v>
      </c>
      <c r="B1637" t="s">
        <v>112</v>
      </c>
      <c r="C1637" s="32" t="s">
        <v>297</v>
      </c>
      <c r="D1637" t="s">
        <v>112</v>
      </c>
      <c r="E1637" t="s">
        <v>395</v>
      </c>
      <c r="F1637" s="174" t="n">
        <v>2039</v>
      </c>
      <c r="G1637" s="175" t="n">
        <v>65</v>
      </c>
      <c r="H1637" s="176" t="n">
        <v>26895.4676795224</v>
      </c>
      <c r="I1637" s="177" t="n">
        <v>3098038.03006571</v>
      </c>
      <c r="J1637" s="178" t="str">
        <f>IF(I1637&gt;0,H1637/I1637,0)</f>
      </c>
      <c r="K1637" s="179" t="str">
        <f>1-EXP(-J1637)</f>
      </c>
      <c r="L1637" s="180" t="str">
        <f>IF(G1637=30,1,M1636)</f>
      </c>
      <c r="M1637" s="181" t="str">
        <f>L1637*(1-K1637)</f>
      </c>
    </row>
    <row r="1638">
      <c r="A1638" t="s">
        <v>164</v>
      </c>
      <c r="B1638" t="s">
        <v>112</v>
      </c>
      <c r="C1638" s="32" t="s">
        <v>297</v>
      </c>
      <c r="D1638" t="s">
        <v>112</v>
      </c>
      <c r="E1638" t="s">
        <v>395</v>
      </c>
      <c r="F1638" s="174" t="n">
        <v>2039</v>
      </c>
      <c r="G1638" s="175" t="n">
        <v>66</v>
      </c>
      <c r="H1638" s="176" t="n">
        <v>28755.4831593473</v>
      </c>
      <c r="I1638" s="177" t="n">
        <v>3019497.82229789</v>
      </c>
      <c r="J1638" s="178" t="str">
        <f>IF(I1638&gt;0,H1638/I1638,0)</f>
      </c>
      <c r="K1638" s="179" t="str">
        <f>1-EXP(-J1638)</f>
      </c>
      <c r="L1638" s="180" t="str">
        <f>IF(G1638=30,1,M1637)</f>
      </c>
      <c r="M1638" s="181" t="str">
        <f>L1638*(1-K1638)</f>
      </c>
    </row>
    <row r="1639">
      <c r="A1639" t="s">
        <v>164</v>
      </c>
      <c r="B1639" t="s">
        <v>112</v>
      </c>
      <c r="C1639" s="32" t="s">
        <v>297</v>
      </c>
      <c r="D1639" t="s">
        <v>112</v>
      </c>
      <c r="E1639" t="s">
        <v>395</v>
      </c>
      <c r="F1639" s="174" t="n">
        <v>2039</v>
      </c>
      <c r="G1639" s="175" t="n">
        <v>67</v>
      </c>
      <c r="H1639" s="176" t="n">
        <v>29275.8778479433</v>
      </c>
      <c r="I1639" s="177" t="n">
        <v>2798400.52683236</v>
      </c>
      <c r="J1639" s="178" t="str">
        <f>IF(I1639&gt;0,H1639/I1639,0)</f>
      </c>
      <c r="K1639" s="179" t="str">
        <f>1-EXP(-J1639)</f>
      </c>
      <c r="L1639" s="180" t="str">
        <f>IF(G1639=30,1,M1638)</f>
      </c>
      <c r="M1639" s="181" t="str">
        <f>L1639*(1-K1639)</f>
      </c>
    </row>
    <row r="1640">
      <c r="A1640" t="s">
        <v>164</v>
      </c>
      <c r="B1640" t="s">
        <v>112</v>
      </c>
      <c r="C1640" s="32" t="s">
        <v>297</v>
      </c>
      <c r="D1640" t="s">
        <v>112</v>
      </c>
      <c r="E1640" t="s">
        <v>395</v>
      </c>
      <c r="F1640" s="174" t="n">
        <v>2039</v>
      </c>
      <c r="G1640" s="175" t="n">
        <v>68</v>
      </c>
      <c r="H1640" s="176" t="n">
        <v>30804.6518120941</v>
      </c>
      <c r="I1640" s="177" t="n">
        <v>2681386.71987023</v>
      </c>
      <c r="J1640" s="178" t="str">
        <f>IF(I1640&gt;0,H1640/I1640,0)</f>
      </c>
      <c r="K1640" s="179" t="str">
        <f>1-EXP(-J1640)</f>
      </c>
      <c r="L1640" s="180" t="str">
        <f>IF(G1640=30,1,M1639)</f>
      </c>
      <c r="M1640" s="181" t="str">
        <f>L1640*(1-K1640)</f>
      </c>
    </row>
    <row r="1641">
      <c r="A1641" t="s">
        <v>164</v>
      </c>
      <c r="B1641" t="s">
        <v>112</v>
      </c>
      <c r="C1641" s="32" t="s">
        <v>297</v>
      </c>
      <c r="D1641" t="s">
        <v>112</v>
      </c>
      <c r="E1641" t="s">
        <v>395</v>
      </c>
      <c r="F1641" s="174" t="n">
        <v>2039</v>
      </c>
      <c r="G1641" s="175" t="n">
        <v>69</v>
      </c>
      <c r="H1641" s="176" t="n">
        <v>32412.4713113829</v>
      </c>
      <c r="I1641" s="177" t="n">
        <v>2566846.43356641</v>
      </c>
      <c r="J1641" s="178" t="str">
        <f>IF(I1641&gt;0,H1641/I1641,0)</f>
      </c>
      <c r="K1641" s="179" t="str">
        <f>1-EXP(-J1641)</f>
      </c>
      <c r="L1641" s="180" t="str">
        <f>IF(G1641=30,1,M1640)</f>
      </c>
      <c r="M1641" s="181" t="str">
        <f>L1641*(1-K1641)</f>
      </c>
    </row>
    <row r="1642">
      <c r="A1642" t="s">
        <v>164</v>
      </c>
      <c r="B1642" t="s">
        <v>112</v>
      </c>
      <c r="C1642" s="32" t="s">
        <v>297</v>
      </c>
      <c r="D1642" t="s">
        <v>112</v>
      </c>
      <c r="E1642" t="s">
        <v>395</v>
      </c>
      <c r="F1642" s="174" t="n">
        <v>2040</v>
      </c>
      <c r="G1642" s="175" t="n">
        <v>30</v>
      </c>
      <c r="H1642" s="176" t="n">
        <v>801.292198015372</v>
      </c>
      <c r="I1642" s="177" t="n">
        <v>4755770.9886484</v>
      </c>
      <c r="J1642" s="178" t="str">
        <f>IF(I1642&gt;0,H1642/I1642,0)</f>
      </c>
      <c r="K1642" s="179" t="str">
        <f>1-EXP(-J1642)</f>
      </c>
      <c r="L1642" s="180" t="str">
        <f>IF(G1642=30,1,M1641)</f>
      </c>
      <c r="M1642" s="181" t="str">
        <f>L1642*(1-K1642)</f>
      </c>
    </row>
    <row r="1643">
      <c r="A1643" t="s">
        <v>164</v>
      </c>
      <c r="B1643" t="s">
        <v>112</v>
      </c>
      <c r="C1643" s="32" t="s">
        <v>297</v>
      </c>
      <c r="D1643" t="s">
        <v>112</v>
      </c>
      <c r="E1643" t="s">
        <v>395</v>
      </c>
      <c r="F1643" s="174" t="n">
        <v>2040</v>
      </c>
      <c r="G1643" s="175" t="n">
        <v>31</v>
      </c>
      <c r="H1643" s="176" t="n">
        <v>1016.78299740652</v>
      </c>
      <c r="I1643" s="177" t="n">
        <v>4684888.69235014</v>
      </c>
      <c r="J1643" s="178" t="str">
        <f>IF(I1643&gt;0,H1643/I1643,0)</f>
      </c>
      <c r="K1643" s="179" t="str">
        <f>1-EXP(-J1643)</f>
      </c>
      <c r="L1643" s="180" t="str">
        <f>IF(G1643=30,1,M1642)</f>
      </c>
      <c r="M1643" s="181" t="str">
        <f>L1643*(1-K1643)</f>
      </c>
    </row>
    <row r="1644">
      <c r="A1644" t="s">
        <v>164</v>
      </c>
      <c r="B1644" t="s">
        <v>112</v>
      </c>
      <c r="C1644" s="32" t="s">
        <v>297</v>
      </c>
      <c r="D1644" t="s">
        <v>112</v>
      </c>
      <c r="E1644" t="s">
        <v>395</v>
      </c>
      <c r="F1644" s="174" t="n">
        <v>2040</v>
      </c>
      <c r="G1644" s="175" t="n">
        <v>32</v>
      </c>
      <c r="H1644" s="176" t="n">
        <v>1061.29964240548</v>
      </c>
      <c r="I1644" s="177" t="n">
        <v>4642359.19972211</v>
      </c>
      <c r="J1644" s="178" t="str">
        <f>IF(I1644&gt;0,H1644/I1644,0)</f>
      </c>
      <c r="K1644" s="179" t="str">
        <f>1-EXP(-J1644)</f>
      </c>
      <c r="L1644" s="180" t="str">
        <f>IF(G1644=30,1,M1643)</f>
      </c>
      <c r="M1644" s="181" t="str">
        <f>L1644*(1-K1644)</f>
      </c>
    </row>
    <row r="1645">
      <c r="A1645" t="s">
        <v>164</v>
      </c>
      <c r="B1645" t="s">
        <v>112</v>
      </c>
      <c r="C1645" s="32" t="s">
        <v>297</v>
      </c>
      <c r="D1645" t="s">
        <v>112</v>
      </c>
      <c r="E1645" t="s">
        <v>395</v>
      </c>
      <c r="F1645" s="174" t="n">
        <v>2040</v>
      </c>
      <c r="G1645" s="175" t="n">
        <v>33</v>
      </c>
      <c r="H1645" s="176" t="n">
        <v>1182.35017584636</v>
      </c>
      <c r="I1645" s="177" t="n">
        <v>4668387.55153943</v>
      </c>
      <c r="J1645" s="178" t="str">
        <f>IF(I1645&gt;0,H1645/I1645,0)</f>
      </c>
      <c r="K1645" s="179" t="str">
        <f>1-EXP(-J1645)</f>
      </c>
      <c r="L1645" s="180" t="str">
        <f>IF(G1645=30,1,M1644)</f>
      </c>
      <c r="M1645" s="181" t="str">
        <f>L1645*(1-K1645)</f>
      </c>
    </row>
    <row r="1646">
      <c r="A1646" t="s">
        <v>164</v>
      </c>
      <c r="B1646" t="s">
        <v>112</v>
      </c>
      <c r="C1646" s="32" t="s">
        <v>297</v>
      </c>
      <c r="D1646" t="s">
        <v>112</v>
      </c>
      <c r="E1646" t="s">
        <v>395</v>
      </c>
      <c r="F1646" s="174" t="n">
        <v>2040</v>
      </c>
      <c r="G1646" s="175" t="n">
        <v>34</v>
      </c>
      <c r="H1646" s="176" t="n">
        <v>1236.59693628253</v>
      </c>
      <c r="I1646" s="177" t="n">
        <v>4585223.52520881</v>
      </c>
      <c r="J1646" s="178" t="str">
        <f>IF(I1646&gt;0,H1646/I1646,0)</f>
      </c>
      <c r="K1646" s="179" t="str">
        <f>1-EXP(-J1646)</f>
      </c>
      <c r="L1646" s="180" t="str">
        <f>IF(G1646=30,1,M1645)</f>
      </c>
      <c r="M1646" s="181" t="str">
        <f>L1646*(1-K1646)</f>
      </c>
    </row>
    <row r="1647">
      <c r="A1647" t="s">
        <v>164</v>
      </c>
      <c r="B1647" t="s">
        <v>112</v>
      </c>
      <c r="C1647" s="32" t="s">
        <v>297</v>
      </c>
      <c r="D1647" t="s">
        <v>112</v>
      </c>
      <c r="E1647" t="s">
        <v>395</v>
      </c>
      <c r="F1647" s="174" t="n">
        <v>2040</v>
      </c>
      <c r="G1647" s="175" t="n">
        <v>35</v>
      </c>
      <c r="H1647" s="176" t="n">
        <v>1625.39808136698</v>
      </c>
      <c r="I1647" s="177" t="n">
        <v>4523820.41568469</v>
      </c>
      <c r="J1647" s="178" t="str">
        <f>IF(I1647&gt;0,H1647/I1647,0)</f>
      </c>
      <c r="K1647" s="179" t="str">
        <f>1-EXP(-J1647)</f>
      </c>
      <c r="L1647" s="180" t="str">
        <f>IF(G1647=30,1,M1646)</f>
      </c>
      <c r="M1647" s="181" t="str">
        <f>L1647*(1-K1647)</f>
      </c>
    </row>
    <row r="1648">
      <c r="A1648" t="s">
        <v>164</v>
      </c>
      <c r="B1648" t="s">
        <v>112</v>
      </c>
      <c r="C1648" s="32" t="s">
        <v>297</v>
      </c>
      <c r="D1648" t="s">
        <v>112</v>
      </c>
      <c r="E1648" t="s">
        <v>395</v>
      </c>
      <c r="F1648" s="174" t="n">
        <v>2040</v>
      </c>
      <c r="G1648" s="175" t="n">
        <v>36</v>
      </c>
      <c r="H1648" s="176" t="n">
        <v>1831.82077180022</v>
      </c>
      <c r="I1648" s="177" t="n">
        <v>4394472.85655358</v>
      </c>
      <c r="J1648" s="178" t="str">
        <f>IF(I1648&gt;0,H1648/I1648,0)</f>
      </c>
      <c r="K1648" s="179" t="str">
        <f>1-EXP(-J1648)</f>
      </c>
      <c r="L1648" s="180" t="str">
        <f>IF(G1648=30,1,M1647)</f>
      </c>
      <c r="M1648" s="181" t="str">
        <f>L1648*(1-K1648)</f>
      </c>
    </row>
    <row r="1649">
      <c r="A1649" t="s">
        <v>164</v>
      </c>
      <c r="B1649" t="s">
        <v>112</v>
      </c>
      <c r="C1649" s="32" t="s">
        <v>297</v>
      </c>
      <c r="D1649" t="s">
        <v>112</v>
      </c>
      <c r="E1649" t="s">
        <v>395</v>
      </c>
      <c r="F1649" s="174" t="n">
        <v>2040</v>
      </c>
      <c r="G1649" s="175" t="n">
        <v>37</v>
      </c>
      <c r="H1649" s="176" t="n">
        <v>1940.01448437129</v>
      </c>
      <c r="I1649" s="177" t="n">
        <v>4328027.59036455</v>
      </c>
      <c r="J1649" s="178" t="str">
        <f>IF(I1649&gt;0,H1649/I1649,0)</f>
      </c>
      <c r="K1649" s="179" t="str">
        <f>1-EXP(-J1649)</f>
      </c>
      <c r="L1649" s="180" t="str">
        <f>IF(G1649=30,1,M1648)</f>
      </c>
      <c r="M1649" s="181" t="str">
        <f>L1649*(1-K1649)</f>
      </c>
    </row>
    <row r="1650">
      <c r="A1650" t="s">
        <v>164</v>
      </c>
      <c r="B1650" t="s">
        <v>112</v>
      </c>
      <c r="C1650" s="32" t="s">
        <v>297</v>
      </c>
      <c r="D1650" t="s">
        <v>112</v>
      </c>
      <c r="E1650" t="s">
        <v>395</v>
      </c>
      <c r="F1650" s="174" t="n">
        <v>2040</v>
      </c>
      <c r="G1650" s="175" t="n">
        <v>38</v>
      </c>
      <c r="H1650" s="176" t="n">
        <v>2233.24643250757</v>
      </c>
      <c r="I1650" s="177" t="n">
        <v>4304229.39239531</v>
      </c>
      <c r="J1650" s="178" t="str">
        <f>IF(I1650&gt;0,H1650/I1650,0)</f>
      </c>
      <c r="K1650" s="179" t="str">
        <f>1-EXP(-J1650)</f>
      </c>
      <c r="L1650" s="180" t="str">
        <f>IF(G1650=30,1,M1649)</f>
      </c>
      <c r="M1650" s="181" t="str">
        <f>L1650*(1-K1650)</f>
      </c>
    </row>
    <row r="1651">
      <c r="A1651" t="s">
        <v>164</v>
      </c>
      <c r="B1651" t="s">
        <v>112</v>
      </c>
      <c r="C1651" s="32" t="s">
        <v>297</v>
      </c>
      <c r="D1651" t="s">
        <v>112</v>
      </c>
      <c r="E1651" t="s">
        <v>395</v>
      </c>
      <c r="F1651" s="174" t="n">
        <v>2040</v>
      </c>
      <c r="G1651" s="175" t="n">
        <v>39</v>
      </c>
      <c r="H1651" s="176" t="n">
        <v>2397.7408878301</v>
      </c>
      <c r="I1651" s="177" t="n">
        <v>4282190.36243835</v>
      </c>
      <c r="J1651" s="178" t="str">
        <f>IF(I1651&gt;0,H1651/I1651,0)</f>
      </c>
      <c r="K1651" s="179" t="str">
        <f>1-EXP(-J1651)</f>
      </c>
      <c r="L1651" s="180" t="str">
        <f>IF(G1651=30,1,M1650)</f>
      </c>
      <c r="M1651" s="181" t="str">
        <f>L1651*(1-K1651)</f>
      </c>
    </row>
    <row r="1652">
      <c r="A1652" t="s">
        <v>164</v>
      </c>
      <c r="B1652" t="s">
        <v>112</v>
      </c>
      <c r="C1652" s="32" t="s">
        <v>297</v>
      </c>
      <c r="D1652" t="s">
        <v>112</v>
      </c>
      <c r="E1652" t="s">
        <v>395</v>
      </c>
      <c r="F1652" s="174" t="n">
        <v>2040</v>
      </c>
      <c r="G1652" s="175" t="n">
        <v>40</v>
      </c>
      <c r="H1652" s="176" t="n">
        <v>3201.81818321479</v>
      </c>
      <c r="I1652" s="177" t="n">
        <v>4259552.91972513</v>
      </c>
      <c r="J1652" s="178" t="str">
        <f>IF(I1652&gt;0,H1652/I1652,0)</f>
      </c>
      <c r="K1652" s="179" t="str">
        <f>1-EXP(-J1652)</f>
      </c>
      <c r="L1652" s="180" t="str">
        <f>IF(G1652=30,1,M1651)</f>
      </c>
      <c r="M1652" s="181" t="str">
        <f>L1652*(1-K1652)</f>
      </c>
    </row>
    <row r="1653">
      <c r="A1653" t="s">
        <v>164</v>
      </c>
      <c r="B1653" t="s">
        <v>112</v>
      </c>
      <c r="C1653" s="32" t="s">
        <v>297</v>
      </c>
      <c r="D1653" t="s">
        <v>112</v>
      </c>
      <c r="E1653" t="s">
        <v>395</v>
      </c>
      <c r="F1653" s="174" t="n">
        <v>2040</v>
      </c>
      <c r="G1653" s="175" t="n">
        <v>41</v>
      </c>
      <c r="H1653" s="176" t="n">
        <v>3557.26000187018</v>
      </c>
      <c r="I1653" s="177" t="n">
        <v>4275075.35439724</v>
      </c>
      <c r="J1653" s="178" t="str">
        <f>IF(I1653&gt;0,H1653/I1653,0)</f>
      </c>
      <c r="K1653" s="179" t="str">
        <f>1-EXP(-J1653)</f>
      </c>
      <c r="L1653" s="180" t="str">
        <f>IF(G1653=30,1,M1652)</f>
      </c>
      <c r="M1653" s="181" t="str">
        <f>L1653*(1-K1653)</f>
      </c>
    </row>
    <row r="1654">
      <c r="A1654" t="s">
        <v>164</v>
      </c>
      <c r="B1654" t="s">
        <v>112</v>
      </c>
      <c r="C1654" s="32" t="s">
        <v>297</v>
      </c>
      <c r="D1654" t="s">
        <v>112</v>
      </c>
      <c r="E1654" t="s">
        <v>395</v>
      </c>
      <c r="F1654" s="174" t="n">
        <v>2040</v>
      </c>
      <c r="G1654" s="175" t="n">
        <v>42</v>
      </c>
      <c r="H1654" s="176" t="n">
        <v>3908.87514528898</v>
      </c>
      <c r="I1654" s="177" t="n">
        <v>4329378.54987645</v>
      </c>
      <c r="J1654" s="178" t="str">
        <f>IF(I1654&gt;0,H1654/I1654,0)</f>
      </c>
      <c r="K1654" s="179" t="str">
        <f>1-EXP(-J1654)</f>
      </c>
      <c r="L1654" s="180" t="str">
        <f>IF(G1654=30,1,M1653)</f>
      </c>
      <c r="M1654" s="181" t="str">
        <f>L1654*(1-K1654)</f>
      </c>
    </row>
    <row r="1655">
      <c r="A1655" t="s">
        <v>164</v>
      </c>
      <c r="B1655" t="s">
        <v>112</v>
      </c>
      <c r="C1655" s="32" t="s">
        <v>297</v>
      </c>
      <c r="D1655" t="s">
        <v>112</v>
      </c>
      <c r="E1655" t="s">
        <v>395</v>
      </c>
      <c r="F1655" s="174" t="n">
        <v>2040</v>
      </c>
      <c r="G1655" s="175" t="n">
        <v>43</v>
      </c>
      <c r="H1655" s="176" t="n">
        <v>4593.13760032668</v>
      </c>
      <c r="I1655" s="177" t="n">
        <v>4459630.80930939</v>
      </c>
      <c r="J1655" s="178" t="str">
        <f>IF(I1655&gt;0,H1655/I1655,0)</f>
      </c>
      <c r="K1655" s="179" t="str">
        <f>1-EXP(-J1655)</f>
      </c>
      <c r="L1655" s="180" t="str">
        <f>IF(G1655=30,1,M1654)</f>
      </c>
      <c r="M1655" s="181" t="str">
        <f>L1655*(1-K1655)</f>
      </c>
    </row>
    <row r="1656">
      <c r="A1656" t="s">
        <v>164</v>
      </c>
      <c r="B1656" t="s">
        <v>112</v>
      </c>
      <c r="C1656" s="32" t="s">
        <v>297</v>
      </c>
      <c r="D1656" t="s">
        <v>112</v>
      </c>
      <c r="E1656" t="s">
        <v>395</v>
      </c>
      <c r="F1656" s="174" t="n">
        <v>2040</v>
      </c>
      <c r="G1656" s="175" t="n">
        <v>44</v>
      </c>
      <c r="H1656" s="176" t="n">
        <v>4943.24809144279</v>
      </c>
      <c r="I1656" s="177" t="n">
        <v>4411230.18326787</v>
      </c>
      <c r="J1656" s="178" t="str">
        <f>IF(I1656&gt;0,H1656/I1656,0)</f>
      </c>
      <c r="K1656" s="179" t="str">
        <f>1-EXP(-J1656)</f>
      </c>
      <c r="L1656" s="180" t="str">
        <f>IF(G1656=30,1,M1655)</f>
      </c>
      <c r="M1656" s="181" t="str">
        <f>L1656*(1-K1656)</f>
      </c>
    </row>
    <row r="1657">
      <c r="A1657" t="s">
        <v>164</v>
      </c>
      <c r="B1657" t="s">
        <v>112</v>
      </c>
      <c r="C1657" s="32" t="s">
        <v>297</v>
      </c>
      <c r="D1657" t="s">
        <v>112</v>
      </c>
      <c r="E1657" t="s">
        <v>395</v>
      </c>
      <c r="F1657" s="174" t="n">
        <v>2040</v>
      </c>
      <c r="G1657" s="175" t="n">
        <v>45</v>
      </c>
      <c r="H1657" s="176" t="n">
        <v>6225.01971427589</v>
      </c>
      <c r="I1657" s="177" t="n">
        <v>4332677.61030565</v>
      </c>
      <c r="J1657" s="178" t="str">
        <f>IF(I1657&gt;0,H1657/I1657,0)</f>
      </c>
      <c r="K1657" s="179" t="str">
        <f>1-EXP(-J1657)</f>
      </c>
      <c r="L1657" s="180" t="str">
        <f>IF(G1657=30,1,M1656)</f>
      </c>
      <c r="M1657" s="181" t="str">
        <f>L1657*(1-K1657)</f>
      </c>
    </row>
    <row r="1658">
      <c r="A1658" t="s">
        <v>164</v>
      </c>
      <c r="B1658" t="s">
        <v>112</v>
      </c>
      <c r="C1658" s="32" t="s">
        <v>297</v>
      </c>
      <c r="D1658" t="s">
        <v>112</v>
      </c>
      <c r="E1658" t="s">
        <v>395</v>
      </c>
      <c r="F1658" s="174" t="n">
        <v>2040</v>
      </c>
      <c r="G1658" s="175" t="n">
        <v>46</v>
      </c>
      <c r="H1658" s="176" t="n">
        <v>6701.15235913623</v>
      </c>
      <c r="I1658" s="177" t="n">
        <v>4267951.54561707</v>
      </c>
      <c r="J1658" s="178" t="str">
        <f>IF(I1658&gt;0,H1658/I1658,0)</f>
      </c>
      <c r="K1658" s="179" t="str">
        <f>1-EXP(-J1658)</f>
      </c>
      <c r="L1658" s="180" t="str">
        <f>IF(G1658=30,1,M1657)</f>
      </c>
      <c r="M1658" s="181" t="str">
        <f>L1658*(1-K1658)</f>
      </c>
    </row>
    <row r="1659">
      <c r="A1659" t="s">
        <v>164</v>
      </c>
      <c r="B1659" t="s">
        <v>112</v>
      </c>
      <c r="C1659" s="32" t="s">
        <v>297</v>
      </c>
      <c r="D1659" t="s">
        <v>112</v>
      </c>
      <c r="E1659" t="s">
        <v>395</v>
      </c>
      <c r="F1659" s="174" t="n">
        <v>2040</v>
      </c>
      <c r="G1659" s="175" t="n">
        <v>47</v>
      </c>
      <c r="H1659" s="176" t="n">
        <v>7229.72406800898</v>
      </c>
      <c r="I1659" s="177" t="n">
        <v>4206934.42657396</v>
      </c>
      <c r="J1659" s="178" t="str">
        <f>IF(I1659&gt;0,H1659/I1659,0)</f>
      </c>
      <c r="K1659" s="179" t="str">
        <f>1-EXP(-J1659)</f>
      </c>
      <c r="L1659" s="180" t="str">
        <f>IF(G1659=30,1,M1658)</f>
      </c>
      <c r="M1659" s="181" t="str">
        <f>L1659*(1-K1659)</f>
      </c>
    </row>
    <row r="1660">
      <c r="A1660" t="s">
        <v>164</v>
      </c>
      <c r="B1660" t="s">
        <v>112</v>
      </c>
      <c r="C1660" s="32" t="s">
        <v>297</v>
      </c>
      <c r="D1660" t="s">
        <v>112</v>
      </c>
      <c r="E1660" t="s">
        <v>395</v>
      </c>
      <c r="F1660" s="174" t="n">
        <v>2040</v>
      </c>
      <c r="G1660" s="175" t="n">
        <v>48</v>
      </c>
      <c r="H1660" s="176" t="n">
        <v>7960.18850084198</v>
      </c>
      <c r="I1660" s="177" t="n">
        <v>4234013.4555378</v>
      </c>
      <c r="J1660" s="178" t="str">
        <f>IF(I1660&gt;0,H1660/I1660,0)</f>
      </c>
      <c r="K1660" s="179" t="str">
        <f>1-EXP(-J1660)</f>
      </c>
      <c r="L1660" s="180" t="str">
        <f>IF(G1660=30,1,M1659)</f>
      </c>
      <c r="M1660" s="181" t="str">
        <f>L1660*(1-K1660)</f>
      </c>
    </row>
    <row r="1661">
      <c r="A1661" t="s">
        <v>164</v>
      </c>
      <c r="B1661" t="s">
        <v>112</v>
      </c>
      <c r="C1661" s="32" t="s">
        <v>297</v>
      </c>
      <c r="D1661" t="s">
        <v>112</v>
      </c>
      <c r="E1661" t="s">
        <v>395</v>
      </c>
      <c r="F1661" s="174" t="n">
        <v>2040</v>
      </c>
      <c r="G1661" s="175" t="n">
        <v>49</v>
      </c>
      <c r="H1661" s="176" t="n">
        <v>8735.45721445417</v>
      </c>
      <c r="I1661" s="177" t="n">
        <v>4240641.88817402</v>
      </c>
      <c r="J1661" s="178" t="str">
        <f>IF(I1661&gt;0,H1661/I1661,0)</f>
      </c>
      <c r="K1661" s="179" t="str">
        <f>1-EXP(-J1661)</f>
      </c>
      <c r="L1661" s="180" t="str">
        <f>IF(G1661=30,1,M1660)</f>
      </c>
      <c r="M1661" s="181" t="str">
        <f>L1661*(1-K1661)</f>
      </c>
    </row>
    <row r="1662">
      <c r="A1662" t="s">
        <v>164</v>
      </c>
      <c r="B1662" t="s">
        <v>112</v>
      </c>
      <c r="C1662" s="32" t="s">
        <v>297</v>
      </c>
      <c r="D1662" t="s">
        <v>112</v>
      </c>
      <c r="E1662" t="s">
        <v>395</v>
      </c>
      <c r="F1662" s="174" t="n">
        <v>2040</v>
      </c>
      <c r="G1662" s="175" t="n">
        <v>50</v>
      </c>
      <c r="H1662" s="176" t="n">
        <v>13543.754533934</v>
      </c>
      <c r="I1662" s="177" t="n">
        <v>6237690.36155811</v>
      </c>
      <c r="J1662" s="178" t="str">
        <f>IF(I1662&gt;0,H1662/I1662,0)</f>
      </c>
      <c r="K1662" s="179" t="str">
        <f>1-EXP(-J1662)</f>
      </c>
      <c r="L1662" s="180" t="str">
        <f>IF(G1662=30,1,M1661)</f>
      </c>
      <c r="M1662" s="181" t="str">
        <f>L1662*(1-K1662)</f>
      </c>
    </row>
    <row r="1663">
      <c r="A1663" t="s">
        <v>164</v>
      </c>
      <c r="B1663" t="s">
        <v>112</v>
      </c>
      <c r="C1663" s="32" t="s">
        <v>297</v>
      </c>
      <c r="D1663" t="s">
        <v>112</v>
      </c>
      <c r="E1663" t="s">
        <v>395</v>
      </c>
      <c r="F1663" s="174" t="n">
        <v>2040</v>
      </c>
      <c r="G1663" s="175" t="n">
        <v>51</v>
      </c>
      <c r="H1663" s="176" t="n">
        <v>10806.5991097259</v>
      </c>
      <c r="I1663" s="177" t="n">
        <v>4174581.61292821</v>
      </c>
      <c r="J1663" s="178" t="str">
        <f>IF(I1663&gt;0,H1663/I1663,0)</f>
      </c>
      <c r="K1663" s="179" t="str">
        <f>1-EXP(-J1663)</f>
      </c>
      <c r="L1663" s="180" t="str">
        <f>IF(G1663=30,1,M1662)</f>
      </c>
      <c r="M1663" s="181" t="str">
        <f>L1663*(1-K1663)</f>
      </c>
    </row>
    <row r="1664">
      <c r="A1664" t="s">
        <v>164</v>
      </c>
      <c r="B1664" t="s">
        <v>112</v>
      </c>
      <c r="C1664" s="32" t="s">
        <v>297</v>
      </c>
      <c r="D1664" t="s">
        <v>112</v>
      </c>
      <c r="E1664" t="s">
        <v>395</v>
      </c>
      <c r="F1664" s="174" t="n">
        <v>2040</v>
      </c>
      <c r="G1664" s="175" t="n">
        <v>52</v>
      </c>
      <c r="H1664" s="176" t="n">
        <v>11720.9283646401</v>
      </c>
      <c r="I1664" s="177" t="n">
        <v>4143845.13138657</v>
      </c>
      <c r="J1664" s="178" t="str">
        <f>IF(I1664&gt;0,H1664/I1664,0)</f>
      </c>
      <c r="K1664" s="179" t="str">
        <f>1-EXP(-J1664)</f>
      </c>
      <c r="L1664" s="180" t="str">
        <f>IF(G1664=30,1,M1663)</f>
      </c>
      <c r="M1664" s="181" t="str">
        <f>L1664*(1-K1664)</f>
      </c>
    </row>
    <row r="1665">
      <c r="A1665" t="s">
        <v>164</v>
      </c>
      <c r="B1665" t="s">
        <v>112</v>
      </c>
      <c r="C1665" s="32" t="s">
        <v>297</v>
      </c>
      <c r="D1665" t="s">
        <v>112</v>
      </c>
      <c r="E1665" t="s">
        <v>395</v>
      </c>
      <c r="F1665" s="174" t="n">
        <v>2040</v>
      </c>
      <c r="G1665" s="175" t="n">
        <v>53</v>
      </c>
      <c r="H1665" s="176" t="n">
        <v>12355.0830727511</v>
      </c>
      <c r="I1665" s="177" t="n">
        <v>4001290.58179615</v>
      </c>
      <c r="J1665" s="178" t="str">
        <f>IF(I1665&gt;0,H1665/I1665,0)</f>
      </c>
      <c r="K1665" s="179" t="str">
        <f>1-EXP(-J1665)</f>
      </c>
      <c r="L1665" s="180" t="str">
        <f>IF(G1665=30,1,M1664)</f>
      </c>
      <c r="M1665" s="181" t="str">
        <f>L1665*(1-K1665)</f>
      </c>
    </row>
    <row r="1666">
      <c r="A1666" t="s">
        <v>164</v>
      </c>
      <c r="B1666" t="s">
        <v>112</v>
      </c>
      <c r="C1666" s="32" t="s">
        <v>297</v>
      </c>
      <c r="D1666" t="s">
        <v>112</v>
      </c>
      <c r="E1666" t="s">
        <v>395</v>
      </c>
      <c r="F1666" s="174" t="n">
        <v>2040</v>
      </c>
      <c r="G1666" s="175" t="n">
        <v>54</v>
      </c>
      <c r="H1666" s="176" t="n">
        <v>13299.0656580638</v>
      </c>
      <c r="I1666" s="177" t="n">
        <v>3951313.69496824</v>
      </c>
      <c r="J1666" s="178" t="str">
        <f>IF(I1666&gt;0,H1666/I1666,0)</f>
      </c>
      <c r="K1666" s="179" t="str">
        <f>1-EXP(-J1666)</f>
      </c>
      <c r="L1666" s="180" t="str">
        <f>IF(G1666=30,1,M1665)</f>
      </c>
      <c r="M1666" s="181" t="str">
        <f>L1666*(1-K1666)</f>
      </c>
    </row>
    <row r="1667">
      <c r="A1667" t="s">
        <v>164</v>
      </c>
      <c r="B1667" t="s">
        <v>112</v>
      </c>
      <c r="C1667" s="32" t="s">
        <v>297</v>
      </c>
      <c r="D1667" t="s">
        <v>112</v>
      </c>
      <c r="E1667" t="s">
        <v>395</v>
      </c>
      <c r="F1667" s="174" t="n">
        <v>2040</v>
      </c>
      <c r="G1667" s="175" t="n">
        <v>55</v>
      </c>
      <c r="H1667" s="176" t="n">
        <v>14521.1878222338</v>
      </c>
      <c r="I1667" s="177" t="n">
        <v>3988725.36228253</v>
      </c>
      <c r="J1667" s="178" t="str">
        <f>IF(I1667&gt;0,H1667/I1667,0)</f>
      </c>
      <c r="K1667" s="179" t="str">
        <f>1-EXP(-J1667)</f>
      </c>
      <c r="L1667" s="180" t="str">
        <f>IF(G1667=30,1,M1666)</f>
      </c>
      <c r="M1667" s="181" t="str">
        <f>L1667*(1-K1667)</f>
      </c>
    </row>
    <row r="1668">
      <c r="A1668" t="s">
        <v>164</v>
      </c>
      <c r="B1668" t="s">
        <v>112</v>
      </c>
      <c r="C1668" s="32" t="s">
        <v>297</v>
      </c>
      <c r="D1668" t="s">
        <v>112</v>
      </c>
      <c r="E1668" t="s">
        <v>395</v>
      </c>
      <c r="F1668" s="174" t="n">
        <v>2040</v>
      </c>
      <c r="G1668" s="175" t="n">
        <v>56</v>
      </c>
      <c r="H1668" s="176" t="n">
        <v>16059.8791311517</v>
      </c>
      <c r="I1668" s="177" t="n">
        <v>4047392.24214168</v>
      </c>
      <c r="J1668" s="178" t="str">
        <f>IF(I1668&gt;0,H1668/I1668,0)</f>
      </c>
      <c r="K1668" s="179" t="str">
        <f>1-EXP(-J1668)</f>
      </c>
      <c r="L1668" s="180" t="str">
        <f>IF(G1668=30,1,M1667)</f>
      </c>
      <c r="M1668" s="181" t="str">
        <f>L1668*(1-K1668)</f>
      </c>
    </row>
    <row r="1669">
      <c r="A1669" t="s">
        <v>164</v>
      </c>
      <c r="B1669" t="s">
        <v>112</v>
      </c>
      <c r="C1669" s="32" t="s">
        <v>297</v>
      </c>
      <c r="D1669" t="s">
        <v>112</v>
      </c>
      <c r="E1669" t="s">
        <v>395</v>
      </c>
      <c r="F1669" s="174" t="n">
        <v>2040</v>
      </c>
      <c r="G1669" s="175" t="n">
        <v>57</v>
      </c>
      <c r="H1669" s="176" t="n">
        <v>17322.302192597</v>
      </c>
      <c r="I1669" s="177" t="n">
        <v>4001621.10108758</v>
      </c>
      <c r="J1669" s="178" t="str">
        <f>IF(I1669&gt;0,H1669/I1669,0)</f>
      </c>
      <c r="K1669" s="179" t="str">
        <f>1-EXP(-J1669)</f>
      </c>
      <c r="L1669" s="180" t="str">
        <f>IF(G1669=30,1,M1668)</f>
      </c>
      <c r="M1669" s="181" t="str">
        <f>L1669*(1-K1669)</f>
      </c>
    </row>
    <row r="1670">
      <c r="A1670" t="s">
        <v>164</v>
      </c>
      <c r="B1670" t="s">
        <v>112</v>
      </c>
      <c r="C1670" s="32" t="s">
        <v>297</v>
      </c>
      <c r="D1670" t="s">
        <v>112</v>
      </c>
      <c r="E1670" t="s">
        <v>395</v>
      </c>
      <c r="F1670" s="174" t="n">
        <v>2040</v>
      </c>
      <c r="G1670" s="175" t="n">
        <v>58</v>
      </c>
      <c r="H1670" s="176" t="n">
        <v>18219.159403928</v>
      </c>
      <c r="I1670" s="177" t="n">
        <v>3849419.21051477</v>
      </c>
      <c r="J1670" s="178" t="str">
        <f>IF(I1670&gt;0,H1670/I1670,0)</f>
      </c>
      <c r="K1670" s="179" t="str">
        <f>1-EXP(-J1670)</f>
      </c>
      <c r="L1670" s="180" t="str">
        <f>IF(G1670=30,1,M1669)</f>
      </c>
      <c r="M1670" s="181" t="str">
        <f>L1670*(1-K1670)</f>
      </c>
    </row>
    <row r="1671">
      <c r="A1671" t="s">
        <v>164</v>
      </c>
      <c r="B1671" t="s">
        <v>112</v>
      </c>
      <c r="C1671" s="32" t="s">
        <v>297</v>
      </c>
      <c r="D1671" t="s">
        <v>112</v>
      </c>
      <c r="E1671" t="s">
        <v>395</v>
      </c>
      <c r="F1671" s="174" t="n">
        <v>2040</v>
      </c>
      <c r="G1671" s="175" t="n">
        <v>59</v>
      </c>
      <c r="H1671" s="176" t="n">
        <v>19434.7172453519</v>
      </c>
      <c r="I1671" s="177" t="n">
        <v>3754610.41232545</v>
      </c>
      <c r="J1671" s="178" t="str">
        <f>IF(I1671&gt;0,H1671/I1671,0)</f>
      </c>
      <c r="K1671" s="179" t="str">
        <f>1-EXP(-J1671)</f>
      </c>
      <c r="L1671" s="180" t="str">
        <f>IF(G1671=30,1,M1670)</f>
      </c>
      <c r="M1671" s="181" t="str">
        <f>L1671*(1-K1671)</f>
      </c>
    </row>
    <row r="1672">
      <c r="A1672" t="s">
        <v>164</v>
      </c>
      <c r="B1672" t="s">
        <v>112</v>
      </c>
      <c r="C1672" s="32" t="s">
        <v>297</v>
      </c>
      <c r="D1672" t="s">
        <v>112</v>
      </c>
      <c r="E1672" t="s">
        <v>395</v>
      </c>
      <c r="F1672" s="174" t="n">
        <v>2040</v>
      </c>
      <c r="G1672" s="175" t="n">
        <v>60</v>
      </c>
      <c r="H1672" s="176" t="n">
        <v>20755.9677223807</v>
      </c>
      <c r="I1672" s="177" t="n">
        <v>3673059.16220681</v>
      </c>
      <c r="J1672" s="178" t="str">
        <f>IF(I1672&gt;0,H1672/I1672,0)</f>
      </c>
      <c r="K1672" s="179" t="str">
        <f>1-EXP(-J1672)</f>
      </c>
      <c r="L1672" s="180" t="str">
        <f>IF(G1672=30,1,M1671)</f>
      </c>
      <c r="M1672" s="181" t="str">
        <f>L1672*(1-K1672)</f>
      </c>
    </row>
    <row r="1673">
      <c r="A1673" t="s">
        <v>164</v>
      </c>
      <c r="B1673" t="s">
        <v>112</v>
      </c>
      <c r="C1673" s="32" t="s">
        <v>297</v>
      </c>
      <c r="D1673" t="s">
        <v>112</v>
      </c>
      <c r="E1673" t="s">
        <v>395</v>
      </c>
      <c r="F1673" s="174" t="n">
        <v>2040</v>
      </c>
      <c r="G1673" s="175" t="n">
        <v>61</v>
      </c>
      <c r="H1673" s="176" t="n">
        <v>22195.4269998746</v>
      </c>
      <c r="I1673" s="177" t="n">
        <v>3584668.38022384</v>
      </c>
      <c r="J1673" s="178" t="str">
        <f>IF(I1673&gt;0,H1673/I1673,0)</f>
      </c>
      <c r="K1673" s="179" t="str">
        <f>1-EXP(-J1673)</f>
      </c>
      <c r="L1673" s="180" t="str">
        <f>IF(G1673=30,1,M1672)</f>
      </c>
      <c r="M1673" s="181" t="str">
        <f>L1673*(1-K1673)</f>
      </c>
    </row>
    <row r="1674">
      <c r="A1674" t="s">
        <v>164</v>
      </c>
      <c r="B1674" t="s">
        <v>112</v>
      </c>
      <c r="C1674" s="32" t="s">
        <v>297</v>
      </c>
      <c r="D1674" t="s">
        <v>112</v>
      </c>
      <c r="E1674" t="s">
        <v>395</v>
      </c>
      <c r="F1674" s="174" t="n">
        <v>2040</v>
      </c>
      <c r="G1674" s="175" t="n">
        <v>62</v>
      </c>
      <c r="H1674" s="176" t="n">
        <v>23601.9244964822</v>
      </c>
      <c r="I1674" s="177" t="n">
        <v>3477350.03398592</v>
      </c>
      <c r="J1674" s="178" t="str">
        <f>IF(I1674&gt;0,H1674/I1674,0)</f>
      </c>
      <c r="K1674" s="179" t="str">
        <f>1-EXP(-J1674)</f>
      </c>
      <c r="L1674" s="180" t="str">
        <f>IF(G1674=30,1,M1673)</f>
      </c>
      <c r="M1674" s="181" t="str">
        <f>L1674*(1-K1674)</f>
      </c>
    </row>
    <row r="1675">
      <c r="A1675" t="s">
        <v>164</v>
      </c>
      <c r="B1675" t="s">
        <v>112</v>
      </c>
      <c r="C1675" s="32" t="s">
        <v>297</v>
      </c>
      <c r="D1675" t="s">
        <v>112</v>
      </c>
      <c r="E1675" t="s">
        <v>395</v>
      </c>
      <c r="F1675" s="174" t="n">
        <v>2040</v>
      </c>
      <c r="G1675" s="175" t="n">
        <v>63</v>
      </c>
      <c r="H1675" s="176" t="n">
        <v>25206.2304663205</v>
      </c>
      <c r="I1675" s="177" t="n">
        <v>3383452.76486551</v>
      </c>
      <c r="J1675" s="178" t="str">
        <f>IF(I1675&gt;0,H1675/I1675,0)</f>
      </c>
      <c r="K1675" s="179" t="str">
        <f>1-EXP(-J1675)</f>
      </c>
      <c r="L1675" s="180" t="str">
        <f>IF(G1675=30,1,M1674)</f>
      </c>
      <c r="M1675" s="181" t="str">
        <f>L1675*(1-K1675)</f>
      </c>
    </row>
    <row r="1676">
      <c r="A1676" t="s">
        <v>164</v>
      </c>
      <c r="B1676" t="s">
        <v>112</v>
      </c>
      <c r="C1676" s="32" t="s">
        <v>297</v>
      </c>
      <c r="D1676" t="s">
        <v>112</v>
      </c>
      <c r="E1676" t="s">
        <v>395</v>
      </c>
      <c r="F1676" s="174" t="n">
        <v>2040</v>
      </c>
      <c r="G1676" s="175" t="n">
        <v>64</v>
      </c>
      <c r="H1676" s="176" t="n">
        <v>26765.4952492869</v>
      </c>
      <c r="I1676" s="177" t="n">
        <v>3277773.31912762</v>
      </c>
      <c r="J1676" s="178" t="str">
        <f>IF(I1676&gt;0,H1676/I1676,0)</f>
      </c>
      <c r="K1676" s="179" t="str">
        <f>1-EXP(-J1676)</f>
      </c>
      <c r="L1676" s="180" t="str">
        <f>IF(G1676=30,1,M1675)</f>
      </c>
      <c r="M1676" s="181" t="str">
        <f>L1676*(1-K1676)</f>
      </c>
    </row>
    <row r="1677">
      <c r="A1677" t="s">
        <v>164</v>
      </c>
      <c r="B1677" t="s">
        <v>112</v>
      </c>
      <c r="C1677" s="32" t="s">
        <v>297</v>
      </c>
      <c r="D1677" t="s">
        <v>112</v>
      </c>
      <c r="E1677" t="s">
        <v>395</v>
      </c>
      <c r="F1677" s="174" t="n">
        <v>2040</v>
      </c>
      <c r="G1677" s="175" t="n">
        <v>65</v>
      </c>
      <c r="H1677" s="176" t="n">
        <v>27202.3351319834</v>
      </c>
      <c r="I1677" s="177" t="n">
        <v>3169892.77895747</v>
      </c>
      <c r="J1677" s="178" t="str">
        <f>IF(I1677&gt;0,H1677/I1677,0)</f>
      </c>
      <c r="K1677" s="179" t="str">
        <f>1-EXP(-J1677)</f>
      </c>
      <c r="L1677" s="180" t="str">
        <f>IF(G1677=30,1,M1676)</f>
      </c>
      <c r="M1677" s="181" t="str">
        <f>L1677*(1-K1677)</f>
      </c>
    </row>
    <row r="1678">
      <c r="A1678" t="s">
        <v>164</v>
      </c>
      <c r="B1678" t="s">
        <v>112</v>
      </c>
      <c r="C1678" s="32" t="s">
        <v>297</v>
      </c>
      <c r="D1678" t="s">
        <v>112</v>
      </c>
      <c r="E1678" t="s">
        <v>395</v>
      </c>
      <c r="F1678" s="174" t="n">
        <v>2040</v>
      </c>
      <c r="G1678" s="175" t="n">
        <v>66</v>
      </c>
      <c r="H1678" s="176" t="n">
        <v>28596.0453338614</v>
      </c>
      <c r="I1678" s="177" t="n">
        <v>3037360.5283357</v>
      </c>
      <c r="J1678" s="178" t="str">
        <f>IF(I1678&gt;0,H1678/I1678,0)</f>
      </c>
      <c r="K1678" s="179" t="str">
        <f>1-EXP(-J1678)</f>
      </c>
      <c r="L1678" s="180" t="str">
        <f>IF(G1678=30,1,M1677)</f>
      </c>
      <c r="M1678" s="181" t="str">
        <f>L1678*(1-K1678)</f>
      </c>
    </row>
    <row r="1679">
      <c r="A1679" t="s">
        <v>164</v>
      </c>
      <c r="B1679" t="s">
        <v>112</v>
      </c>
      <c r="C1679" s="32" t="s">
        <v>297</v>
      </c>
      <c r="D1679" t="s">
        <v>112</v>
      </c>
      <c r="E1679" t="s">
        <v>395</v>
      </c>
      <c r="F1679" s="174" t="n">
        <v>2040</v>
      </c>
      <c r="G1679" s="175" t="n">
        <v>67</v>
      </c>
      <c r="H1679" s="176" t="n">
        <v>30523.280221617</v>
      </c>
      <c r="I1679" s="177" t="n">
        <v>2954143.30609599</v>
      </c>
      <c r="J1679" s="178" t="str">
        <f>IF(I1679&gt;0,H1679/I1679,0)</f>
      </c>
      <c r="K1679" s="179" t="str">
        <f>1-EXP(-J1679)</f>
      </c>
      <c r="L1679" s="180" t="str">
        <f>IF(G1679=30,1,M1678)</f>
      </c>
      <c r="M1679" s="181" t="str">
        <f>L1679*(1-K1679)</f>
      </c>
    </row>
    <row r="1680">
      <c r="A1680" t="s">
        <v>164</v>
      </c>
      <c r="B1680" t="s">
        <v>112</v>
      </c>
      <c r="C1680" s="32" t="s">
        <v>297</v>
      </c>
      <c r="D1680" t="s">
        <v>112</v>
      </c>
      <c r="E1680" t="s">
        <v>395</v>
      </c>
      <c r="F1680" s="174" t="n">
        <v>2040</v>
      </c>
      <c r="G1680" s="175" t="n">
        <v>68</v>
      </c>
      <c r="H1680" s="176" t="n">
        <v>31030.6782811347</v>
      </c>
      <c r="I1680" s="177" t="n">
        <v>2731901.1476249</v>
      </c>
      <c r="J1680" s="178" t="str">
        <f>IF(I1680&gt;0,H1680/I1680,0)</f>
      </c>
      <c r="K1680" s="179" t="str">
        <f>1-EXP(-J1680)</f>
      </c>
      <c r="L1680" s="180" t="str">
        <f>IF(G1680=30,1,M1679)</f>
      </c>
      <c r="M1680" s="181" t="str">
        <f>L1680*(1-K1680)</f>
      </c>
    </row>
    <row r="1681">
      <c r="A1681" t="s">
        <v>164</v>
      </c>
      <c r="B1681" t="s">
        <v>112</v>
      </c>
      <c r="C1681" s="32" t="s">
        <v>297</v>
      </c>
      <c r="D1681" t="s">
        <v>112</v>
      </c>
      <c r="E1681" t="s">
        <v>395</v>
      </c>
      <c r="F1681" s="174" t="n">
        <v>2040</v>
      </c>
      <c r="G1681" s="175" t="n">
        <v>69</v>
      </c>
      <c r="H1681" s="176" t="n">
        <v>32605.1306536254</v>
      </c>
      <c r="I1681" s="177" t="n">
        <v>2611482.9566317</v>
      </c>
      <c r="J1681" s="178" t="str">
        <f>IF(I1681&gt;0,H1681/I1681,0)</f>
      </c>
      <c r="K1681" s="179" t="str">
        <f>1-EXP(-J1681)</f>
      </c>
      <c r="L1681" s="180" t="str">
        <f>IF(G1681=30,1,M1680)</f>
      </c>
      <c r="M1681" s="181" t="str">
        <f>L1681*(1-K1681)</f>
      </c>
    </row>
    <row r="1682">
      <c r="A1682" t="s">
        <v>164</v>
      </c>
      <c r="B1682" t="s">
        <v>112</v>
      </c>
      <c r="C1682" s="32" t="s">
        <v>297</v>
      </c>
      <c r="D1682" t="s">
        <v>112</v>
      </c>
      <c r="E1682" t="s">
        <v>395</v>
      </c>
      <c r="F1682" s="174" t="n">
        <v>2041</v>
      </c>
      <c r="G1682" s="175" t="n">
        <v>30</v>
      </c>
      <c r="H1682" s="176" t="n">
        <v>826.196707390987</v>
      </c>
      <c r="I1682" s="177" t="n">
        <v>4884124.75171723</v>
      </c>
      <c r="J1682" s="178" t="str">
        <f>IF(I1682&gt;0,H1682/I1682,0)</f>
      </c>
      <c r="K1682" s="179" t="str">
        <f>1-EXP(-J1682)</f>
      </c>
      <c r="L1682" s="180" t="str">
        <f>IF(G1682=30,1,M1681)</f>
      </c>
      <c r="M1682" s="181" t="str">
        <f>L1682*(1-K1682)</f>
      </c>
    </row>
    <row r="1683">
      <c r="A1683" t="s">
        <v>164</v>
      </c>
      <c r="B1683" t="s">
        <v>112</v>
      </c>
      <c r="C1683" s="32" t="s">
        <v>297</v>
      </c>
      <c r="D1683" t="s">
        <v>112</v>
      </c>
      <c r="E1683" t="s">
        <v>395</v>
      </c>
      <c r="F1683" s="174" t="n">
        <v>2041</v>
      </c>
      <c r="G1683" s="175" t="n">
        <v>31</v>
      </c>
      <c r="H1683" s="176" t="n">
        <v>1034.70526022095</v>
      </c>
      <c r="I1683" s="177" t="n">
        <v>4750135.46961717</v>
      </c>
      <c r="J1683" s="178" t="str">
        <f>IF(I1683&gt;0,H1683/I1683,0)</f>
      </c>
      <c r="K1683" s="179" t="str">
        <f>1-EXP(-J1683)</f>
      </c>
      <c r="L1683" s="180" t="str">
        <f>IF(G1683=30,1,M1682)</f>
      </c>
      <c r="M1683" s="181" t="str">
        <f>L1683*(1-K1683)</f>
      </c>
    </row>
    <row r="1684">
      <c r="A1684" t="s">
        <v>164</v>
      </c>
      <c r="B1684" t="s">
        <v>112</v>
      </c>
      <c r="C1684" s="32" t="s">
        <v>297</v>
      </c>
      <c r="D1684" t="s">
        <v>112</v>
      </c>
      <c r="E1684" t="s">
        <v>395</v>
      </c>
      <c r="F1684" s="174" t="n">
        <v>2041</v>
      </c>
      <c r="G1684" s="175" t="n">
        <v>32</v>
      </c>
      <c r="H1684" s="176" t="n">
        <v>1073.33747453495</v>
      </c>
      <c r="I1684" s="177" t="n">
        <v>4679417.60745143</v>
      </c>
      <c r="J1684" s="178" t="str">
        <f>IF(I1684&gt;0,H1684/I1684,0)</f>
      </c>
      <c r="K1684" s="179" t="str">
        <f>1-EXP(-J1684)</f>
      </c>
      <c r="L1684" s="180" t="str">
        <f>IF(G1684=30,1,M1683)</f>
      </c>
      <c r="M1684" s="181" t="str">
        <f>L1684*(1-K1684)</f>
      </c>
    </row>
    <row r="1685">
      <c r="A1685" t="s">
        <v>164</v>
      </c>
      <c r="B1685" t="s">
        <v>112</v>
      </c>
      <c r="C1685" s="32" t="s">
        <v>297</v>
      </c>
      <c r="D1685" t="s">
        <v>112</v>
      </c>
      <c r="E1685" t="s">
        <v>395</v>
      </c>
      <c r="F1685" s="174" t="n">
        <v>2041</v>
      </c>
      <c r="G1685" s="175" t="n">
        <v>33</v>
      </c>
      <c r="H1685" s="176" t="n">
        <v>1126.64190846125</v>
      </c>
      <c r="I1685" s="177" t="n">
        <v>4636711.85938807</v>
      </c>
      <c r="J1685" s="178" t="str">
        <f>IF(I1685&gt;0,H1685/I1685,0)</f>
      </c>
      <c r="K1685" s="179" t="str">
        <f>1-EXP(-J1685)</f>
      </c>
      <c r="L1685" s="180" t="str">
        <f>IF(G1685=30,1,M1684)</f>
      </c>
      <c r="M1685" s="181" t="str">
        <f>L1685*(1-K1685)</f>
      </c>
    </row>
    <row r="1686">
      <c r="A1686" t="s">
        <v>164</v>
      </c>
      <c r="B1686" t="s">
        <v>112</v>
      </c>
      <c r="C1686" s="32" t="s">
        <v>297</v>
      </c>
      <c r="D1686" t="s">
        <v>112</v>
      </c>
      <c r="E1686" t="s">
        <v>395</v>
      </c>
      <c r="F1686" s="174" t="n">
        <v>2041</v>
      </c>
      <c r="G1686" s="175" t="n">
        <v>34</v>
      </c>
      <c r="H1686" s="176" t="n">
        <v>1260.52784960032</v>
      </c>
      <c r="I1686" s="177" t="n">
        <v>4662389.04027059</v>
      </c>
      <c r="J1686" s="178" t="str">
        <f>IF(I1686&gt;0,H1686/I1686,0)</f>
      </c>
      <c r="K1686" s="179" t="str">
        <f>1-EXP(-J1686)</f>
      </c>
      <c r="L1686" s="180" t="str">
        <f>IF(G1686=30,1,M1685)</f>
      </c>
      <c r="M1686" s="181" t="str">
        <f>L1686*(1-K1686)</f>
      </c>
    </row>
    <row r="1687">
      <c r="A1687" t="s">
        <v>164</v>
      </c>
      <c r="B1687" t="s">
        <v>112</v>
      </c>
      <c r="C1687" s="32" t="s">
        <v>297</v>
      </c>
      <c r="D1687" t="s">
        <v>112</v>
      </c>
      <c r="E1687" t="s">
        <v>395</v>
      </c>
      <c r="F1687" s="174" t="n">
        <v>2041</v>
      </c>
      <c r="G1687" s="175" t="n">
        <v>35</v>
      </c>
      <c r="H1687" s="176" t="n">
        <v>1644.10852028771</v>
      </c>
      <c r="I1687" s="177" t="n">
        <v>4579019.18957479</v>
      </c>
      <c r="J1687" s="178" t="str">
        <f>IF(I1687&gt;0,H1687/I1687,0)</f>
      </c>
      <c r="K1687" s="179" t="str">
        <f>1-EXP(-J1687)</f>
      </c>
      <c r="L1687" s="180" t="str">
        <f>IF(G1687=30,1,M1686)</f>
      </c>
      <c r="M1687" s="181" t="str">
        <f>L1687*(1-K1687)</f>
      </c>
    </row>
    <row r="1688">
      <c r="A1688" t="s">
        <v>164</v>
      </c>
      <c r="B1688" t="s">
        <v>112</v>
      </c>
      <c r="C1688" s="32" t="s">
        <v>297</v>
      </c>
      <c r="D1688" t="s">
        <v>112</v>
      </c>
      <c r="E1688" t="s">
        <v>395</v>
      </c>
      <c r="F1688" s="174" t="n">
        <v>2041</v>
      </c>
      <c r="G1688" s="175" t="n">
        <v>36</v>
      </c>
      <c r="H1688" s="176" t="n">
        <v>1880.64377002324</v>
      </c>
      <c r="I1688" s="177" t="n">
        <v>4516983.59105938</v>
      </c>
      <c r="J1688" s="178" t="str">
        <f>IF(I1688&gt;0,H1688/I1688,0)</f>
      </c>
      <c r="K1688" s="179" t="str">
        <f>1-EXP(-J1688)</f>
      </c>
      <c r="L1688" s="180" t="str">
        <f>IF(G1688=30,1,M1687)</f>
      </c>
      <c r="M1688" s="181" t="str">
        <f>L1688*(1-K1688)</f>
      </c>
    </row>
    <row r="1689">
      <c r="A1689" t="s">
        <v>164</v>
      </c>
      <c r="B1689" t="s">
        <v>112</v>
      </c>
      <c r="C1689" s="32" t="s">
        <v>297</v>
      </c>
      <c r="D1689" t="s">
        <v>112</v>
      </c>
      <c r="E1689" t="s">
        <v>395</v>
      </c>
      <c r="F1689" s="174" t="n">
        <v>2041</v>
      </c>
      <c r="G1689" s="175" t="n">
        <v>37</v>
      </c>
      <c r="H1689" s="176" t="n">
        <v>1963.8713728287</v>
      </c>
      <c r="I1689" s="177" t="n">
        <v>4387677.69890294</v>
      </c>
      <c r="J1689" s="178" t="str">
        <f>IF(I1689&gt;0,H1689/I1689,0)</f>
      </c>
      <c r="K1689" s="179" t="str">
        <f>1-EXP(-J1689)</f>
      </c>
      <c r="L1689" s="180" t="str">
        <f>IF(G1689=30,1,M1688)</f>
      </c>
      <c r="M1689" s="181" t="str">
        <f>L1689*(1-K1689)</f>
      </c>
    </row>
    <row r="1690">
      <c r="A1690" t="s">
        <v>164</v>
      </c>
      <c r="B1690" t="s">
        <v>112</v>
      </c>
      <c r="C1690" s="32" t="s">
        <v>297</v>
      </c>
      <c r="D1690" t="s">
        <v>112</v>
      </c>
      <c r="E1690" t="s">
        <v>395</v>
      </c>
      <c r="F1690" s="174" t="n">
        <v>2041</v>
      </c>
      <c r="G1690" s="175" t="n">
        <v>38</v>
      </c>
      <c r="H1690" s="176" t="n">
        <v>2085.58964486355</v>
      </c>
      <c r="I1690" s="177" t="n">
        <v>4320873.68863577</v>
      </c>
      <c r="J1690" s="178" t="str">
        <f>IF(I1690&gt;0,H1690/I1690,0)</f>
      </c>
      <c r="K1690" s="179" t="str">
        <f>1-EXP(-J1690)</f>
      </c>
      <c r="L1690" s="180" t="str">
        <f>IF(G1690=30,1,M1689)</f>
      </c>
      <c r="M1690" s="181" t="str">
        <f>L1690*(1-K1690)</f>
      </c>
    </row>
    <row r="1691">
      <c r="A1691" t="s">
        <v>164</v>
      </c>
      <c r="B1691" t="s">
        <v>112</v>
      </c>
      <c r="C1691" s="32" t="s">
        <v>297</v>
      </c>
      <c r="D1691" t="s">
        <v>112</v>
      </c>
      <c r="E1691" t="s">
        <v>395</v>
      </c>
      <c r="F1691" s="174" t="n">
        <v>2041</v>
      </c>
      <c r="G1691" s="175" t="n">
        <v>39</v>
      </c>
      <c r="H1691" s="176" t="n">
        <v>2399.42328604636</v>
      </c>
      <c r="I1691" s="177" t="n">
        <v>4296422.13763004</v>
      </c>
      <c r="J1691" s="178" t="str">
        <f>IF(I1691&gt;0,H1691/I1691,0)</f>
      </c>
      <c r="K1691" s="179" t="str">
        <f>1-EXP(-J1691)</f>
      </c>
      <c r="L1691" s="180" t="str">
        <f>IF(G1691=30,1,M1690)</f>
      </c>
      <c r="M1691" s="181" t="str">
        <f>L1691*(1-K1691)</f>
      </c>
    </row>
    <row r="1692">
      <c r="A1692" t="s">
        <v>164</v>
      </c>
      <c r="B1692" t="s">
        <v>112</v>
      </c>
      <c r="C1692" s="32" t="s">
        <v>297</v>
      </c>
      <c r="D1692" t="s">
        <v>112</v>
      </c>
      <c r="E1692" t="s">
        <v>395</v>
      </c>
      <c r="F1692" s="174" t="n">
        <v>2041</v>
      </c>
      <c r="G1692" s="175" t="n">
        <v>40</v>
      </c>
      <c r="H1692" s="176" t="n">
        <v>3200.69988471191</v>
      </c>
      <c r="I1692" s="177" t="n">
        <v>4273840.64232832</v>
      </c>
      <c r="J1692" s="178" t="str">
        <f>IF(I1692&gt;0,H1692/I1692,0)</f>
      </c>
      <c r="K1692" s="179" t="str">
        <f>1-EXP(-J1692)</f>
      </c>
      <c r="L1692" s="180" t="str">
        <f>IF(G1692=30,1,M1691)</f>
      </c>
      <c r="M1692" s="181" t="str">
        <f>L1692*(1-K1692)</f>
      </c>
    </row>
    <row r="1693">
      <c r="A1693" t="s">
        <v>164</v>
      </c>
      <c r="B1693" t="s">
        <v>112</v>
      </c>
      <c r="C1693" s="32" t="s">
        <v>297</v>
      </c>
      <c r="D1693" t="s">
        <v>112</v>
      </c>
      <c r="E1693" t="s">
        <v>395</v>
      </c>
      <c r="F1693" s="174" t="n">
        <v>2041</v>
      </c>
      <c r="G1693" s="175" t="n">
        <v>41</v>
      </c>
      <c r="H1693" s="176" t="n">
        <v>3524.04197268774</v>
      </c>
      <c r="I1693" s="177" t="n">
        <v>4249903.91335408</v>
      </c>
      <c r="J1693" s="178" t="str">
        <f>IF(I1693&gt;0,H1693/I1693,0)</f>
      </c>
      <c r="K1693" s="179" t="str">
        <f>1-EXP(-J1693)</f>
      </c>
      <c r="L1693" s="180" t="str">
        <f>IF(G1693=30,1,M1692)</f>
      </c>
      <c r="M1693" s="181" t="str">
        <f>L1693*(1-K1693)</f>
      </c>
    </row>
    <row r="1694">
      <c r="A1694" t="s">
        <v>164</v>
      </c>
      <c r="B1694" t="s">
        <v>112</v>
      </c>
      <c r="C1694" s="32" t="s">
        <v>297</v>
      </c>
      <c r="D1694" t="s">
        <v>112</v>
      </c>
      <c r="E1694" t="s">
        <v>395</v>
      </c>
      <c r="F1694" s="174" t="n">
        <v>2041</v>
      </c>
      <c r="G1694" s="175" t="n">
        <v>42</v>
      </c>
      <c r="H1694" s="176" t="n">
        <v>3836.4561521239</v>
      </c>
      <c r="I1694" s="177" t="n">
        <v>4265286.68278075</v>
      </c>
      <c r="J1694" s="178" t="str">
        <f>IF(I1694&gt;0,H1694/I1694,0)</f>
      </c>
      <c r="K1694" s="179" t="str">
        <f>1-EXP(-J1694)</f>
      </c>
      <c r="L1694" s="180" t="str">
        <f>IF(G1694=30,1,M1693)</f>
      </c>
      <c r="M1694" s="181" t="str">
        <f>L1694*(1-K1694)</f>
      </c>
    </row>
    <row r="1695">
      <c r="A1695" t="s">
        <v>164</v>
      </c>
      <c r="B1695" t="s">
        <v>112</v>
      </c>
      <c r="C1695" s="32" t="s">
        <v>297</v>
      </c>
      <c r="D1695" t="s">
        <v>112</v>
      </c>
      <c r="E1695" t="s">
        <v>395</v>
      </c>
      <c r="F1695" s="174" t="n">
        <v>2041</v>
      </c>
      <c r="G1695" s="175" t="n">
        <v>43</v>
      </c>
      <c r="H1695" s="176" t="n">
        <v>4224.70527885687</v>
      </c>
      <c r="I1695" s="177" t="n">
        <v>4318654.01712621</v>
      </c>
      <c r="J1695" s="178" t="str">
        <f>IF(I1695&gt;0,H1695/I1695,0)</f>
      </c>
      <c r="K1695" s="179" t="str">
        <f>1-EXP(-J1695)</f>
      </c>
      <c r="L1695" s="180" t="str">
        <f>IF(G1695=30,1,M1694)</f>
      </c>
      <c r="M1695" s="181" t="str">
        <f>L1695*(1-K1695)</f>
      </c>
    </row>
    <row r="1696">
      <c r="A1696" t="s">
        <v>164</v>
      </c>
      <c r="B1696" t="s">
        <v>112</v>
      </c>
      <c r="C1696" s="32" t="s">
        <v>297</v>
      </c>
      <c r="D1696" t="s">
        <v>112</v>
      </c>
      <c r="E1696" t="s">
        <v>395</v>
      </c>
      <c r="F1696" s="174" t="n">
        <v>2041</v>
      </c>
      <c r="G1696" s="175" t="n">
        <v>44</v>
      </c>
      <c r="H1696" s="176" t="n">
        <v>4963.37253610428</v>
      </c>
      <c r="I1696" s="177" t="n">
        <v>4447397.681461</v>
      </c>
      <c r="J1696" s="178" t="str">
        <f>IF(I1696&gt;0,H1696/I1696,0)</f>
      </c>
      <c r="K1696" s="179" t="str">
        <f>1-EXP(-J1696)</f>
      </c>
      <c r="L1696" s="180" t="str">
        <f>IF(G1696=30,1,M1695)</f>
      </c>
      <c r="M1696" s="181" t="str">
        <f>L1696*(1-K1696)</f>
      </c>
    </row>
    <row r="1697">
      <c r="A1697" t="s">
        <v>164</v>
      </c>
      <c r="B1697" t="s">
        <v>112</v>
      </c>
      <c r="C1697" s="32" t="s">
        <v>297</v>
      </c>
      <c r="D1697" t="s">
        <v>112</v>
      </c>
      <c r="E1697" t="s">
        <v>395</v>
      </c>
      <c r="F1697" s="174" t="n">
        <v>2041</v>
      </c>
      <c r="G1697" s="175" t="n">
        <v>45</v>
      </c>
      <c r="H1697" s="176" t="n">
        <v>6287.14754315234</v>
      </c>
      <c r="I1697" s="177" t="n">
        <v>4398086.23090655</v>
      </c>
      <c r="J1697" s="178" t="str">
        <f>IF(I1697&gt;0,H1697/I1697,0)</f>
      </c>
      <c r="K1697" s="179" t="str">
        <f>1-EXP(-J1697)</f>
      </c>
      <c r="L1697" s="180" t="str">
        <f>IF(G1697=30,1,M1696)</f>
      </c>
      <c r="M1697" s="181" t="str">
        <f>L1697*(1-K1697)</f>
      </c>
    </row>
    <row r="1698">
      <c r="A1698" t="s">
        <v>164</v>
      </c>
      <c r="B1698" t="s">
        <v>112</v>
      </c>
      <c r="C1698" s="32" t="s">
        <v>297</v>
      </c>
      <c r="D1698" t="s">
        <v>112</v>
      </c>
      <c r="E1698" t="s">
        <v>395</v>
      </c>
      <c r="F1698" s="174" t="n">
        <v>2041</v>
      </c>
      <c r="G1698" s="175" t="n">
        <v>46</v>
      </c>
      <c r="H1698" s="176" t="n">
        <v>6742.93117465723</v>
      </c>
      <c r="I1698" s="177" t="n">
        <v>4317641.90693342</v>
      </c>
      <c r="J1698" s="178" t="str">
        <f>IF(I1698&gt;0,H1698/I1698,0)</f>
      </c>
      <c r="K1698" s="179" t="str">
        <f>1-EXP(-J1698)</f>
      </c>
      <c r="L1698" s="180" t="str">
        <f>IF(G1698=30,1,M1697)</f>
      </c>
      <c r="M1698" s="181" t="str">
        <f>L1698*(1-K1698)</f>
      </c>
    </row>
    <row r="1699">
      <c r="A1699" t="s">
        <v>164</v>
      </c>
      <c r="B1699" t="s">
        <v>112</v>
      </c>
      <c r="C1699" s="32" t="s">
        <v>297</v>
      </c>
      <c r="D1699" t="s">
        <v>112</v>
      </c>
      <c r="E1699" t="s">
        <v>395</v>
      </c>
      <c r="F1699" s="174" t="n">
        <v>2041</v>
      </c>
      <c r="G1699" s="175" t="n">
        <v>47</v>
      </c>
      <c r="H1699" s="176" t="n">
        <v>7267.87878324263</v>
      </c>
      <c r="I1699" s="177" t="n">
        <v>4252746.12116672</v>
      </c>
      <c r="J1699" s="178" t="str">
        <f>IF(I1699&gt;0,H1699/I1699,0)</f>
      </c>
      <c r="K1699" s="179" t="str">
        <f>1-EXP(-J1699)</f>
      </c>
      <c r="L1699" s="180" t="str">
        <f>IF(G1699=30,1,M1698)</f>
      </c>
      <c r="M1699" s="181" t="str">
        <f>L1699*(1-K1699)</f>
      </c>
    </row>
    <row r="1700">
      <c r="A1700" t="s">
        <v>164</v>
      </c>
      <c r="B1700" t="s">
        <v>112</v>
      </c>
      <c r="C1700" s="32" t="s">
        <v>297</v>
      </c>
      <c r="D1700" t="s">
        <v>112</v>
      </c>
      <c r="E1700" t="s">
        <v>395</v>
      </c>
      <c r="F1700" s="174" t="n">
        <v>2041</v>
      </c>
      <c r="G1700" s="175" t="n">
        <v>48</v>
      </c>
      <c r="H1700" s="176" t="n">
        <v>7845.23089405913</v>
      </c>
      <c r="I1700" s="177" t="n">
        <v>4190548.9977099</v>
      </c>
      <c r="J1700" s="178" t="str">
        <f>IF(I1700&gt;0,H1700/I1700,0)</f>
      </c>
      <c r="K1700" s="179" t="str">
        <f>1-EXP(-J1700)</f>
      </c>
      <c r="L1700" s="180" t="str">
        <f>IF(G1700=30,1,M1699)</f>
      </c>
      <c r="M1700" s="181" t="str">
        <f>L1700*(1-K1700)</f>
      </c>
    </row>
    <row r="1701">
      <c r="A1701" t="s">
        <v>164</v>
      </c>
      <c r="B1701" t="s">
        <v>112</v>
      </c>
      <c r="C1701" s="32" t="s">
        <v>297</v>
      </c>
      <c r="D1701" t="s">
        <v>112</v>
      </c>
      <c r="E1701" t="s">
        <v>395</v>
      </c>
      <c r="F1701" s="174" t="n">
        <v>2041</v>
      </c>
      <c r="G1701" s="175" t="n">
        <v>49</v>
      </c>
      <c r="H1701" s="176" t="n">
        <v>8636.75382284836</v>
      </c>
      <c r="I1701" s="177" t="n">
        <v>4215982.09560524</v>
      </c>
      <c r="J1701" s="178" t="str">
        <f>IF(I1701&gt;0,H1701/I1701,0)</f>
      </c>
      <c r="K1701" s="179" t="str">
        <f>1-EXP(-J1701)</f>
      </c>
      <c r="L1701" s="180" t="str">
        <f>IF(G1701=30,1,M1700)</f>
      </c>
      <c r="M1701" s="181" t="str">
        <f>L1701*(1-K1701)</f>
      </c>
    </row>
    <row r="1702">
      <c r="A1702" t="s">
        <v>164</v>
      </c>
      <c r="B1702" t="s">
        <v>112</v>
      </c>
      <c r="C1702" s="32" t="s">
        <v>297</v>
      </c>
      <c r="D1702" t="s">
        <v>112</v>
      </c>
      <c r="E1702" t="s">
        <v>395</v>
      </c>
      <c r="F1702" s="174" t="n">
        <v>2041</v>
      </c>
      <c r="G1702" s="175" t="n">
        <v>50</v>
      </c>
      <c r="H1702" s="176" t="n">
        <v>9921.84505043176</v>
      </c>
      <c r="I1702" s="177" t="n">
        <v>4220866.89629545</v>
      </c>
      <c r="J1702" s="178" t="str">
        <f>IF(I1702&gt;0,H1702/I1702,0)</f>
      </c>
      <c r="K1702" s="179" t="str">
        <f>1-EXP(-J1702)</f>
      </c>
      <c r="L1702" s="180" t="str">
        <f>IF(G1702=30,1,M1701)</f>
      </c>
      <c r="M1702" s="181" t="str">
        <f>L1702*(1-K1702)</f>
      </c>
    </row>
    <row r="1703">
      <c r="A1703" t="s">
        <v>164</v>
      </c>
      <c r="B1703" t="s">
        <v>112</v>
      </c>
      <c r="C1703" s="32" t="s">
        <v>297</v>
      </c>
      <c r="D1703" t="s">
        <v>112</v>
      </c>
      <c r="E1703" t="s">
        <v>395</v>
      </c>
      <c r="F1703" s="174" t="n">
        <v>2041</v>
      </c>
      <c r="G1703" s="175" t="n">
        <v>51</v>
      </c>
      <c r="H1703" s="176" t="n">
        <v>14583.3651997406</v>
      </c>
      <c r="I1703" s="177" t="n">
        <v>6206832.79112691</v>
      </c>
      <c r="J1703" s="178" t="str">
        <f>IF(I1703&gt;0,H1703/I1703,0)</f>
      </c>
      <c r="K1703" s="179" t="str">
        <f>1-EXP(-J1703)</f>
      </c>
      <c r="L1703" s="180" t="str">
        <f>IF(G1703=30,1,M1702)</f>
      </c>
      <c r="M1703" s="181" t="str">
        <f>L1703*(1-K1703)</f>
      </c>
    </row>
    <row r="1704">
      <c r="A1704" t="s">
        <v>164</v>
      </c>
      <c r="B1704" t="s">
        <v>112</v>
      </c>
      <c r="C1704" s="32" t="s">
        <v>297</v>
      </c>
      <c r="D1704" t="s">
        <v>112</v>
      </c>
      <c r="E1704" t="s">
        <v>395</v>
      </c>
      <c r="F1704" s="174" t="n">
        <v>2041</v>
      </c>
      <c r="G1704" s="175" t="n">
        <v>52</v>
      </c>
      <c r="H1704" s="176" t="n">
        <v>11662.4943980084</v>
      </c>
      <c r="I1704" s="177" t="n">
        <v>4151195.30537421</v>
      </c>
      <c r="J1704" s="178" t="str">
        <f>IF(I1704&gt;0,H1704/I1704,0)</f>
      </c>
      <c r="K1704" s="179" t="str">
        <f>1-EXP(-J1704)</f>
      </c>
      <c r="L1704" s="180" t="str">
        <f>IF(G1704=30,1,M1703)</f>
      </c>
      <c r="M1704" s="181" t="str">
        <f>L1704*(1-K1704)</f>
      </c>
    </row>
    <row r="1705">
      <c r="A1705" t="s">
        <v>164</v>
      </c>
      <c r="B1705" t="s">
        <v>112</v>
      </c>
      <c r="C1705" s="32" t="s">
        <v>297</v>
      </c>
      <c r="D1705" t="s">
        <v>112</v>
      </c>
      <c r="E1705" t="s">
        <v>395</v>
      </c>
      <c r="F1705" s="174" t="n">
        <v>2041</v>
      </c>
      <c r="G1705" s="175" t="n">
        <v>53</v>
      </c>
      <c r="H1705" s="176" t="n">
        <v>12624.9231485443</v>
      </c>
      <c r="I1705" s="177" t="n">
        <v>4118476.50991508</v>
      </c>
      <c r="J1705" s="178" t="str">
        <f>IF(I1705&gt;0,H1705/I1705,0)</f>
      </c>
      <c r="K1705" s="179" t="str">
        <f>1-EXP(-J1705)</f>
      </c>
      <c r="L1705" s="180" t="str">
        <f>IF(G1705=30,1,M1704)</f>
      </c>
      <c r="M1705" s="181" t="str">
        <f>L1705*(1-K1705)</f>
      </c>
    </row>
    <row r="1706">
      <c r="A1706" t="s">
        <v>164</v>
      </c>
      <c r="B1706" t="s">
        <v>112</v>
      </c>
      <c r="C1706" s="32" t="s">
        <v>297</v>
      </c>
      <c r="D1706" t="s">
        <v>112</v>
      </c>
      <c r="E1706" t="s">
        <v>395</v>
      </c>
      <c r="F1706" s="174" t="n">
        <v>2041</v>
      </c>
      <c r="G1706" s="175" t="n">
        <v>54</v>
      </c>
      <c r="H1706" s="176" t="n">
        <v>13284.5208116589</v>
      </c>
      <c r="I1706" s="177" t="n">
        <v>3974545.53854763</v>
      </c>
      <c r="J1706" s="178" t="str">
        <f>IF(I1706&gt;0,H1706/I1706,0)</f>
      </c>
      <c r="K1706" s="179" t="str">
        <f>1-EXP(-J1706)</f>
      </c>
      <c r="L1706" s="180" t="str">
        <f>IF(G1706=30,1,M1705)</f>
      </c>
      <c r="M1706" s="181" t="str">
        <f>L1706*(1-K1706)</f>
      </c>
    </row>
    <row r="1707">
      <c r="A1707" t="s">
        <v>164</v>
      </c>
      <c r="B1707" t="s">
        <v>112</v>
      </c>
      <c r="C1707" s="32" t="s">
        <v>297</v>
      </c>
      <c r="D1707" t="s">
        <v>112</v>
      </c>
      <c r="E1707" t="s">
        <v>395</v>
      </c>
      <c r="F1707" s="174" t="n">
        <v>2041</v>
      </c>
      <c r="G1707" s="175" t="n">
        <v>55</v>
      </c>
      <c r="H1707" s="176" t="n">
        <v>14151.5941057818</v>
      </c>
      <c r="I1707" s="177" t="n">
        <v>3922520.68348637</v>
      </c>
      <c r="J1707" s="178" t="str">
        <f>IF(I1707&gt;0,H1707/I1707,0)</f>
      </c>
      <c r="K1707" s="179" t="str">
        <f>1-EXP(-J1707)</f>
      </c>
      <c r="L1707" s="180" t="str">
        <f>IF(G1707=30,1,M1706)</f>
      </c>
      <c r="M1707" s="181" t="str">
        <f>L1707*(1-K1707)</f>
      </c>
    </row>
    <row r="1708">
      <c r="A1708" t="s">
        <v>164</v>
      </c>
      <c r="B1708" t="s">
        <v>112</v>
      </c>
      <c r="C1708" s="32" t="s">
        <v>297</v>
      </c>
      <c r="D1708" t="s">
        <v>112</v>
      </c>
      <c r="E1708" t="s">
        <v>395</v>
      </c>
      <c r="F1708" s="174" t="n">
        <v>2041</v>
      </c>
      <c r="G1708" s="175" t="n">
        <v>56</v>
      </c>
      <c r="H1708" s="176" t="n">
        <v>15556.8221772613</v>
      </c>
      <c r="I1708" s="177" t="n">
        <v>3956856.33524499</v>
      </c>
      <c r="J1708" s="178" t="str">
        <f>IF(I1708&gt;0,H1708/I1708,0)</f>
      </c>
      <c r="K1708" s="179" t="str">
        <f>1-EXP(-J1708)</f>
      </c>
      <c r="L1708" s="180" t="str">
        <f>IF(G1708=30,1,M1707)</f>
      </c>
      <c r="M1708" s="181" t="str">
        <f>L1708*(1-K1708)</f>
      </c>
    </row>
    <row r="1709">
      <c r="A1709" t="s">
        <v>164</v>
      </c>
      <c r="B1709" t="s">
        <v>112</v>
      </c>
      <c r="C1709" s="32" t="s">
        <v>297</v>
      </c>
      <c r="D1709" t="s">
        <v>112</v>
      </c>
      <c r="E1709" t="s">
        <v>395</v>
      </c>
      <c r="F1709" s="174" t="n">
        <v>2041</v>
      </c>
      <c r="G1709" s="175" t="n">
        <v>57</v>
      </c>
      <c r="H1709" s="176" t="n">
        <v>17207.3415272967</v>
      </c>
      <c r="I1709" s="177" t="n">
        <v>4012352.50647296</v>
      </c>
      <c r="J1709" s="178" t="str">
        <f>IF(I1709&gt;0,H1709/I1709,0)</f>
      </c>
      <c r="K1709" s="179" t="str">
        <f>1-EXP(-J1709)</f>
      </c>
      <c r="L1709" s="180" t="str">
        <f>IF(G1709=30,1,M1708)</f>
      </c>
      <c r="M1709" s="181" t="str">
        <f>L1709*(1-K1709)</f>
      </c>
    </row>
    <row r="1710">
      <c r="A1710" t="s">
        <v>164</v>
      </c>
      <c r="B1710" t="s">
        <v>112</v>
      </c>
      <c r="C1710" s="32" t="s">
        <v>297</v>
      </c>
      <c r="D1710" t="s">
        <v>112</v>
      </c>
      <c r="E1710" t="s">
        <v>395</v>
      </c>
      <c r="F1710" s="174" t="n">
        <v>2041</v>
      </c>
      <c r="G1710" s="175" t="n">
        <v>58</v>
      </c>
      <c r="H1710" s="176" t="n">
        <v>18566.8690917189</v>
      </c>
      <c r="I1710" s="177" t="n">
        <v>3963849.13735927</v>
      </c>
      <c r="J1710" s="178" t="str">
        <f>IF(I1710&gt;0,H1710/I1710,0)</f>
      </c>
      <c r="K1710" s="179" t="str">
        <f>1-EXP(-J1710)</f>
      </c>
      <c r="L1710" s="180" t="str">
        <f>IF(G1710=30,1,M1709)</f>
      </c>
      <c r="M1710" s="181" t="str">
        <f>L1710*(1-K1710)</f>
      </c>
    </row>
    <row r="1711">
      <c r="A1711" t="s">
        <v>164</v>
      </c>
      <c r="B1711" t="s">
        <v>112</v>
      </c>
      <c r="C1711" s="32" t="s">
        <v>297</v>
      </c>
      <c r="D1711" t="s">
        <v>112</v>
      </c>
      <c r="E1711" t="s">
        <v>395</v>
      </c>
      <c r="F1711" s="174" t="n">
        <v>2041</v>
      </c>
      <c r="G1711" s="175" t="n">
        <v>59</v>
      </c>
      <c r="H1711" s="176" t="n">
        <v>19535.5457624771</v>
      </c>
      <c r="I1711" s="177" t="n">
        <v>3809723.1994506</v>
      </c>
      <c r="J1711" s="178" t="str">
        <f>IF(I1711&gt;0,H1711/I1711,0)</f>
      </c>
      <c r="K1711" s="179" t="str">
        <f>1-EXP(-J1711)</f>
      </c>
      <c r="L1711" s="180" t="str">
        <f>IF(G1711=30,1,M1710)</f>
      </c>
      <c r="M1711" s="181" t="str">
        <f>L1711*(1-K1711)</f>
      </c>
    </row>
    <row r="1712">
      <c r="A1712" t="s">
        <v>164</v>
      </c>
      <c r="B1712" t="s">
        <v>112</v>
      </c>
      <c r="C1712" s="32" t="s">
        <v>297</v>
      </c>
      <c r="D1712" t="s">
        <v>112</v>
      </c>
      <c r="E1712" t="s">
        <v>395</v>
      </c>
      <c r="F1712" s="174" t="n">
        <v>2041</v>
      </c>
      <c r="G1712" s="175" t="n">
        <v>60</v>
      </c>
      <c r="H1712" s="176" t="n">
        <v>20742.9152059907</v>
      </c>
      <c r="I1712" s="177" t="n">
        <v>3712295.22624116</v>
      </c>
      <c r="J1712" s="178" t="str">
        <f>IF(I1712&gt;0,H1712/I1712,0)</f>
      </c>
      <c r="K1712" s="179" t="str">
        <f>1-EXP(-J1712)</f>
      </c>
      <c r="L1712" s="180" t="str">
        <f>IF(G1712=30,1,M1711)</f>
      </c>
      <c r="M1712" s="181" t="str">
        <f>L1712*(1-K1712)</f>
      </c>
    </row>
    <row r="1713">
      <c r="A1713" t="s">
        <v>164</v>
      </c>
      <c r="B1713" t="s">
        <v>112</v>
      </c>
      <c r="C1713" s="32" t="s">
        <v>297</v>
      </c>
      <c r="D1713" t="s">
        <v>112</v>
      </c>
      <c r="E1713" t="s">
        <v>395</v>
      </c>
      <c r="F1713" s="174" t="n">
        <v>2041</v>
      </c>
      <c r="G1713" s="175" t="n">
        <v>61</v>
      </c>
      <c r="H1713" s="176" t="n">
        <v>22213.0525292385</v>
      </c>
      <c r="I1713" s="177" t="n">
        <v>3627519.40508678</v>
      </c>
      <c r="J1713" s="178" t="str">
        <f>IF(I1713&gt;0,H1713/I1713,0)</f>
      </c>
      <c r="K1713" s="179" t="str">
        <f>1-EXP(-J1713)</f>
      </c>
      <c r="L1713" s="180" t="str">
        <f>IF(G1713=30,1,M1712)</f>
      </c>
      <c r="M1713" s="181" t="str">
        <f>L1713*(1-K1713)</f>
      </c>
    </row>
    <row r="1714">
      <c r="A1714" t="s">
        <v>164</v>
      </c>
      <c r="B1714" t="s">
        <v>112</v>
      </c>
      <c r="C1714" s="32" t="s">
        <v>297</v>
      </c>
      <c r="D1714" t="s">
        <v>112</v>
      </c>
      <c r="E1714" t="s">
        <v>395</v>
      </c>
      <c r="F1714" s="174" t="n">
        <v>2041</v>
      </c>
      <c r="G1714" s="175" t="n">
        <v>62</v>
      </c>
      <c r="H1714" s="176" t="n">
        <v>23740.6358282712</v>
      </c>
      <c r="I1714" s="177" t="n">
        <v>3536232.09485419</v>
      </c>
      <c r="J1714" s="178" t="str">
        <f>IF(I1714&gt;0,H1714/I1714,0)</f>
      </c>
      <c r="K1714" s="179" t="str">
        <f>1-EXP(-J1714)</f>
      </c>
      <c r="L1714" s="180" t="str">
        <f>IF(G1714=30,1,M1713)</f>
      </c>
      <c r="M1714" s="181" t="str">
        <f>L1714*(1-K1714)</f>
      </c>
    </row>
    <row r="1715">
      <c r="A1715" t="s">
        <v>164</v>
      </c>
      <c r="B1715" t="s">
        <v>112</v>
      </c>
      <c r="C1715" s="32" t="s">
        <v>297</v>
      </c>
      <c r="D1715" t="s">
        <v>112</v>
      </c>
      <c r="E1715" t="s">
        <v>395</v>
      </c>
      <c r="F1715" s="174" t="n">
        <v>2041</v>
      </c>
      <c r="G1715" s="175" t="n">
        <v>63</v>
      </c>
      <c r="H1715" s="176" t="n">
        <v>25219.817538892</v>
      </c>
      <c r="I1715" s="177" t="n">
        <v>3425858.83753366</v>
      </c>
      <c r="J1715" s="178" t="str">
        <f>IF(I1715&gt;0,H1715/I1715,0)</f>
      </c>
      <c r="K1715" s="179" t="str">
        <f>1-EXP(-J1715)</f>
      </c>
      <c r="L1715" s="180" t="str">
        <f>IF(G1715=30,1,M1714)</f>
      </c>
      <c r="M1715" s="181" t="str">
        <f>L1715*(1-K1715)</f>
      </c>
    </row>
    <row r="1716">
      <c r="A1716" t="s">
        <v>164</v>
      </c>
      <c r="B1716" t="s">
        <v>112</v>
      </c>
      <c r="C1716" s="32" t="s">
        <v>297</v>
      </c>
      <c r="D1716" t="s">
        <v>112</v>
      </c>
      <c r="E1716" t="s">
        <v>395</v>
      </c>
      <c r="F1716" s="174" t="n">
        <v>2041</v>
      </c>
      <c r="G1716" s="175" t="n">
        <v>64</v>
      </c>
      <c r="H1716" s="176" t="n">
        <v>26896.8837358947</v>
      </c>
      <c r="I1716" s="177" t="n">
        <v>3328468.73915922</v>
      </c>
      <c r="J1716" s="178" t="str">
        <f>IF(I1716&gt;0,H1716/I1716,0)</f>
      </c>
      <c r="K1716" s="179" t="str">
        <f>1-EXP(-J1716)</f>
      </c>
      <c r="L1716" s="180" t="str">
        <f>IF(G1716=30,1,M1715)</f>
      </c>
      <c r="M1716" s="181" t="str">
        <f>L1716*(1-K1716)</f>
      </c>
    </row>
    <row r="1717">
      <c r="A1717" t="s">
        <v>164</v>
      </c>
      <c r="B1717" t="s">
        <v>112</v>
      </c>
      <c r="C1717" s="32" t="s">
        <v>297</v>
      </c>
      <c r="D1717" t="s">
        <v>112</v>
      </c>
      <c r="E1717" t="s">
        <v>395</v>
      </c>
      <c r="F1717" s="174" t="n">
        <v>2041</v>
      </c>
      <c r="G1717" s="175" t="n">
        <v>65</v>
      </c>
      <c r="H1717" s="176" t="n">
        <v>27309.9376973315</v>
      </c>
      <c r="I1717" s="177" t="n">
        <v>3219393.71338257</v>
      </c>
      <c r="J1717" s="178" t="str">
        <f>IF(I1717&gt;0,H1717/I1717,0)</f>
      </c>
      <c r="K1717" s="179" t="str">
        <f>1-EXP(-J1717)</f>
      </c>
      <c r="L1717" s="180" t="str">
        <f>IF(G1717=30,1,M1716)</f>
      </c>
      <c r="M1717" s="181" t="str">
        <f>L1717*(1-K1717)</f>
      </c>
    </row>
    <row r="1718">
      <c r="A1718" t="s">
        <v>164</v>
      </c>
      <c r="B1718" t="s">
        <v>112</v>
      </c>
      <c r="C1718" s="32" t="s">
        <v>297</v>
      </c>
      <c r="D1718" t="s">
        <v>112</v>
      </c>
      <c r="E1718" t="s">
        <v>395</v>
      </c>
      <c r="F1718" s="174" t="n">
        <v>2041</v>
      </c>
      <c r="G1718" s="175" t="n">
        <v>66</v>
      </c>
      <c r="H1718" s="176" t="n">
        <v>28932.6689794008</v>
      </c>
      <c r="I1718" s="177" t="n">
        <v>3108592.28016105</v>
      </c>
      <c r="J1718" s="178" t="str">
        <f>IF(I1718&gt;0,H1718/I1718,0)</f>
      </c>
      <c r="K1718" s="179" t="str">
        <f>1-EXP(-J1718)</f>
      </c>
      <c r="L1718" s="180" t="str">
        <f>IF(G1718=30,1,M1717)</f>
      </c>
      <c r="M1718" s="181" t="str">
        <f>L1718*(1-K1718)</f>
      </c>
    </row>
    <row r="1719">
      <c r="A1719" t="s">
        <v>164</v>
      </c>
      <c r="B1719" t="s">
        <v>112</v>
      </c>
      <c r="C1719" s="32" t="s">
        <v>297</v>
      </c>
      <c r="D1719" t="s">
        <v>112</v>
      </c>
      <c r="E1719" t="s">
        <v>395</v>
      </c>
      <c r="F1719" s="174" t="n">
        <v>2041</v>
      </c>
      <c r="G1719" s="175" t="n">
        <v>67</v>
      </c>
      <c r="H1719" s="176" t="n">
        <v>30364.951090911</v>
      </c>
      <c r="I1719" s="177" t="n">
        <v>2972416.64651847</v>
      </c>
      <c r="J1719" s="178" t="str">
        <f>IF(I1719&gt;0,H1719/I1719,0)</f>
      </c>
      <c r="K1719" s="179" t="str">
        <f>1-EXP(-J1719)</f>
      </c>
      <c r="L1719" s="180" t="str">
        <f>IF(G1719=30,1,M1718)</f>
      </c>
      <c r="M1719" s="181" t="str">
        <f>L1719*(1-K1719)</f>
      </c>
    </row>
    <row r="1720">
      <c r="A1720" t="s">
        <v>164</v>
      </c>
      <c r="B1720" t="s">
        <v>112</v>
      </c>
      <c r="C1720" s="32" t="s">
        <v>297</v>
      </c>
      <c r="D1720" t="s">
        <v>112</v>
      </c>
      <c r="E1720" t="s">
        <v>395</v>
      </c>
      <c r="F1720" s="174" t="n">
        <v>2041</v>
      </c>
      <c r="G1720" s="175" t="n">
        <v>68</v>
      </c>
      <c r="H1720" s="176" t="n">
        <v>32367.2937587609</v>
      </c>
      <c r="I1720" s="177" t="n">
        <v>2884879.38747358</v>
      </c>
      <c r="J1720" s="178" t="str">
        <f>IF(I1720&gt;0,H1720/I1720,0)</f>
      </c>
      <c r="K1720" s="179" t="str">
        <f>1-EXP(-J1720)</f>
      </c>
      <c r="L1720" s="180" t="str">
        <f>IF(G1720=30,1,M1719)</f>
      </c>
      <c r="M1720" s="181" t="str">
        <f>L1720*(1-K1720)</f>
      </c>
    </row>
    <row r="1721">
      <c r="A1721" t="s">
        <v>164</v>
      </c>
      <c r="B1721" t="s">
        <v>112</v>
      </c>
      <c r="C1721" s="32" t="s">
        <v>297</v>
      </c>
      <c r="D1721" t="s">
        <v>112</v>
      </c>
      <c r="E1721" t="s">
        <v>395</v>
      </c>
      <c r="F1721" s="174" t="n">
        <v>2041</v>
      </c>
      <c r="G1721" s="175" t="n">
        <v>69</v>
      </c>
      <c r="H1721" s="176" t="n">
        <v>32858.2865335721</v>
      </c>
      <c r="I1721" s="177" t="n">
        <v>2661539.17602483</v>
      </c>
      <c r="J1721" s="178" t="str">
        <f>IF(I1721&gt;0,H1721/I1721,0)</f>
      </c>
      <c r="K1721" s="179" t="str">
        <f>1-EXP(-J1721)</f>
      </c>
      <c r="L1721" s="180" t="str">
        <f>IF(G1721=30,1,M1720)</f>
      </c>
      <c r="M1721" s="181" t="str">
        <f>L1721*(1-K1721)</f>
      </c>
    </row>
    <row r="1722">
      <c r="A1722" t="s">
        <v>164</v>
      </c>
      <c r="B1722" t="s">
        <v>112</v>
      </c>
      <c r="C1722" s="32" t="s">
        <v>297</v>
      </c>
      <c r="D1722" t="s">
        <v>112</v>
      </c>
      <c r="E1722" t="s">
        <v>395</v>
      </c>
      <c r="F1722" s="174" t="n">
        <v>2042</v>
      </c>
      <c r="G1722" s="175" t="n">
        <v>30</v>
      </c>
      <c r="H1722" s="176" t="n">
        <v>832.580379922916</v>
      </c>
      <c r="I1722" s="177" t="n">
        <v>4906538.32754179</v>
      </c>
      <c r="J1722" s="178" t="str">
        <f>IF(I1722&gt;0,H1722/I1722,0)</f>
      </c>
      <c r="K1722" s="179" t="str">
        <f>1-EXP(-J1722)</f>
      </c>
      <c r="L1722" s="180" t="str">
        <f>IF(G1722=30,1,M1721)</f>
      </c>
      <c r="M1722" s="181" t="str">
        <f>L1722*(1-K1722)</f>
      </c>
    </row>
    <row r="1723">
      <c r="A1723" t="s">
        <v>164</v>
      </c>
      <c r="B1723" t="s">
        <v>112</v>
      </c>
      <c r="C1723" s="32" t="s">
        <v>297</v>
      </c>
      <c r="D1723" t="s">
        <v>112</v>
      </c>
      <c r="E1723" t="s">
        <v>395</v>
      </c>
      <c r="F1723" s="174" t="n">
        <v>2042</v>
      </c>
      <c r="G1723" s="175" t="n">
        <v>31</v>
      </c>
      <c r="H1723" s="176" t="n">
        <v>1065.69056111107</v>
      </c>
      <c r="I1723" s="177" t="n">
        <v>4878382.80705915</v>
      </c>
      <c r="J1723" s="178" t="str">
        <f>IF(I1723&gt;0,H1723/I1723,0)</f>
      </c>
      <c r="K1723" s="179" t="str">
        <f>1-EXP(-J1723)</f>
      </c>
      <c r="L1723" s="180" t="str">
        <f>IF(G1723=30,1,M1722)</f>
      </c>
      <c r="M1723" s="181" t="str">
        <f>L1723*(1-K1723)</f>
      </c>
    </row>
    <row r="1724">
      <c r="A1724" t="s">
        <v>164</v>
      </c>
      <c r="B1724" t="s">
        <v>112</v>
      </c>
      <c r="C1724" s="32" t="s">
        <v>297</v>
      </c>
      <c r="D1724" t="s">
        <v>112</v>
      </c>
      <c r="E1724" t="s">
        <v>395</v>
      </c>
      <c r="F1724" s="174" t="n">
        <v>2042</v>
      </c>
      <c r="G1724" s="175" t="n">
        <v>32</v>
      </c>
      <c r="H1724" s="176" t="n">
        <v>1091.15980592808</v>
      </c>
      <c r="I1724" s="177" t="n">
        <v>4744634.39584658</v>
      </c>
      <c r="J1724" s="178" t="str">
        <f>IF(I1724&gt;0,H1724/I1724,0)</f>
      </c>
      <c r="K1724" s="179" t="str">
        <f>1-EXP(-J1724)</f>
      </c>
      <c r="L1724" s="180" t="str">
        <f>IF(G1724=30,1,M1723)</f>
      </c>
      <c r="M1724" s="181" t="str">
        <f>L1724*(1-K1724)</f>
      </c>
    </row>
    <row r="1725">
      <c r="A1725" t="s">
        <v>164</v>
      </c>
      <c r="B1725" t="s">
        <v>112</v>
      </c>
      <c r="C1725" s="32" t="s">
        <v>297</v>
      </c>
      <c r="D1725" t="s">
        <v>112</v>
      </c>
      <c r="E1725" t="s">
        <v>395</v>
      </c>
      <c r="F1725" s="174" t="n">
        <v>2042</v>
      </c>
      <c r="G1725" s="175" t="n">
        <v>33</v>
      </c>
      <c r="H1725" s="176" t="n">
        <v>1138.21687315582</v>
      </c>
      <c r="I1725" s="177" t="n">
        <v>4673773.73197154</v>
      </c>
      <c r="J1725" s="178" t="str">
        <f>IF(I1725&gt;0,H1725/I1725,0)</f>
      </c>
      <c r="K1725" s="179" t="str">
        <f>1-EXP(-J1725)</f>
      </c>
      <c r="L1725" s="180" t="str">
        <f>IF(G1725=30,1,M1724)</f>
      </c>
      <c r="M1725" s="181" t="str">
        <f>L1725*(1-K1725)</f>
      </c>
    </row>
    <row r="1726">
      <c r="A1726" t="s">
        <v>164</v>
      </c>
      <c r="B1726" t="s">
        <v>112</v>
      </c>
      <c r="C1726" s="32" t="s">
        <v>297</v>
      </c>
      <c r="D1726" t="s">
        <v>112</v>
      </c>
      <c r="E1726" t="s">
        <v>395</v>
      </c>
      <c r="F1726" s="174" t="n">
        <v>2042</v>
      </c>
      <c r="G1726" s="175" t="n">
        <v>34</v>
      </c>
      <c r="H1726" s="176" t="n">
        <v>1201.68248008853</v>
      </c>
      <c r="I1726" s="177" t="n">
        <v>4630857.39965165</v>
      </c>
      <c r="J1726" s="178" t="str">
        <f>IF(I1726&gt;0,H1726/I1726,0)</f>
      </c>
      <c r="K1726" s="179" t="str">
        <f>1-EXP(-J1726)</f>
      </c>
      <c r="L1726" s="180" t="str">
        <f>IF(G1726=30,1,M1725)</f>
      </c>
      <c r="M1726" s="181" t="str">
        <f>L1726*(1-K1726)</f>
      </c>
    </row>
    <row r="1727">
      <c r="A1727" t="s">
        <v>164</v>
      </c>
      <c r="B1727" t="s">
        <v>112</v>
      </c>
      <c r="C1727" s="32" t="s">
        <v>297</v>
      </c>
      <c r="D1727" t="s">
        <v>112</v>
      </c>
      <c r="E1727" t="s">
        <v>395</v>
      </c>
      <c r="F1727" s="174" t="n">
        <v>2042</v>
      </c>
      <c r="G1727" s="175" t="n">
        <v>35</v>
      </c>
      <c r="H1727" s="176" t="n">
        <v>1669.55816743087</v>
      </c>
      <c r="I1727" s="177" t="n">
        <v>4656136.78720734</v>
      </c>
      <c r="J1727" s="178" t="str">
        <f>IF(I1727&gt;0,H1727/I1727,0)</f>
      </c>
      <c r="K1727" s="179" t="str">
        <f>1-EXP(-J1727)</f>
      </c>
      <c r="L1727" s="180" t="str">
        <f>IF(G1727=30,1,M1726)</f>
      </c>
      <c r="M1727" s="181" t="str">
        <f>L1727*(1-K1727)</f>
      </c>
    </row>
    <row r="1728">
      <c r="A1728" t="s">
        <v>164</v>
      </c>
      <c r="B1728" t="s">
        <v>112</v>
      </c>
      <c r="C1728" s="32" t="s">
        <v>297</v>
      </c>
      <c r="D1728" t="s">
        <v>112</v>
      </c>
      <c r="E1728" t="s">
        <v>395</v>
      </c>
      <c r="F1728" s="174" t="n">
        <v>2042</v>
      </c>
      <c r="G1728" s="175" t="n">
        <v>36</v>
      </c>
      <c r="H1728" s="176" t="n">
        <v>1900.21174767719</v>
      </c>
      <c r="I1728" s="177" t="n">
        <v>4572163.6394347</v>
      </c>
      <c r="J1728" s="178" t="str">
        <f>IF(I1728&gt;0,H1728/I1728,0)</f>
      </c>
      <c r="K1728" s="179" t="str">
        <f>1-EXP(-J1728)</f>
      </c>
      <c r="L1728" s="180" t="str">
        <f>IF(G1728=30,1,M1727)</f>
      </c>
      <c r="M1728" s="181" t="str">
        <f>L1728*(1-K1728)</f>
      </c>
    </row>
    <row r="1729">
      <c r="A1729" t="s">
        <v>164</v>
      </c>
      <c r="B1729" t="s">
        <v>112</v>
      </c>
      <c r="C1729" s="32" t="s">
        <v>297</v>
      </c>
      <c r="D1729" t="s">
        <v>112</v>
      </c>
      <c r="E1729" t="s">
        <v>395</v>
      </c>
      <c r="F1729" s="174" t="n">
        <v>2042</v>
      </c>
      <c r="G1729" s="175" t="n">
        <v>37</v>
      </c>
      <c r="H1729" s="176" t="n">
        <v>2014.40599828329</v>
      </c>
      <c r="I1729" s="177" t="n">
        <v>4510064.03418967</v>
      </c>
      <c r="J1729" s="178" t="str">
        <f>IF(I1729&gt;0,H1729/I1729,0)</f>
      </c>
      <c r="K1729" s="179" t="str">
        <f>1-EXP(-J1729)</f>
      </c>
      <c r="L1729" s="180" t="str">
        <f>IF(G1729=30,1,M1728)</f>
      </c>
      <c r="M1729" s="181" t="str">
        <f>L1729*(1-K1729)</f>
      </c>
    </row>
    <row r="1730">
      <c r="A1730" t="s">
        <v>164</v>
      </c>
      <c r="B1730" t="s">
        <v>112</v>
      </c>
      <c r="C1730" s="32" t="s">
        <v>297</v>
      </c>
      <c r="D1730" t="s">
        <v>112</v>
      </c>
      <c r="E1730" t="s">
        <v>395</v>
      </c>
      <c r="F1730" s="174" t="n">
        <v>2042</v>
      </c>
      <c r="G1730" s="175" t="n">
        <v>38</v>
      </c>
      <c r="H1730" s="176" t="n">
        <v>2109.54747559672</v>
      </c>
      <c r="I1730" s="177" t="n">
        <v>4380494.84927788</v>
      </c>
      <c r="J1730" s="178" t="str">
        <f>IF(I1730&gt;0,H1730/I1730,0)</f>
      </c>
      <c r="K1730" s="179" t="str">
        <f>1-EXP(-J1730)</f>
      </c>
      <c r="L1730" s="180" t="str">
        <f>IF(G1730=30,1,M1729)</f>
      </c>
      <c r="M1730" s="181" t="str">
        <f>L1730*(1-K1730)</f>
      </c>
    </row>
    <row r="1731">
      <c r="A1731" t="s">
        <v>164</v>
      </c>
      <c r="B1731" t="s">
        <v>112</v>
      </c>
      <c r="C1731" s="32" t="s">
        <v>297</v>
      </c>
      <c r="D1731" t="s">
        <v>112</v>
      </c>
      <c r="E1731" t="s">
        <v>395</v>
      </c>
      <c r="F1731" s="174" t="n">
        <v>2042</v>
      </c>
      <c r="G1731" s="175" t="n">
        <v>39</v>
      </c>
      <c r="H1731" s="176" t="n">
        <v>2245.46162893898</v>
      </c>
      <c r="I1731" s="177" t="n">
        <v>4313288.39397408</v>
      </c>
      <c r="J1731" s="178" t="str">
        <f>IF(I1731&gt;0,H1731/I1731,0)</f>
      </c>
      <c r="K1731" s="179" t="str">
        <f>1-EXP(-J1731)</f>
      </c>
      <c r="L1731" s="180" t="str">
        <f>IF(G1731=30,1,M1730)</f>
      </c>
      <c r="M1731" s="181" t="str">
        <f>L1731*(1-K1731)</f>
      </c>
    </row>
    <row r="1732">
      <c r="A1732" t="s">
        <v>164</v>
      </c>
      <c r="B1732" t="s">
        <v>112</v>
      </c>
      <c r="C1732" s="32" t="s">
        <v>297</v>
      </c>
      <c r="D1732" t="s">
        <v>112</v>
      </c>
      <c r="E1732" t="s">
        <v>395</v>
      </c>
      <c r="F1732" s="174" t="n">
        <v>2042</v>
      </c>
      <c r="G1732" s="175" t="n">
        <v>40</v>
      </c>
      <c r="H1732" s="176" t="n">
        <v>3198.91299620783</v>
      </c>
      <c r="I1732" s="177" t="n">
        <v>4288128.70407394</v>
      </c>
      <c r="J1732" s="178" t="str">
        <f>IF(I1732&gt;0,H1732/I1732,0)</f>
      </c>
      <c r="K1732" s="179" t="str">
        <f>1-EXP(-J1732)</f>
      </c>
      <c r="L1732" s="180" t="str">
        <f>IF(G1732=30,1,M1731)</f>
      </c>
      <c r="M1732" s="181" t="str">
        <f>L1732*(1-K1732)</f>
      </c>
    </row>
    <row r="1733">
      <c r="A1733" t="s">
        <v>164</v>
      </c>
      <c r="B1733" t="s">
        <v>112</v>
      </c>
      <c r="C1733" s="32" t="s">
        <v>297</v>
      </c>
      <c r="D1733" t="s">
        <v>112</v>
      </c>
      <c r="E1733" t="s">
        <v>395</v>
      </c>
      <c r="F1733" s="174" t="n">
        <v>2042</v>
      </c>
      <c r="G1733" s="175" t="n">
        <v>41</v>
      </c>
      <c r="H1733" s="176" t="n">
        <v>3521.07451979993</v>
      </c>
      <c r="I1733" s="177" t="n">
        <v>4264255.96052852</v>
      </c>
      <c r="J1733" s="178" t="str">
        <f>IF(I1733&gt;0,H1733/I1733,0)</f>
      </c>
      <c r="K1733" s="179" t="str">
        <f>1-EXP(-J1733)</f>
      </c>
      <c r="L1733" s="180" t="str">
        <f>IF(G1733=30,1,M1732)</f>
      </c>
      <c r="M1733" s="181" t="str">
        <f>L1733*(1-K1733)</f>
      </c>
    </row>
    <row r="1734">
      <c r="A1734" t="s">
        <v>164</v>
      </c>
      <c r="B1734" t="s">
        <v>112</v>
      </c>
      <c r="C1734" s="32" t="s">
        <v>297</v>
      </c>
      <c r="D1734" t="s">
        <v>112</v>
      </c>
      <c r="E1734" t="s">
        <v>395</v>
      </c>
      <c r="F1734" s="174" t="n">
        <v>2042</v>
      </c>
      <c r="G1734" s="175" t="n">
        <v>42</v>
      </c>
      <c r="H1734" s="176" t="n">
        <v>3797.73502541311</v>
      </c>
      <c r="I1734" s="177" t="n">
        <v>4240272.66125209</v>
      </c>
      <c r="J1734" s="178" t="str">
        <f>IF(I1734&gt;0,H1734/I1734,0)</f>
      </c>
      <c r="K1734" s="179" t="str">
        <f>1-EXP(-J1734)</f>
      </c>
      <c r="L1734" s="180" t="str">
        <f>IF(G1734=30,1,M1733)</f>
      </c>
      <c r="M1734" s="181" t="str">
        <f>L1734*(1-K1734)</f>
      </c>
    </row>
    <row r="1735">
      <c r="A1735" t="s">
        <v>164</v>
      </c>
      <c r="B1735" t="s">
        <v>112</v>
      </c>
      <c r="C1735" s="32" t="s">
        <v>297</v>
      </c>
      <c r="D1735" t="s">
        <v>112</v>
      </c>
      <c r="E1735" t="s">
        <v>395</v>
      </c>
      <c r="F1735" s="174" t="n">
        <v>2042</v>
      </c>
      <c r="G1735" s="175" t="n">
        <v>43</v>
      </c>
      <c r="H1735" s="176" t="n">
        <v>4142.99584193982</v>
      </c>
      <c r="I1735" s="177" t="n">
        <v>4254831.65901694</v>
      </c>
      <c r="J1735" s="178" t="str">
        <f>IF(I1735&gt;0,H1735/I1735,0)</f>
      </c>
      <c r="K1735" s="179" t="str">
        <f>1-EXP(-J1735)</f>
      </c>
      <c r="L1735" s="180" t="str">
        <f>IF(G1735=30,1,M1734)</f>
      </c>
      <c r="M1735" s="181" t="str">
        <f>L1735*(1-K1735)</f>
      </c>
    </row>
    <row r="1736">
      <c r="A1736" t="s">
        <v>164</v>
      </c>
      <c r="B1736" t="s">
        <v>112</v>
      </c>
      <c r="C1736" s="32" t="s">
        <v>297</v>
      </c>
      <c r="D1736" t="s">
        <v>112</v>
      </c>
      <c r="E1736" t="s">
        <v>395</v>
      </c>
      <c r="F1736" s="174" t="n">
        <v>2042</v>
      </c>
      <c r="G1736" s="175" t="n">
        <v>44</v>
      </c>
      <c r="H1736" s="176" t="n">
        <v>4571.60937723792</v>
      </c>
      <c r="I1736" s="177" t="n">
        <v>4307176.44706971</v>
      </c>
      <c r="J1736" s="178" t="str">
        <f>IF(I1736&gt;0,H1736/I1736,0)</f>
      </c>
      <c r="K1736" s="179" t="str">
        <f>1-EXP(-J1736)</f>
      </c>
      <c r="L1736" s="180" t="str">
        <f>IF(G1736=30,1,M1735)</f>
      </c>
      <c r="M1736" s="181" t="str">
        <f>L1736*(1-K1736)</f>
      </c>
    </row>
    <row r="1737">
      <c r="A1737" t="s">
        <v>164</v>
      </c>
      <c r="B1737" t="s">
        <v>112</v>
      </c>
      <c r="C1737" s="32" t="s">
        <v>297</v>
      </c>
      <c r="D1737" t="s">
        <v>112</v>
      </c>
      <c r="E1737" t="s">
        <v>395</v>
      </c>
      <c r="F1737" s="174" t="n">
        <v>2042</v>
      </c>
      <c r="G1737" s="175" t="n">
        <v>45</v>
      </c>
      <c r="H1737" s="176" t="n">
        <v>6304.13804615553</v>
      </c>
      <c r="I1737" s="177" t="n">
        <v>4434288.24170798</v>
      </c>
      <c r="J1737" s="178" t="str">
        <f>IF(I1737&gt;0,H1737/I1737,0)</f>
      </c>
      <c r="K1737" s="179" t="str">
        <f>1-EXP(-J1737)</f>
      </c>
      <c r="L1737" s="180" t="str">
        <f>IF(G1737=30,1,M1736)</f>
      </c>
      <c r="M1737" s="181" t="str">
        <f>L1737*(1-K1737)</f>
      </c>
    </row>
    <row r="1738">
      <c r="A1738" t="s">
        <v>164</v>
      </c>
      <c r="B1738" t="s">
        <v>112</v>
      </c>
      <c r="C1738" s="32" t="s">
        <v>297</v>
      </c>
      <c r="D1738" t="s">
        <v>112</v>
      </c>
      <c r="E1738" t="s">
        <v>395</v>
      </c>
      <c r="F1738" s="174" t="n">
        <v>2042</v>
      </c>
      <c r="G1738" s="175" t="n">
        <v>46</v>
      </c>
      <c r="H1738" s="176" t="n">
        <v>6805.18348523358</v>
      </c>
      <c r="I1738" s="177" t="n">
        <v>4382991.63084346</v>
      </c>
      <c r="J1738" s="178" t="str">
        <f>IF(I1738&gt;0,H1738/I1738,0)</f>
      </c>
      <c r="K1738" s="179" t="str">
        <f>1-EXP(-J1738)</f>
      </c>
      <c r="L1738" s="180" t="str">
        <f>IF(G1738=30,1,M1737)</f>
      </c>
      <c r="M1738" s="181" t="str">
        <f>L1738*(1-K1738)</f>
      </c>
    </row>
    <row r="1739">
      <c r="A1739" t="s">
        <v>164</v>
      </c>
      <c r="B1739" t="s">
        <v>112</v>
      </c>
      <c r="C1739" s="32" t="s">
        <v>297</v>
      </c>
      <c r="D1739" t="s">
        <v>112</v>
      </c>
      <c r="E1739" t="s">
        <v>395</v>
      </c>
      <c r="F1739" s="174" t="n">
        <v>2042</v>
      </c>
      <c r="G1739" s="175" t="n">
        <v>47</v>
      </c>
      <c r="H1739" s="176" t="n">
        <v>7308.64830437188</v>
      </c>
      <c r="I1739" s="177" t="n">
        <v>4302436.09619981</v>
      </c>
      <c r="J1739" s="178" t="str">
        <f>IF(I1739&gt;0,H1739/I1739,0)</f>
      </c>
      <c r="K1739" s="179" t="str">
        <f>1-EXP(-J1739)</f>
      </c>
      <c r="L1739" s="180" t="str">
        <f>IF(G1739=30,1,M1738)</f>
      </c>
      <c r="M1739" s="181" t="str">
        <f>L1739*(1-K1739)</f>
      </c>
    </row>
    <row r="1740">
      <c r="A1740" t="s">
        <v>164</v>
      </c>
      <c r="B1740" t="s">
        <v>112</v>
      </c>
      <c r="C1740" s="32" t="s">
        <v>297</v>
      </c>
      <c r="D1740" t="s">
        <v>112</v>
      </c>
      <c r="E1740" t="s">
        <v>395</v>
      </c>
      <c r="F1740" s="174" t="n">
        <v>2042</v>
      </c>
      <c r="G1740" s="175" t="n">
        <v>48</v>
      </c>
      <c r="H1740" s="176" t="n">
        <v>7882.76982584319</v>
      </c>
      <c r="I1740" s="177" t="n">
        <v>4236376.81675699</v>
      </c>
      <c r="J1740" s="178" t="str">
        <f>IF(I1740&gt;0,H1740/I1740,0)</f>
      </c>
      <c r="K1740" s="179" t="str">
        <f>1-EXP(-J1740)</f>
      </c>
      <c r="L1740" s="180" t="str">
        <f>IF(G1740=30,1,M1739)</f>
      </c>
      <c r="M1740" s="181" t="str">
        <f>L1740*(1-K1740)</f>
      </c>
    </row>
    <row r="1741">
      <c r="A1741" t="s">
        <v>164</v>
      </c>
      <c r="B1741" t="s">
        <v>112</v>
      </c>
      <c r="C1741" s="32" t="s">
        <v>297</v>
      </c>
      <c r="D1741" t="s">
        <v>112</v>
      </c>
      <c r="E1741" t="s">
        <v>395</v>
      </c>
      <c r="F1741" s="174" t="n">
        <v>2042</v>
      </c>
      <c r="G1741" s="175" t="n">
        <v>49</v>
      </c>
      <c r="H1741" s="176" t="n">
        <v>8509.33837082088</v>
      </c>
      <c r="I1741" s="177" t="n">
        <v>4172897.12033046</v>
      </c>
      <c r="J1741" s="178" t="str">
        <f>IF(I1741&gt;0,H1741/I1741,0)</f>
      </c>
      <c r="K1741" s="179" t="str">
        <f>1-EXP(-J1741)</f>
      </c>
      <c r="L1741" s="180" t="str">
        <f>IF(G1741=30,1,M1740)</f>
      </c>
      <c r="M1741" s="181" t="str">
        <f>L1741*(1-K1741)</f>
      </c>
    </row>
    <row r="1742">
      <c r="A1742" t="s">
        <v>164</v>
      </c>
      <c r="B1742" t="s">
        <v>112</v>
      </c>
      <c r="C1742" s="32" t="s">
        <v>297</v>
      </c>
      <c r="D1742" t="s">
        <v>112</v>
      </c>
      <c r="E1742" t="s">
        <v>395</v>
      </c>
      <c r="F1742" s="174" t="n">
        <v>2042</v>
      </c>
      <c r="G1742" s="175" t="n">
        <v>50</v>
      </c>
      <c r="H1742" s="176" t="n">
        <v>9794.07978226162</v>
      </c>
      <c r="I1742" s="177" t="n">
        <v>4196555.39787844</v>
      </c>
      <c r="J1742" s="178" t="str">
        <f>IF(I1742&gt;0,H1742/I1742,0)</f>
      </c>
      <c r="K1742" s="179" t="str">
        <f>1-EXP(-J1742)</f>
      </c>
      <c r="L1742" s="180" t="str">
        <f>IF(G1742=30,1,M1741)</f>
      </c>
      <c r="M1742" s="181" t="str">
        <f>L1742*(1-K1742)</f>
      </c>
    </row>
    <row r="1743">
      <c r="A1743" t="s">
        <v>164</v>
      </c>
      <c r="B1743" t="s">
        <v>112</v>
      </c>
      <c r="C1743" s="32" t="s">
        <v>297</v>
      </c>
      <c r="D1743" t="s">
        <v>112</v>
      </c>
      <c r="E1743" t="s">
        <v>395</v>
      </c>
      <c r="F1743" s="174" t="n">
        <v>2042</v>
      </c>
      <c r="G1743" s="175" t="n">
        <v>51</v>
      </c>
      <c r="H1743" s="176" t="n">
        <v>10721.2232059115</v>
      </c>
      <c r="I1743" s="177" t="n">
        <v>4198862.72062161</v>
      </c>
      <c r="J1743" s="178" t="str">
        <f>IF(I1743&gt;0,H1743/I1743,0)</f>
      </c>
      <c r="K1743" s="179" t="str">
        <f>1-EXP(-J1743)</f>
      </c>
      <c r="L1743" s="180" t="str">
        <f>IF(G1743=30,1,M1742)</f>
      </c>
      <c r="M1743" s="181" t="str">
        <f>L1743*(1-K1743)</f>
      </c>
    </row>
    <row r="1744">
      <c r="A1744" t="s">
        <v>164</v>
      </c>
      <c r="B1744" t="s">
        <v>112</v>
      </c>
      <c r="C1744" s="32" t="s">
        <v>297</v>
      </c>
      <c r="D1744" t="s">
        <v>112</v>
      </c>
      <c r="E1744" t="s">
        <v>395</v>
      </c>
      <c r="F1744" s="174" t="n">
        <v>2042</v>
      </c>
      <c r="G1744" s="175" t="n">
        <v>52</v>
      </c>
      <c r="H1744" s="176" t="n">
        <v>15677.5176502158</v>
      </c>
      <c r="I1744" s="177" t="n">
        <v>6174810.42256455</v>
      </c>
      <c r="J1744" s="178" t="str">
        <f>IF(I1744&gt;0,H1744/I1744,0)</f>
      </c>
      <c r="K1744" s="179" t="str">
        <f>1-EXP(-J1744)</f>
      </c>
      <c r="L1744" s="180" t="str">
        <f>IF(G1744=30,1,M1743)</f>
      </c>
      <c r="M1744" s="181" t="str">
        <f>L1744*(1-K1744)</f>
      </c>
    </row>
    <row r="1745">
      <c r="A1745" t="s">
        <v>164</v>
      </c>
      <c r="B1745" t="s">
        <v>112</v>
      </c>
      <c r="C1745" s="32" t="s">
        <v>297</v>
      </c>
      <c r="D1745" t="s">
        <v>112</v>
      </c>
      <c r="E1745" t="s">
        <v>395</v>
      </c>
      <c r="F1745" s="174" t="n">
        <v>2042</v>
      </c>
      <c r="G1745" s="175" t="n">
        <v>53</v>
      </c>
      <c r="H1745" s="176" t="n">
        <v>12556.1927436183</v>
      </c>
      <c r="I1745" s="177" t="n">
        <v>4126082.73458226</v>
      </c>
      <c r="J1745" s="178" t="str">
        <f>IF(I1745&gt;0,H1745/I1745,0)</f>
      </c>
      <c r="K1745" s="179" t="str">
        <f>1-EXP(-J1745)</f>
      </c>
      <c r="L1745" s="180" t="str">
        <f>IF(G1745=30,1,M1744)</f>
      </c>
      <c r="M1745" s="181" t="str">
        <f>L1745*(1-K1745)</f>
      </c>
    </row>
    <row r="1746">
      <c r="A1746" t="s">
        <v>164</v>
      </c>
      <c r="B1746" t="s">
        <v>112</v>
      </c>
      <c r="C1746" s="32" t="s">
        <v>297</v>
      </c>
      <c r="D1746" t="s">
        <v>112</v>
      </c>
      <c r="E1746" t="s">
        <v>395</v>
      </c>
      <c r="F1746" s="174" t="n">
        <v>2042</v>
      </c>
      <c r="G1746" s="175" t="n">
        <v>54</v>
      </c>
      <c r="H1746" s="176" t="n">
        <v>13566.9173694801</v>
      </c>
      <c r="I1746" s="177" t="n">
        <v>4091284.49139274</v>
      </c>
      <c r="J1746" s="178" t="str">
        <f>IF(I1746&gt;0,H1746/I1746,0)</f>
      </c>
      <c r="K1746" s="179" t="str">
        <f>1-EXP(-J1746)</f>
      </c>
      <c r="L1746" s="180" t="str">
        <f>IF(G1746=30,1,M1745)</f>
      </c>
      <c r="M1746" s="181" t="str">
        <f>L1746*(1-K1746)</f>
      </c>
    </row>
    <row r="1747">
      <c r="A1747" t="s">
        <v>164</v>
      </c>
      <c r="B1747" t="s">
        <v>112</v>
      </c>
      <c r="C1747" s="32" t="s">
        <v>297</v>
      </c>
      <c r="D1747" t="s">
        <v>112</v>
      </c>
      <c r="E1747" t="s">
        <v>395</v>
      </c>
      <c r="F1747" s="174" t="n">
        <v>2042</v>
      </c>
      <c r="G1747" s="175" t="n">
        <v>55</v>
      </c>
      <c r="H1747" s="176" t="n">
        <v>14105.6151038477</v>
      </c>
      <c r="I1747" s="177" t="n">
        <v>3945930.15198529</v>
      </c>
      <c r="J1747" s="178" t="str">
        <f>IF(I1747&gt;0,H1747/I1747,0)</f>
      </c>
      <c r="K1747" s="179" t="str">
        <f>1-EXP(-J1747)</f>
      </c>
      <c r="L1747" s="180" t="str">
        <f>IF(G1747=30,1,M1746)</f>
      </c>
      <c r="M1747" s="181" t="str">
        <f>L1747*(1-K1747)</f>
      </c>
    </row>
    <row r="1748">
      <c r="A1748" t="s">
        <v>164</v>
      </c>
      <c r="B1748" t="s">
        <v>112</v>
      </c>
      <c r="C1748" s="32" t="s">
        <v>297</v>
      </c>
      <c r="D1748" t="s">
        <v>112</v>
      </c>
      <c r="E1748" t="s">
        <v>395</v>
      </c>
      <c r="F1748" s="174" t="n">
        <v>2042</v>
      </c>
      <c r="G1748" s="175" t="n">
        <v>56</v>
      </c>
      <c r="H1748" s="176" t="n">
        <v>15153.1511424919</v>
      </c>
      <c r="I1748" s="177" t="n">
        <v>3891591.24738781</v>
      </c>
      <c r="J1748" s="178" t="str">
        <f>IF(I1748&gt;0,H1748/I1748,0)</f>
      </c>
      <c r="K1748" s="179" t="str">
        <f>1-EXP(-J1748)</f>
      </c>
      <c r="L1748" s="180" t="str">
        <f>IF(G1748=30,1,M1747)</f>
      </c>
      <c r="M1748" s="181" t="str">
        <f>L1748*(1-K1748)</f>
      </c>
    </row>
    <row r="1749">
      <c r="A1749" t="s">
        <v>164</v>
      </c>
      <c r="B1749" t="s">
        <v>112</v>
      </c>
      <c r="C1749" s="32" t="s">
        <v>297</v>
      </c>
      <c r="D1749" t="s">
        <v>112</v>
      </c>
      <c r="E1749" t="s">
        <v>395</v>
      </c>
      <c r="F1749" s="174" t="n">
        <v>2042</v>
      </c>
      <c r="G1749" s="175" t="n">
        <v>57</v>
      </c>
      <c r="H1749" s="176" t="n">
        <v>16661.1602772366</v>
      </c>
      <c r="I1749" s="177" t="n">
        <v>3923034.7522621</v>
      </c>
      <c r="J1749" s="178" t="str">
        <f>IF(I1749&gt;0,H1749/I1749,0)</f>
      </c>
      <c r="K1749" s="179" t="str">
        <f>1-EXP(-J1749)</f>
      </c>
      <c r="L1749" s="180" t="str">
        <f>IF(G1749=30,1,M1748)</f>
      </c>
      <c r="M1749" s="181" t="str">
        <f>L1749*(1-K1749)</f>
      </c>
    </row>
    <row r="1750">
      <c r="A1750" t="s">
        <v>164</v>
      </c>
      <c r="B1750" t="s">
        <v>112</v>
      </c>
      <c r="C1750" s="32" t="s">
        <v>297</v>
      </c>
      <c r="D1750" t="s">
        <v>112</v>
      </c>
      <c r="E1750" t="s">
        <v>395</v>
      </c>
      <c r="F1750" s="174" t="n">
        <v>2042</v>
      </c>
      <c r="G1750" s="175" t="n">
        <v>58</v>
      </c>
      <c r="H1750" s="176" t="n">
        <v>18437.7599849849</v>
      </c>
      <c r="I1750" s="177" t="n">
        <v>3974965.8302749</v>
      </c>
      <c r="J1750" s="178" t="str">
        <f>IF(I1750&gt;0,H1750/I1750,0)</f>
      </c>
      <c r="K1750" s="179" t="str">
        <f>1-EXP(-J1750)</f>
      </c>
      <c r="L1750" s="180" t="str">
        <f>IF(G1750=30,1,M1749)</f>
      </c>
      <c r="M1750" s="181" t="str">
        <f>L1750*(1-K1750)</f>
      </c>
    </row>
    <row r="1751">
      <c r="A1751" t="s">
        <v>164</v>
      </c>
      <c r="B1751" t="s">
        <v>112</v>
      </c>
      <c r="C1751" s="32" t="s">
        <v>297</v>
      </c>
      <c r="D1751" t="s">
        <v>112</v>
      </c>
      <c r="E1751" t="s">
        <v>395</v>
      </c>
      <c r="F1751" s="174" t="n">
        <v>2042</v>
      </c>
      <c r="G1751" s="175" t="n">
        <v>59</v>
      </c>
      <c r="H1751" s="176" t="n">
        <v>19903.9849137002</v>
      </c>
      <c r="I1751" s="177" t="n">
        <v>3923538.953196</v>
      </c>
      <c r="J1751" s="178" t="str">
        <f>IF(I1751&gt;0,H1751/I1751,0)</f>
      </c>
      <c r="K1751" s="179" t="str">
        <f>1-EXP(-J1751)</f>
      </c>
      <c r="L1751" s="180" t="str">
        <f>IF(G1751=30,1,M1750)</f>
      </c>
      <c r="M1751" s="181" t="str">
        <f>L1751*(1-K1751)</f>
      </c>
    </row>
    <row r="1752">
      <c r="A1752" t="s">
        <v>164</v>
      </c>
      <c r="B1752" t="s">
        <v>112</v>
      </c>
      <c r="C1752" s="32" t="s">
        <v>297</v>
      </c>
      <c r="D1752" t="s">
        <v>112</v>
      </c>
      <c r="E1752" t="s">
        <v>395</v>
      </c>
      <c r="F1752" s="174" t="n">
        <v>2042</v>
      </c>
      <c r="G1752" s="175" t="n">
        <v>60</v>
      </c>
      <c r="H1752" s="176" t="n">
        <v>20809.0668024194</v>
      </c>
      <c r="I1752" s="177" t="n">
        <v>3767344.92717726</v>
      </c>
      <c r="J1752" s="178" t="str">
        <f>IF(I1752&gt;0,H1752/I1752,0)</f>
      </c>
      <c r="K1752" s="179" t="str">
        <f>1-EXP(-J1752)</f>
      </c>
      <c r="L1752" s="180" t="str">
        <f>IF(G1752=30,1,M1751)</f>
      </c>
      <c r="M1752" s="181" t="str">
        <f>L1752*(1-K1752)</f>
      </c>
    </row>
    <row r="1753">
      <c r="A1753" t="s">
        <v>164</v>
      </c>
      <c r="B1753" t="s">
        <v>112</v>
      </c>
      <c r="C1753" s="32" t="s">
        <v>297</v>
      </c>
      <c r="D1753" t="s">
        <v>112</v>
      </c>
      <c r="E1753" t="s">
        <v>395</v>
      </c>
      <c r="F1753" s="174" t="n">
        <v>2042</v>
      </c>
      <c r="G1753" s="175" t="n">
        <v>61</v>
      </c>
      <c r="H1753" s="176" t="n">
        <v>22200.188703143</v>
      </c>
      <c r="I1753" s="177" t="n">
        <v>3666899.15867402</v>
      </c>
      <c r="J1753" s="178" t="str">
        <f>IF(I1753&gt;0,H1753/I1753,0)</f>
      </c>
      <c r="K1753" s="179" t="str">
        <f>1-EXP(-J1753)</f>
      </c>
      <c r="L1753" s="180" t="str">
        <f>IF(G1753=30,1,M1752)</f>
      </c>
      <c r="M1753" s="181" t="str">
        <f>L1753*(1-K1753)</f>
      </c>
    </row>
    <row r="1754">
      <c r="A1754" t="s">
        <v>164</v>
      </c>
      <c r="B1754" t="s">
        <v>112</v>
      </c>
      <c r="C1754" s="32" t="s">
        <v>297</v>
      </c>
      <c r="D1754" t="s">
        <v>112</v>
      </c>
      <c r="E1754" t="s">
        <v>395</v>
      </c>
      <c r="F1754" s="174" t="n">
        <v>2042</v>
      </c>
      <c r="G1754" s="175" t="n">
        <v>62</v>
      </c>
      <c r="H1754" s="176" t="n">
        <v>23761.069906679</v>
      </c>
      <c r="I1754" s="177" t="n">
        <v>3579137.55556453</v>
      </c>
      <c r="J1754" s="178" t="str">
        <f>IF(I1754&gt;0,H1754/I1754,0)</f>
      </c>
      <c r="K1754" s="179" t="str">
        <f>1-EXP(-J1754)</f>
      </c>
      <c r="L1754" s="180" t="str">
        <f>IF(G1754=30,1,M1753)</f>
      </c>
      <c r="M1754" s="181" t="str">
        <f>L1754*(1-K1754)</f>
      </c>
    </row>
    <row r="1755">
      <c r="A1755" t="s">
        <v>164</v>
      </c>
      <c r="B1755" t="s">
        <v>112</v>
      </c>
      <c r="C1755" s="32" t="s">
        <v>297</v>
      </c>
      <c r="D1755" t="s">
        <v>112</v>
      </c>
      <c r="E1755" t="s">
        <v>395</v>
      </c>
      <c r="F1755" s="174" t="n">
        <v>2042</v>
      </c>
      <c r="G1755" s="175" t="n">
        <v>63</v>
      </c>
      <c r="H1755" s="176" t="n">
        <v>25369.6441470172</v>
      </c>
      <c r="I1755" s="177" t="n">
        <v>3484537.67448704</v>
      </c>
      <c r="J1755" s="178" t="str">
        <f>IF(I1755&gt;0,H1755/I1755,0)</f>
      </c>
      <c r="K1755" s="179" t="str">
        <f>1-EXP(-J1755)</f>
      </c>
      <c r="L1755" s="180" t="str">
        <f>IF(G1755=30,1,M1754)</f>
      </c>
      <c r="M1755" s="181" t="str">
        <f>L1755*(1-K1755)</f>
      </c>
    </row>
    <row r="1756">
      <c r="A1756" t="s">
        <v>164</v>
      </c>
      <c r="B1756" t="s">
        <v>112</v>
      </c>
      <c r="C1756" s="32" t="s">
        <v>297</v>
      </c>
      <c r="D1756" t="s">
        <v>112</v>
      </c>
      <c r="E1756" t="s">
        <v>395</v>
      </c>
      <c r="F1756" s="174" t="n">
        <v>2042</v>
      </c>
      <c r="G1756" s="175" t="n">
        <v>64</v>
      </c>
      <c r="H1756" s="176" t="n">
        <v>26913.1024601343</v>
      </c>
      <c r="I1756" s="177" t="n">
        <v>3370951.98057979</v>
      </c>
      <c r="J1756" s="178" t="str">
        <f>IF(I1756&gt;0,H1756/I1756,0)</f>
      </c>
      <c r="K1756" s="179" t="str">
        <f>1-EXP(-J1756)</f>
      </c>
      <c r="L1756" s="180" t="str">
        <f>IF(G1756=30,1,M1755)</f>
      </c>
      <c r="M1756" s="181" t="str">
        <f>L1756*(1-K1756)</f>
      </c>
    </row>
    <row r="1757">
      <c r="A1757" t="s">
        <v>164</v>
      </c>
      <c r="B1757" t="s">
        <v>112</v>
      </c>
      <c r="C1757" s="32" t="s">
        <v>297</v>
      </c>
      <c r="D1757" t="s">
        <v>112</v>
      </c>
      <c r="E1757" t="s">
        <v>395</v>
      </c>
      <c r="F1757" s="174" t="n">
        <v>2042</v>
      </c>
      <c r="G1757" s="175" t="n">
        <v>65</v>
      </c>
      <c r="H1757" s="176" t="n">
        <v>27412.3068589955</v>
      </c>
      <c r="I1757" s="177" t="n">
        <v>3269912.9100278</v>
      </c>
      <c r="J1757" s="178" t="str">
        <f>IF(I1757&gt;0,H1757/I1757,0)</f>
      </c>
      <c r="K1757" s="179" t="str">
        <f>1-EXP(-J1757)</f>
      </c>
      <c r="L1757" s="180" t="str">
        <f>IF(G1757=30,1,M1756)</f>
      </c>
      <c r="M1757" s="181" t="str">
        <f>L1757*(1-K1757)</f>
      </c>
    </row>
    <row r="1758">
      <c r="A1758" t="s">
        <v>164</v>
      </c>
      <c r="B1758" t="s">
        <v>112</v>
      </c>
      <c r="C1758" s="32" t="s">
        <v>297</v>
      </c>
      <c r="D1758" t="s">
        <v>112</v>
      </c>
      <c r="E1758" t="s">
        <v>395</v>
      </c>
      <c r="F1758" s="174" t="n">
        <v>2042</v>
      </c>
      <c r="G1758" s="175" t="n">
        <v>66</v>
      </c>
      <c r="H1758" s="176" t="n">
        <v>29050.1967710517</v>
      </c>
      <c r="I1758" s="177" t="n">
        <v>3157919.1706857</v>
      </c>
      <c r="J1758" s="178" t="str">
        <f>IF(I1758&gt;0,H1758/I1758,0)</f>
      </c>
      <c r="K1758" s="179" t="str">
        <f>1-EXP(-J1758)</f>
      </c>
      <c r="L1758" s="180" t="str">
        <f>IF(G1758=30,1,M1757)</f>
      </c>
      <c r="M1758" s="181" t="str">
        <f>L1758*(1-K1758)</f>
      </c>
    </row>
    <row r="1759">
      <c r="A1759" t="s">
        <v>164</v>
      </c>
      <c r="B1759" t="s">
        <v>112</v>
      </c>
      <c r="C1759" s="32" t="s">
        <v>297</v>
      </c>
      <c r="D1759" t="s">
        <v>112</v>
      </c>
      <c r="E1759" t="s">
        <v>395</v>
      </c>
      <c r="F1759" s="174" t="n">
        <v>2042</v>
      </c>
      <c r="G1759" s="175" t="n">
        <v>67</v>
      </c>
      <c r="H1759" s="176" t="n">
        <v>30726.0158292393</v>
      </c>
      <c r="I1759" s="177" t="n">
        <v>3042932.49953485</v>
      </c>
      <c r="J1759" s="178" t="str">
        <f>IF(I1759&gt;0,H1759/I1759,0)</f>
      </c>
      <c r="K1759" s="179" t="str">
        <f>1-EXP(-J1759)</f>
      </c>
      <c r="L1759" s="180" t="str">
        <f>IF(G1759=30,1,M1758)</f>
      </c>
      <c r="M1759" s="181" t="str">
        <f>L1759*(1-K1759)</f>
      </c>
    </row>
    <row r="1760">
      <c r="A1760" t="s">
        <v>164</v>
      </c>
      <c r="B1760" t="s">
        <v>112</v>
      </c>
      <c r="C1760" s="32" t="s">
        <v>297</v>
      </c>
      <c r="D1760" t="s">
        <v>112</v>
      </c>
      <c r="E1760" t="s">
        <v>395</v>
      </c>
      <c r="F1760" s="174" t="n">
        <v>2042</v>
      </c>
      <c r="G1760" s="175" t="n">
        <v>68</v>
      </c>
      <c r="H1760" s="176" t="n">
        <v>32204.1606839096</v>
      </c>
      <c r="I1760" s="177" t="n">
        <v>2903562.96976797</v>
      </c>
      <c r="J1760" s="178" t="str">
        <f>IF(I1760&gt;0,H1760/I1760,0)</f>
      </c>
      <c r="K1760" s="179" t="str">
        <f>1-EXP(-J1760)</f>
      </c>
      <c r="L1760" s="180" t="str">
        <f>IF(G1760=30,1,M1759)</f>
      </c>
      <c r="M1760" s="181" t="str">
        <f>L1760*(1-K1760)</f>
      </c>
    </row>
    <row r="1761">
      <c r="A1761" t="s">
        <v>164</v>
      </c>
      <c r="B1761" t="s">
        <v>112</v>
      </c>
      <c r="C1761" s="32" t="s">
        <v>297</v>
      </c>
      <c r="D1761" t="s">
        <v>112</v>
      </c>
      <c r="E1761" t="s">
        <v>395</v>
      </c>
      <c r="F1761" s="174" t="n">
        <v>2042</v>
      </c>
      <c r="G1761" s="175" t="n">
        <v>69</v>
      </c>
      <c r="H1761" s="176" t="n">
        <v>34282.4131936562</v>
      </c>
      <c r="I1761" s="177" t="n">
        <v>2811560.52633996</v>
      </c>
      <c r="J1761" s="178" t="str">
        <f>IF(I1761&gt;0,H1761/I1761,0)</f>
      </c>
      <c r="K1761" s="179" t="str">
        <f>1-EXP(-J1761)</f>
      </c>
      <c r="L1761" s="180" t="str">
        <f>IF(G1761=30,1,M1760)</f>
      </c>
      <c r="M1761" s="181" t="str">
        <f>L1761*(1-K1761)</f>
      </c>
    </row>
    <row r="1762">
      <c r="A1762" t="s">
        <v>164</v>
      </c>
      <c r="B1762" t="s">
        <v>112</v>
      </c>
      <c r="C1762" s="32" t="s">
        <v>297</v>
      </c>
      <c r="D1762" t="s">
        <v>112</v>
      </c>
      <c r="E1762" t="s">
        <v>395</v>
      </c>
      <c r="F1762" s="174" t="n">
        <v>2043</v>
      </c>
      <c r="G1762" s="175" t="n">
        <v>30</v>
      </c>
      <c r="H1762" s="176" t="n">
        <v>760.863879941437</v>
      </c>
      <c r="I1762" s="177" t="n">
        <v>4787827.15360766</v>
      </c>
      <c r="J1762" s="178" t="str">
        <f>IF(I1762&gt;0,H1762/I1762,0)</f>
      </c>
      <c r="K1762" s="179" t="str">
        <f>1-EXP(-J1762)</f>
      </c>
      <c r="L1762" s="180" t="str">
        <f>IF(G1762=30,1,M1761)</f>
      </c>
      <c r="M1762" s="181" t="str">
        <f>L1762*(1-K1762)</f>
      </c>
    </row>
    <row r="1763">
      <c r="A1763" t="s">
        <v>164</v>
      </c>
      <c r="B1763" t="s">
        <v>112</v>
      </c>
      <c r="C1763" s="32" t="s">
        <v>297</v>
      </c>
      <c r="D1763" t="s">
        <v>112</v>
      </c>
      <c r="E1763" t="s">
        <v>395</v>
      </c>
      <c r="F1763" s="174" t="n">
        <v>2043</v>
      </c>
      <c r="G1763" s="175" t="n">
        <v>31</v>
      </c>
      <c r="H1763" s="176" t="n">
        <v>1072.92394051075</v>
      </c>
      <c r="I1763" s="177" t="n">
        <v>4900819.38168784</v>
      </c>
      <c r="J1763" s="178" t="str">
        <f>IF(I1763&gt;0,H1763/I1763,0)</f>
      </c>
      <c r="K1763" s="179" t="str">
        <f>1-EXP(-J1763)</f>
      </c>
      <c r="L1763" s="180" t="str">
        <f>IF(G1763=30,1,M1762)</f>
      </c>
      <c r="M1763" s="181" t="str">
        <f>L1763*(1-K1763)</f>
      </c>
    </row>
    <row r="1764">
      <c r="A1764" t="s">
        <v>164</v>
      </c>
      <c r="B1764" t="s">
        <v>112</v>
      </c>
      <c r="C1764" s="32" t="s">
        <v>297</v>
      </c>
      <c r="D1764" t="s">
        <v>112</v>
      </c>
      <c r="E1764" t="s">
        <v>395</v>
      </c>
      <c r="F1764" s="174" t="n">
        <v>2043</v>
      </c>
      <c r="G1764" s="175" t="n">
        <v>32</v>
      </c>
      <c r="H1764" s="176" t="n">
        <v>1122.90402047591</v>
      </c>
      <c r="I1764" s="177" t="n">
        <v>4872783.35961011</v>
      </c>
      <c r="J1764" s="178" t="str">
        <f>IF(I1764&gt;0,H1764/I1764,0)</f>
      </c>
      <c r="K1764" s="179" t="str">
        <f>1-EXP(-J1764)</f>
      </c>
      <c r="L1764" s="180" t="str">
        <f>IF(G1764=30,1,M1763)</f>
      </c>
      <c r="M1764" s="181" t="str">
        <f>L1764*(1-K1764)</f>
      </c>
    </row>
    <row r="1765">
      <c r="A1765" t="s">
        <v>164</v>
      </c>
      <c r="B1765" t="s">
        <v>112</v>
      </c>
      <c r="C1765" s="32" t="s">
        <v>297</v>
      </c>
      <c r="D1765" t="s">
        <v>112</v>
      </c>
      <c r="E1765" t="s">
        <v>395</v>
      </c>
      <c r="F1765" s="174" t="n">
        <v>2043</v>
      </c>
      <c r="G1765" s="175" t="n">
        <v>33</v>
      </c>
      <c r="H1765" s="176" t="n">
        <v>1156.0737736527</v>
      </c>
      <c r="I1765" s="177" t="n">
        <v>4738963.56839846</v>
      </c>
      <c r="J1765" s="178" t="str">
        <f>IF(I1765&gt;0,H1765/I1765,0)</f>
      </c>
      <c r="K1765" s="179" t="str">
        <f>1-EXP(-J1765)</f>
      </c>
      <c r="L1765" s="180" t="str">
        <f>IF(G1765=30,1,M1764)</f>
      </c>
      <c r="M1765" s="181" t="str">
        <f>L1765*(1-K1765)</f>
      </c>
    </row>
    <row r="1766">
      <c r="A1766" t="s">
        <v>164</v>
      </c>
      <c r="B1766" t="s">
        <v>112</v>
      </c>
      <c r="C1766" s="32" t="s">
        <v>297</v>
      </c>
      <c r="D1766" t="s">
        <v>112</v>
      </c>
      <c r="E1766" t="s">
        <v>395</v>
      </c>
      <c r="F1766" s="174" t="n">
        <v>2043</v>
      </c>
      <c r="G1766" s="175" t="n">
        <v>34</v>
      </c>
      <c r="H1766" s="176" t="n">
        <v>1212.88258953234</v>
      </c>
      <c r="I1766" s="177" t="n">
        <v>4667927.23052976</v>
      </c>
      <c r="J1766" s="178" t="str">
        <f>IF(I1766&gt;0,H1766/I1766,0)</f>
      </c>
      <c r="K1766" s="179" t="str">
        <f>1-EXP(-J1766)</f>
      </c>
      <c r="L1766" s="180" t="str">
        <f>IF(G1766=30,1,M1765)</f>
      </c>
      <c r="M1766" s="181" t="str">
        <f>L1766*(1-K1766)</f>
      </c>
    </row>
    <row r="1767">
      <c r="A1767" t="s">
        <v>164</v>
      </c>
      <c r="B1767" t="s">
        <v>112</v>
      </c>
      <c r="C1767" s="32" t="s">
        <v>297</v>
      </c>
      <c r="D1767" t="s">
        <v>112</v>
      </c>
      <c r="E1767" t="s">
        <v>395</v>
      </c>
      <c r="F1767" s="174" t="n">
        <v>2043</v>
      </c>
      <c r="G1767" s="175" t="n">
        <v>35</v>
      </c>
      <c r="H1767" s="176" t="n">
        <v>1583.7680188883</v>
      </c>
      <c r="I1767" s="177" t="n">
        <v>4624759.40526986</v>
      </c>
      <c r="J1767" s="178" t="str">
        <f>IF(I1767&gt;0,H1767/I1767,0)</f>
      </c>
      <c r="K1767" s="179" t="str">
        <f>1-EXP(-J1767)</f>
      </c>
      <c r="L1767" s="180" t="str">
        <f>IF(G1767=30,1,M1766)</f>
      </c>
      <c r="M1767" s="181" t="str">
        <f>L1767*(1-K1767)</f>
      </c>
    </row>
    <row r="1768">
      <c r="A1768" t="s">
        <v>164</v>
      </c>
      <c r="B1768" t="s">
        <v>112</v>
      </c>
      <c r="C1768" s="32" t="s">
        <v>297</v>
      </c>
      <c r="D1768" t="s">
        <v>112</v>
      </c>
      <c r="E1768" t="s">
        <v>395</v>
      </c>
      <c r="F1768" s="174" t="n">
        <v>2043</v>
      </c>
      <c r="G1768" s="175" t="n">
        <v>36</v>
      </c>
      <c r="H1768" s="176" t="n">
        <v>1927.72976143093</v>
      </c>
      <c r="I1768" s="177" t="n">
        <v>4649234.55371338</v>
      </c>
      <c r="J1768" s="178" t="str">
        <f>IF(I1768&gt;0,H1768/I1768,0)</f>
      </c>
      <c r="K1768" s="179" t="str">
        <f>1-EXP(-J1768)</f>
      </c>
      <c r="L1768" s="180" t="str">
        <f>IF(G1768=30,1,M1767)</f>
      </c>
      <c r="M1768" s="181" t="str">
        <f>L1768*(1-K1768)</f>
      </c>
    </row>
    <row r="1769">
      <c r="A1769" t="s">
        <v>164</v>
      </c>
      <c r="B1769" t="s">
        <v>112</v>
      </c>
      <c r="C1769" s="32" t="s">
        <v>297</v>
      </c>
      <c r="D1769" t="s">
        <v>112</v>
      </c>
      <c r="E1769" t="s">
        <v>395</v>
      </c>
      <c r="F1769" s="174" t="n">
        <v>2043</v>
      </c>
      <c r="G1769" s="175" t="n">
        <v>37</v>
      </c>
      <c r="H1769" s="176" t="n">
        <v>2033.7448872131</v>
      </c>
      <c r="I1769" s="177" t="n">
        <v>4565228.01887072</v>
      </c>
      <c r="J1769" s="178" t="str">
        <f>IF(I1769&gt;0,H1769/I1769,0)</f>
      </c>
      <c r="K1769" s="179" t="str">
        <f>1-EXP(-J1769)</f>
      </c>
      <c r="L1769" s="180" t="str">
        <f>IF(G1769=30,1,M1768)</f>
      </c>
      <c r="M1769" s="181" t="str">
        <f>L1769*(1-K1769)</f>
      </c>
    </row>
    <row r="1770">
      <c r="A1770" t="s">
        <v>164</v>
      </c>
      <c r="B1770" t="s">
        <v>112</v>
      </c>
      <c r="C1770" s="32" t="s">
        <v>297</v>
      </c>
      <c r="D1770" t="s">
        <v>112</v>
      </c>
      <c r="E1770" t="s">
        <v>395</v>
      </c>
      <c r="F1770" s="174" t="n">
        <v>2043</v>
      </c>
      <c r="G1770" s="175" t="n">
        <v>38</v>
      </c>
      <c r="H1770" s="176" t="n">
        <v>2162.26947030603</v>
      </c>
      <c r="I1770" s="177" t="n">
        <v>4502755.32383822</v>
      </c>
      <c r="J1770" s="178" t="str">
        <f>IF(I1770&gt;0,H1770/I1770,0)</f>
      </c>
      <c r="K1770" s="179" t="str">
        <f>1-EXP(-J1770)</f>
      </c>
      <c r="L1770" s="180" t="str">
        <f>IF(G1770=30,1,M1769)</f>
      </c>
      <c r="M1770" s="181" t="str">
        <f>L1770*(1-K1770)</f>
      </c>
    </row>
    <row r="1771">
      <c r="A1771" t="s">
        <v>164</v>
      </c>
      <c r="B1771" t="s">
        <v>112</v>
      </c>
      <c r="C1771" s="32" t="s">
        <v>297</v>
      </c>
      <c r="D1771" t="s">
        <v>112</v>
      </c>
      <c r="E1771" t="s">
        <v>395</v>
      </c>
      <c r="F1771" s="174" t="n">
        <v>2043</v>
      </c>
      <c r="G1771" s="175" t="n">
        <v>39</v>
      </c>
      <c r="H1771" s="176" t="n">
        <v>2269.75427085049</v>
      </c>
      <c r="I1771" s="177" t="n">
        <v>4372884.00805107</v>
      </c>
      <c r="J1771" s="178" t="str">
        <f>IF(I1771&gt;0,H1771/I1771,0)</f>
      </c>
      <c r="K1771" s="179" t="str">
        <f>1-EXP(-J1771)</f>
      </c>
      <c r="L1771" s="180" t="str">
        <f>IF(G1771=30,1,M1770)</f>
      </c>
      <c r="M1771" s="181" t="str">
        <f>L1771*(1-K1771)</f>
      </c>
    </row>
    <row r="1772">
      <c r="A1772" t="s">
        <v>164</v>
      </c>
      <c r="B1772" t="s">
        <v>112</v>
      </c>
      <c r="C1772" s="32" t="s">
        <v>297</v>
      </c>
      <c r="D1772" t="s">
        <v>112</v>
      </c>
      <c r="E1772" t="s">
        <v>395</v>
      </c>
      <c r="F1772" s="174" t="n">
        <v>2043</v>
      </c>
      <c r="G1772" s="175" t="n">
        <v>40</v>
      </c>
      <c r="H1772" s="176" t="n">
        <v>3005.59033895774</v>
      </c>
      <c r="I1772" s="177" t="n">
        <v>4305230.79898206</v>
      </c>
      <c r="J1772" s="178" t="str">
        <f>IF(I1772&gt;0,H1772/I1772,0)</f>
      </c>
      <c r="K1772" s="179" t="str">
        <f>1-EXP(-J1772)</f>
      </c>
      <c r="L1772" s="180" t="str">
        <f>IF(G1772=30,1,M1771)</f>
      </c>
      <c r="M1772" s="181" t="str">
        <f>L1772*(1-K1772)</f>
      </c>
    </row>
    <row r="1773">
      <c r="A1773" t="s">
        <v>164</v>
      </c>
      <c r="B1773" t="s">
        <v>112</v>
      </c>
      <c r="C1773" s="32" t="s">
        <v>297</v>
      </c>
      <c r="D1773" t="s">
        <v>112</v>
      </c>
      <c r="E1773" t="s">
        <v>395</v>
      </c>
      <c r="F1773" s="174" t="n">
        <v>2043</v>
      </c>
      <c r="G1773" s="175" t="n">
        <v>41</v>
      </c>
      <c r="H1773" s="176" t="n">
        <v>3517.122710063</v>
      </c>
      <c r="I1773" s="177" t="n">
        <v>4278610.96928338</v>
      </c>
      <c r="J1773" s="178" t="str">
        <f>IF(I1773&gt;0,H1773/I1773,0)</f>
      </c>
      <c r="K1773" s="179" t="str">
        <f>1-EXP(-J1773)</f>
      </c>
      <c r="L1773" s="180" t="str">
        <f>IF(G1773=30,1,M1772)</f>
      </c>
      <c r="M1773" s="181" t="str">
        <f>L1773*(1-K1773)</f>
      </c>
    </row>
    <row r="1774">
      <c r="A1774" t="s">
        <v>164</v>
      </c>
      <c r="B1774" t="s">
        <v>112</v>
      </c>
      <c r="C1774" s="32" t="s">
        <v>297</v>
      </c>
      <c r="D1774" t="s">
        <v>112</v>
      </c>
      <c r="E1774" t="s">
        <v>395</v>
      </c>
      <c r="F1774" s="174" t="n">
        <v>2043</v>
      </c>
      <c r="G1774" s="175" t="n">
        <v>42</v>
      </c>
      <c r="H1774" s="176" t="n">
        <v>3791.86332132092</v>
      </c>
      <c r="I1774" s="177" t="n">
        <v>4254695.60180598</v>
      </c>
      <c r="J1774" s="178" t="str">
        <f>IF(I1774&gt;0,H1774/I1774,0)</f>
      </c>
      <c r="K1774" s="179" t="str">
        <f>1-EXP(-J1774)</f>
      </c>
      <c r="L1774" s="180" t="str">
        <f>IF(G1774=30,1,M1773)</f>
      </c>
      <c r="M1774" s="181" t="str">
        <f>L1774*(1-K1774)</f>
      </c>
    </row>
    <row r="1775">
      <c r="A1775" t="s">
        <v>164</v>
      </c>
      <c r="B1775" t="s">
        <v>112</v>
      </c>
      <c r="C1775" s="32" t="s">
        <v>297</v>
      </c>
      <c r="D1775" t="s">
        <v>112</v>
      </c>
      <c r="E1775" t="s">
        <v>395</v>
      </c>
      <c r="F1775" s="174" t="n">
        <v>2043</v>
      </c>
      <c r="G1775" s="175" t="n">
        <v>43</v>
      </c>
      <c r="H1775" s="176" t="n">
        <v>4097.92028327434</v>
      </c>
      <c r="I1775" s="177" t="n">
        <v>4229991.80902527</v>
      </c>
      <c r="J1775" s="178" t="str">
        <f>IF(I1775&gt;0,H1775/I1775,0)</f>
      </c>
      <c r="K1775" s="179" t="str">
        <f>1-EXP(-J1775)</f>
      </c>
      <c r="L1775" s="180" t="str">
        <f>IF(G1775=30,1,M1774)</f>
      </c>
      <c r="M1775" s="181" t="str">
        <f>L1775*(1-K1775)</f>
      </c>
    </row>
    <row r="1776">
      <c r="A1776" t="s">
        <v>164</v>
      </c>
      <c r="B1776" t="s">
        <v>112</v>
      </c>
      <c r="C1776" s="32" t="s">
        <v>297</v>
      </c>
      <c r="D1776" t="s">
        <v>112</v>
      </c>
      <c r="E1776" t="s">
        <v>395</v>
      </c>
      <c r="F1776" s="174" t="n">
        <v>2043</v>
      </c>
      <c r="G1776" s="175" t="n">
        <v>44</v>
      </c>
      <c r="H1776" s="176" t="n">
        <v>4479.41266624944</v>
      </c>
      <c r="I1776" s="177" t="n">
        <v>4243649.75485795</v>
      </c>
      <c r="J1776" s="178" t="str">
        <f>IF(I1776&gt;0,H1776/I1776,0)</f>
      </c>
      <c r="K1776" s="179" t="str">
        <f>1-EXP(-J1776)</f>
      </c>
      <c r="L1776" s="180" t="str">
        <f>IF(G1776=30,1,M1775)</f>
      </c>
      <c r="M1776" s="181" t="str">
        <f>L1776*(1-K1776)</f>
      </c>
    </row>
    <row r="1777">
      <c r="A1777" t="s">
        <v>164</v>
      </c>
      <c r="B1777" t="s">
        <v>112</v>
      </c>
      <c r="C1777" s="32" t="s">
        <v>297</v>
      </c>
      <c r="D1777" t="s">
        <v>112</v>
      </c>
      <c r="E1777" t="s">
        <v>395</v>
      </c>
      <c r="F1777" s="174" t="n">
        <v>2043</v>
      </c>
      <c r="G1777" s="175" t="n">
        <v>45</v>
      </c>
      <c r="H1777" s="176" t="n">
        <v>5823.11759655526</v>
      </c>
      <c r="I1777" s="177" t="n">
        <v>4294876.28496861</v>
      </c>
      <c r="J1777" s="178" t="str">
        <f>IF(I1777&gt;0,H1777/I1777,0)</f>
      </c>
      <c r="K1777" s="179" t="str">
        <f>1-EXP(-J1777)</f>
      </c>
      <c r="L1777" s="180" t="str">
        <f>IF(G1777=30,1,M1776)</f>
      </c>
      <c r="M1777" s="181" t="str">
        <f>L1777*(1-K1777)</f>
      </c>
    </row>
    <row r="1778">
      <c r="A1778" t="s">
        <v>164</v>
      </c>
      <c r="B1778" t="s">
        <v>112</v>
      </c>
      <c r="C1778" s="32" t="s">
        <v>297</v>
      </c>
      <c r="D1778" t="s">
        <v>112</v>
      </c>
      <c r="E1778" t="s">
        <v>395</v>
      </c>
      <c r="F1778" s="174" t="n">
        <v>2043</v>
      </c>
      <c r="G1778" s="175" t="n">
        <v>46</v>
      </c>
      <c r="H1778" s="176" t="n">
        <v>6818.52171183183</v>
      </c>
      <c r="I1778" s="177" t="n">
        <v>4419242.28971904</v>
      </c>
      <c r="J1778" s="178" t="str">
        <f>IF(I1778&gt;0,H1778/I1778,0)</f>
      </c>
      <c r="K1778" s="179" t="str">
        <f>1-EXP(-J1778)</f>
      </c>
      <c r="L1778" s="180" t="str">
        <f>IF(G1778=30,1,M1777)</f>
      </c>
      <c r="M1778" s="181" t="str">
        <f>L1778*(1-K1778)</f>
      </c>
    </row>
    <row r="1779">
      <c r="A1779" t="s">
        <v>164</v>
      </c>
      <c r="B1779" t="s">
        <v>112</v>
      </c>
      <c r="C1779" s="32" t="s">
        <v>297</v>
      </c>
      <c r="D1779" t="s">
        <v>112</v>
      </c>
      <c r="E1779" t="s">
        <v>395</v>
      </c>
      <c r="F1779" s="174" t="n">
        <v>2043</v>
      </c>
      <c r="G1779" s="175" t="n">
        <v>47</v>
      </c>
      <c r="H1779" s="176" t="n">
        <v>7371.45949300862</v>
      </c>
      <c r="I1779" s="177" t="n">
        <v>4367738.4937336</v>
      </c>
      <c r="J1779" s="178" t="str">
        <f>IF(I1779&gt;0,H1779/I1779,0)</f>
      </c>
      <c r="K1779" s="179" t="str">
        <f>1-EXP(-J1779)</f>
      </c>
      <c r="L1779" s="180" t="str">
        <f>IF(G1779=30,1,M1778)</f>
      </c>
      <c r="M1779" s="181" t="str">
        <f>L1779*(1-K1779)</f>
      </c>
    </row>
    <row r="1780">
      <c r="A1780" t="s">
        <v>164</v>
      </c>
      <c r="B1780" t="s">
        <v>112</v>
      </c>
      <c r="C1780" s="32" t="s">
        <v>297</v>
      </c>
      <c r="D1780" t="s">
        <v>112</v>
      </c>
      <c r="E1780" t="s">
        <v>395</v>
      </c>
      <c r="F1780" s="174" t="n">
        <v>2043</v>
      </c>
      <c r="G1780" s="175" t="n">
        <v>48</v>
      </c>
      <c r="H1780" s="176" t="n">
        <v>7922.93491417187</v>
      </c>
      <c r="I1780" s="177" t="n">
        <v>4286075.78334054</v>
      </c>
      <c r="J1780" s="178" t="str">
        <f>IF(I1780&gt;0,H1780/I1780,0)</f>
      </c>
      <c r="K1780" s="179" t="str">
        <f>1-EXP(-J1780)</f>
      </c>
      <c r="L1780" s="180" t="str">
        <f>IF(G1780=30,1,M1779)</f>
      </c>
      <c r="M1780" s="181" t="str">
        <f>L1780*(1-K1780)</f>
      </c>
    </row>
    <row r="1781">
      <c r="A1781" t="s">
        <v>164</v>
      </c>
      <c r="B1781" t="s">
        <v>112</v>
      </c>
      <c r="C1781" s="32" t="s">
        <v>297</v>
      </c>
      <c r="D1781" t="s">
        <v>112</v>
      </c>
      <c r="E1781" t="s">
        <v>395</v>
      </c>
      <c r="F1781" s="174" t="n">
        <v>2043</v>
      </c>
      <c r="G1781" s="175" t="n">
        <v>49</v>
      </c>
      <c r="H1781" s="176" t="n">
        <v>8546.59025813672</v>
      </c>
      <c r="I1781" s="177" t="n">
        <v>4218750.28826823</v>
      </c>
      <c r="J1781" s="178" t="str">
        <f>IF(I1781&gt;0,H1781/I1781,0)</f>
      </c>
      <c r="K1781" s="179" t="str">
        <f>1-EXP(-J1781)</f>
      </c>
      <c r="L1781" s="180" t="str">
        <f>IF(G1781=30,1,M1780)</f>
      </c>
      <c r="M1781" s="181" t="str">
        <f>L1781*(1-K1781)</f>
      </c>
    </row>
    <row r="1782">
      <c r="A1782" t="s">
        <v>164</v>
      </c>
      <c r="B1782" t="s">
        <v>112</v>
      </c>
      <c r="C1782" s="32" t="s">
        <v>297</v>
      </c>
      <c r="D1782" t="s">
        <v>112</v>
      </c>
      <c r="E1782" t="s">
        <v>395</v>
      </c>
      <c r="F1782" s="174" t="n">
        <v>2043</v>
      </c>
      <c r="G1782" s="175" t="n">
        <v>50</v>
      </c>
      <c r="H1782" s="176" t="n">
        <v>9633.69188040343</v>
      </c>
      <c r="I1782" s="177" t="n">
        <v>4153884.63956648</v>
      </c>
      <c r="J1782" s="178" t="str">
        <f>IF(I1782&gt;0,H1782/I1782,0)</f>
      </c>
      <c r="K1782" s="179" t="str">
        <f>1-EXP(-J1782)</f>
      </c>
      <c r="L1782" s="180" t="str">
        <f>IF(G1782=30,1,M1781)</f>
      </c>
      <c r="M1782" s="181" t="str">
        <f>L1782*(1-K1782)</f>
      </c>
    </row>
    <row r="1783">
      <c r="A1783" t="s">
        <v>164</v>
      </c>
      <c r="B1783" t="s">
        <v>112</v>
      </c>
      <c r="C1783" s="32" t="s">
        <v>297</v>
      </c>
      <c r="D1783" t="s">
        <v>112</v>
      </c>
      <c r="E1783" t="s">
        <v>395</v>
      </c>
      <c r="F1783" s="174" t="n">
        <v>2043</v>
      </c>
      <c r="G1783" s="175" t="n">
        <v>51</v>
      </c>
      <c r="H1783" s="176" t="n">
        <v>10579.8354388917</v>
      </c>
      <c r="I1783" s="177" t="n">
        <v>4174952.71350619</v>
      </c>
      <c r="J1783" s="178" t="str">
        <f>IF(I1783&gt;0,H1783/I1783,0)</f>
      </c>
      <c r="K1783" s="179" t="str">
        <f>1-EXP(-J1783)</f>
      </c>
      <c r="L1783" s="180" t="str">
        <f>IF(G1783=30,1,M1782)</f>
      </c>
      <c r="M1783" s="181" t="str">
        <f>L1783*(1-K1783)</f>
      </c>
    </row>
    <row r="1784">
      <c r="A1784" t="s">
        <v>164</v>
      </c>
      <c r="B1784" t="s">
        <v>112</v>
      </c>
      <c r="C1784" s="32" t="s">
        <v>297</v>
      </c>
      <c r="D1784" t="s">
        <v>112</v>
      </c>
      <c r="E1784" t="s">
        <v>395</v>
      </c>
      <c r="F1784" s="174" t="n">
        <v>2043</v>
      </c>
      <c r="G1784" s="175" t="n">
        <v>52</v>
      </c>
      <c r="H1784" s="176" t="n">
        <v>11561.7498796417</v>
      </c>
      <c r="I1784" s="177" t="n">
        <v>4175899.06505969</v>
      </c>
      <c r="J1784" s="178" t="str">
        <f>IF(I1784&gt;0,H1784/I1784,0)</f>
      </c>
      <c r="K1784" s="179" t="str">
        <f>1-EXP(-J1784)</f>
      </c>
      <c r="L1784" s="180" t="str">
        <f>IF(G1784=30,1,M1783)</f>
      </c>
      <c r="M1784" s="181" t="str">
        <f>L1784*(1-K1784)</f>
      </c>
    </row>
    <row r="1785">
      <c r="A1785" t="s">
        <v>164</v>
      </c>
      <c r="B1785" t="s">
        <v>112</v>
      </c>
      <c r="C1785" s="32" t="s">
        <v>297</v>
      </c>
      <c r="D1785" t="s">
        <v>112</v>
      </c>
      <c r="E1785" t="s">
        <v>395</v>
      </c>
      <c r="F1785" s="174" t="n">
        <v>2043</v>
      </c>
      <c r="G1785" s="175" t="n">
        <v>53</v>
      </c>
      <c r="H1785" s="176" t="n">
        <v>16816.4039840856</v>
      </c>
      <c r="I1785" s="177" t="n">
        <v>6140542.80186185</v>
      </c>
      <c r="J1785" s="178" t="str">
        <f>IF(I1785&gt;0,H1785/I1785,0)</f>
      </c>
      <c r="K1785" s="179" t="str">
        <f>1-EXP(-J1785)</f>
      </c>
      <c r="L1785" s="180" t="str">
        <f>IF(G1785=30,1,M1784)</f>
      </c>
      <c r="M1785" s="181" t="str">
        <f>L1785*(1-K1785)</f>
      </c>
    </row>
    <row r="1786">
      <c r="A1786" t="s">
        <v>164</v>
      </c>
      <c r="B1786" t="s">
        <v>112</v>
      </c>
      <c r="C1786" s="32" t="s">
        <v>297</v>
      </c>
      <c r="D1786" t="s">
        <v>112</v>
      </c>
      <c r="E1786" t="s">
        <v>395</v>
      </c>
      <c r="F1786" s="174" t="n">
        <v>2043</v>
      </c>
      <c r="G1786" s="175" t="n">
        <v>54</v>
      </c>
      <c r="H1786" s="176" t="n">
        <v>13484.5756842975</v>
      </c>
      <c r="I1786" s="177" t="n">
        <v>4099174.0517466</v>
      </c>
      <c r="J1786" s="178" t="str">
        <f>IF(I1786&gt;0,H1786/I1786,0)</f>
      </c>
      <c r="K1786" s="179" t="str">
        <f>1-EXP(-J1786)</f>
      </c>
      <c r="L1786" s="180" t="str">
        <f>IF(G1786=30,1,M1785)</f>
      </c>
      <c r="M1786" s="181" t="str">
        <f>L1786*(1-K1786)</f>
      </c>
    </row>
    <row r="1787">
      <c r="A1787" t="s">
        <v>164</v>
      </c>
      <c r="B1787" t="s">
        <v>112</v>
      </c>
      <c r="C1787" s="32" t="s">
        <v>297</v>
      </c>
      <c r="D1787" t="s">
        <v>112</v>
      </c>
      <c r="E1787" t="s">
        <v>395</v>
      </c>
      <c r="F1787" s="174" t="n">
        <v>2043</v>
      </c>
      <c r="G1787" s="175" t="n">
        <v>55</v>
      </c>
      <c r="H1787" s="176" t="n">
        <v>14374.3281700992</v>
      </c>
      <c r="I1787" s="177" t="n">
        <v>4062203.73381782</v>
      </c>
      <c r="J1787" s="178" t="str">
        <f>IF(I1787&gt;0,H1787/I1787,0)</f>
      </c>
      <c r="K1787" s="179" t="str">
        <f>1-EXP(-J1787)</f>
      </c>
      <c r="L1787" s="180" t="str">
        <f>IF(G1787=30,1,M1786)</f>
      </c>
      <c r="M1787" s="181" t="str">
        <f>L1787*(1-K1787)</f>
      </c>
    </row>
    <row r="1788">
      <c r="A1788" t="s">
        <v>164</v>
      </c>
      <c r="B1788" t="s">
        <v>112</v>
      </c>
      <c r="C1788" s="32" t="s">
        <v>297</v>
      </c>
      <c r="D1788" t="s">
        <v>112</v>
      </c>
      <c r="E1788" t="s">
        <v>395</v>
      </c>
      <c r="F1788" s="174" t="n">
        <v>2043</v>
      </c>
      <c r="G1788" s="175" t="n">
        <v>56</v>
      </c>
      <c r="H1788" s="176" t="n">
        <v>15095.0169091129</v>
      </c>
      <c r="I1788" s="177" t="n">
        <v>3915227.74174175</v>
      </c>
      <c r="J1788" s="178" t="str">
        <f>IF(I1788&gt;0,H1788/I1788,0)</f>
      </c>
      <c r="K1788" s="179" t="str">
        <f>1-EXP(-J1788)</f>
      </c>
      <c r="L1788" s="180" t="str">
        <f>IF(G1788=30,1,M1787)</f>
      </c>
      <c r="M1788" s="181" t="str">
        <f>L1788*(1-K1788)</f>
      </c>
    </row>
    <row r="1789">
      <c r="A1789" t="s">
        <v>164</v>
      </c>
      <c r="B1789" t="s">
        <v>112</v>
      </c>
      <c r="C1789" s="32" t="s">
        <v>297</v>
      </c>
      <c r="D1789" t="s">
        <v>112</v>
      </c>
      <c r="E1789" t="s">
        <v>395</v>
      </c>
      <c r="F1789" s="174" t="n">
        <v>2043</v>
      </c>
      <c r="G1789" s="175" t="n">
        <v>57</v>
      </c>
      <c r="H1789" s="176" t="n">
        <v>16220.3172511005</v>
      </c>
      <c r="I1789" s="177" t="n">
        <v>3858762.21231759</v>
      </c>
      <c r="J1789" s="178" t="str">
        <f>IF(I1789&gt;0,H1789/I1789,0)</f>
      </c>
      <c r="K1789" s="179" t="str">
        <f>1-EXP(-J1789)</f>
      </c>
      <c r="L1789" s="180" t="str">
        <f>IF(G1789=30,1,M1788)</f>
      </c>
      <c r="M1789" s="181" t="str">
        <f>L1789*(1-K1789)</f>
      </c>
    </row>
    <row r="1790">
      <c r="A1790" t="s">
        <v>164</v>
      </c>
      <c r="B1790" t="s">
        <v>112</v>
      </c>
      <c r="C1790" s="32" t="s">
        <v>297</v>
      </c>
      <c r="D1790" t="s">
        <v>112</v>
      </c>
      <c r="E1790" t="s">
        <v>395</v>
      </c>
      <c r="F1790" s="174" t="n">
        <v>2043</v>
      </c>
      <c r="G1790" s="175" t="n">
        <v>58</v>
      </c>
      <c r="H1790" s="176" t="n">
        <v>17845.0956124524</v>
      </c>
      <c r="I1790" s="177" t="n">
        <v>3886962.50509064</v>
      </c>
      <c r="J1790" s="178" t="str">
        <f>IF(I1790&gt;0,H1790/I1790,0)</f>
      </c>
      <c r="K1790" s="179" t="str">
        <f>1-EXP(-J1790)</f>
      </c>
      <c r="L1790" s="180" t="str">
        <f>IF(G1790=30,1,M1789)</f>
      </c>
      <c r="M1790" s="181" t="str">
        <f>L1790*(1-K1790)</f>
      </c>
    </row>
    <row r="1791">
      <c r="A1791" t="s">
        <v>164</v>
      </c>
      <c r="B1791" t="s">
        <v>112</v>
      </c>
      <c r="C1791" s="32" t="s">
        <v>297</v>
      </c>
      <c r="D1791" t="s">
        <v>112</v>
      </c>
      <c r="E1791" t="s">
        <v>395</v>
      </c>
      <c r="F1791" s="174" t="n">
        <v>2043</v>
      </c>
      <c r="G1791" s="175" t="n">
        <v>59</v>
      </c>
      <c r="H1791" s="176" t="n">
        <v>19759.5681955341</v>
      </c>
      <c r="I1791" s="177" t="n">
        <v>3935079.13366701</v>
      </c>
      <c r="J1791" s="178" t="str">
        <f>IF(I1791&gt;0,H1791/I1791,0)</f>
      </c>
      <c r="K1791" s="179" t="str">
        <f>1-EXP(-J1791)</f>
      </c>
      <c r="L1791" s="180" t="str">
        <f>IF(G1791=30,1,M1790)</f>
      </c>
      <c r="M1791" s="181" t="str">
        <f>L1791*(1-K1791)</f>
      </c>
    </row>
    <row r="1792">
      <c r="A1792" t="s">
        <v>164</v>
      </c>
      <c r="B1792" t="s">
        <v>112</v>
      </c>
      <c r="C1792" s="32" t="s">
        <v>297</v>
      </c>
      <c r="D1792" t="s">
        <v>112</v>
      </c>
      <c r="E1792" t="s">
        <v>395</v>
      </c>
      <c r="F1792" s="174" t="n">
        <v>2043</v>
      </c>
      <c r="G1792" s="175" t="n">
        <v>60</v>
      </c>
      <c r="H1792" s="176" t="n">
        <v>21160.1067877459</v>
      </c>
      <c r="I1792" s="177" t="n">
        <v>3880514.0859118</v>
      </c>
      <c r="J1792" s="178" t="str">
        <f>IF(I1792&gt;0,H1792/I1792,0)</f>
      </c>
      <c r="K1792" s="179" t="str">
        <f>1-EXP(-J1792)</f>
      </c>
      <c r="L1792" s="180" t="str">
        <f>IF(G1792=30,1,M1791)</f>
      </c>
      <c r="M1792" s="181" t="str">
        <f>L1792*(1-K1792)</f>
      </c>
    </row>
    <row r="1793">
      <c r="A1793" t="s">
        <v>164</v>
      </c>
      <c r="B1793" t="s">
        <v>112</v>
      </c>
      <c r="C1793" s="32" t="s">
        <v>297</v>
      </c>
      <c r="D1793" t="s">
        <v>112</v>
      </c>
      <c r="E1793" t="s">
        <v>395</v>
      </c>
      <c r="F1793" s="174" t="n">
        <v>2043</v>
      </c>
      <c r="G1793" s="175" t="n">
        <v>61</v>
      </c>
      <c r="H1793" s="176" t="n">
        <v>22269.7927136745</v>
      </c>
      <c r="I1793" s="177" t="n">
        <v>3721917.84731788</v>
      </c>
      <c r="J1793" s="178" t="str">
        <f>IF(I1793&gt;0,H1793/I1793,0)</f>
      </c>
      <c r="K1793" s="179" t="str">
        <f>1-EXP(-J1793)</f>
      </c>
      <c r="L1793" s="180" t="str">
        <f>IF(G1793=30,1,M1792)</f>
      </c>
      <c r="M1793" s="181" t="str">
        <f>L1793*(1-K1793)</f>
      </c>
    </row>
    <row r="1794">
      <c r="A1794" t="s">
        <v>164</v>
      </c>
      <c r="B1794" t="s">
        <v>112</v>
      </c>
      <c r="C1794" s="32" t="s">
        <v>297</v>
      </c>
      <c r="D1794" t="s">
        <v>112</v>
      </c>
      <c r="E1794" t="s">
        <v>395</v>
      </c>
      <c r="F1794" s="174" t="n">
        <v>2043</v>
      </c>
      <c r="G1794" s="175" t="n">
        <v>62</v>
      </c>
      <c r="H1794" s="176" t="n">
        <v>23746.3789862367</v>
      </c>
      <c r="I1794" s="177" t="n">
        <v>3618636.81560395</v>
      </c>
      <c r="J1794" s="178" t="str">
        <f>IF(I1794&gt;0,H1794/I1794,0)</f>
      </c>
      <c r="K1794" s="179" t="str">
        <f>1-EXP(-J1794)</f>
      </c>
      <c r="L1794" s="180" t="str">
        <f>IF(G1794=30,1,M1793)</f>
      </c>
      <c r="M1794" s="181" t="str">
        <f>L1794*(1-K1794)</f>
      </c>
    </row>
    <row r="1795">
      <c r="A1795" t="s">
        <v>164</v>
      </c>
      <c r="B1795" t="s">
        <v>112</v>
      </c>
      <c r="C1795" s="32" t="s">
        <v>297</v>
      </c>
      <c r="D1795" t="s">
        <v>112</v>
      </c>
      <c r="E1795" t="s">
        <v>395</v>
      </c>
      <c r="F1795" s="174" t="n">
        <v>2043</v>
      </c>
      <c r="G1795" s="175" t="n">
        <v>63</v>
      </c>
      <c r="H1795" s="176" t="n">
        <v>25390.3243624999</v>
      </c>
      <c r="I1795" s="177" t="n">
        <v>3527496.63818542</v>
      </c>
      <c r="J1795" s="178" t="str">
        <f>IF(I1795&gt;0,H1795/I1795,0)</f>
      </c>
      <c r="K1795" s="179" t="str">
        <f>1-EXP(-J1795)</f>
      </c>
      <c r="L1795" s="180" t="str">
        <f>IF(G1795=30,1,M1794)</f>
      </c>
      <c r="M1795" s="181" t="str">
        <f>L1795*(1-K1795)</f>
      </c>
    </row>
    <row r="1796">
      <c r="A1796" t="s">
        <v>164</v>
      </c>
      <c r="B1796" t="s">
        <v>112</v>
      </c>
      <c r="C1796" s="32" t="s">
        <v>297</v>
      </c>
      <c r="D1796" t="s">
        <v>112</v>
      </c>
      <c r="E1796" t="s">
        <v>395</v>
      </c>
      <c r="F1796" s="174" t="n">
        <v>2043</v>
      </c>
      <c r="G1796" s="175" t="n">
        <v>64</v>
      </c>
      <c r="H1796" s="176" t="n">
        <v>27071.1071068632</v>
      </c>
      <c r="I1796" s="177" t="n">
        <v>3429408.68439646</v>
      </c>
      <c r="J1796" s="178" t="str">
        <f>IF(I1796&gt;0,H1796/I1796,0)</f>
      </c>
      <c r="K1796" s="179" t="str">
        <f>1-EXP(-J1796)</f>
      </c>
      <c r="L1796" s="180" t="str">
        <f>IF(G1796=30,1,M1795)</f>
      </c>
      <c r="M1796" s="181" t="str">
        <f>L1796*(1-K1796)</f>
      </c>
    </row>
    <row r="1797">
      <c r="A1797" t="s">
        <v>164</v>
      </c>
      <c r="B1797" t="s">
        <v>112</v>
      </c>
      <c r="C1797" s="32" t="s">
        <v>297</v>
      </c>
      <c r="D1797" t="s">
        <v>112</v>
      </c>
      <c r="E1797" t="s">
        <v>395</v>
      </c>
      <c r="F1797" s="174" t="n">
        <v>2043</v>
      </c>
      <c r="G1797" s="175" t="n">
        <v>65</v>
      </c>
      <c r="H1797" s="176" t="n">
        <v>27400.8881320549</v>
      </c>
      <c r="I1797" s="177" t="n">
        <v>3312472.53938465</v>
      </c>
      <c r="J1797" s="178" t="str">
        <f>IF(I1797&gt;0,H1797/I1797,0)</f>
      </c>
      <c r="K1797" s="179" t="str">
        <f>1-EXP(-J1797)</f>
      </c>
      <c r="L1797" s="180" t="str">
        <f>IF(G1797=30,1,M1796)</f>
      </c>
      <c r="M1797" s="181" t="str">
        <f>L1797*(1-K1797)</f>
      </c>
    </row>
    <row r="1798">
      <c r="A1798" t="s">
        <v>164</v>
      </c>
      <c r="B1798" t="s">
        <v>112</v>
      </c>
      <c r="C1798" s="32" t="s">
        <v>297</v>
      </c>
      <c r="D1798" t="s">
        <v>112</v>
      </c>
      <c r="E1798" t="s">
        <v>395</v>
      </c>
      <c r="F1798" s="174" t="n">
        <v>2043</v>
      </c>
      <c r="G1798" s="175" t="n">
        <v>66</v>
      </c>
      <c r="H1798" s="176" t="n">
        <v>29158.5900251961</v>
      </c>
      <c r="I1798" s="177" t="n">
        <v>3208275.82315865</v>
      </c>
      <c r="J1798" s="178" t="str">
        <f>IF(I1798&gt;0,H1798/I1798,0)</f>
      </c>
      <c r="K1798" s="179" t="str">
        <f>1-EXP(-J1798)</f>
      </c>
      <c r="L1798" s="180" t="str">
        <f>IF(G1798=30,1,M1797)</f>
      </c>
      <c r="M1798" s="181" t="str">
        <f>L1798*(1-K1798)</f>
      </c>
    </row>
    <row r="1799">
      <c r="A1799" t="s">
        <v>164</v>
      </c>
      <c r="B1799" t="s">
        <v>112</v>
      </c>
      <c r="C1799" s="32" t="s">
        <v>297</v>
      </c>
      <c r="D1799" t="s">
        <v>112</v>
      </c>
      <c r="E1799" t="s">
        <v>395</v>
      </c>
      <c r="F1799" s="174" t="n">
        <v>2043</v>
      </c>
      <c r="G1799" s="175" t="n">
        <v>67</v>
      </c>
      <c r="H1799" s="176" t="n">
        <v>30850.4480612521</v>
      </c>
      <c r="I1799" s="177" t="n">
        <v>3092040.09594074</v>
      </c>
      <c r="J1799" s="178" t="str">
        <f>IF(I1799&gt;0,H1799/I1799,0)</f>
      </c>
      <c r="K1799" s="179" t="str">
        <f>1-EXP(-J1799)</f>
      </c>
      <c r="L1799" s="180" t="str">
        <f>IF(G1799=30,1,M1798)</f>
      </c>
      <c r="M1799" s="181" t="str">
        <f>L1799*(1-K1799)</f>
      </c>
    </row>
    <row r="1800">
      <c r="A1800" t="s">
        <v>164</v>
      </c>
      <c r="B1800" t="s">
        <v>112</v>
      </c>
      <c r="C1800" s="32" t="s">
        <v>297</v>
      </c>
      <c r="D1800" t="s">
        <v>112</v>
      </c>
      <c r="E1800" t="s">
        <v>395</v>
      </c>
      <c r="F1800" s="174" t="n">
        <v>2043</v>
      </c>
      <c r="G1800" s="175" t="n">
        <v>68</v>
      </c>
      <c r="H1800" s="176" t="n">
        <v>32587.6742734333</v>
      </c>
      <c r="I1800" s="177" t="n">
        <v>2973310.98495842</v>
      </c>
      <c r="J1800" s="178" t="str">
        <f>IF(I1800&gt;0,H1800/I1800,0)</f>
      </c>
      <c r="K1800" s="179" t="str">
        <f>1-EXP(-J1800)</f>
      </c>
      <c r="L1800" s="180" t="str">
        <f>IF(G1800=30,1,M1799)</f>
      </c>
      <c r="M1800" s="181" t="str">
        <f>L1800*(1-K1800)</f>
      </c>
    </row>
    <row r="1801">
      <c r="A1801" t="s">
        <v>164</v>
      </c>
      <c r="B1801" t="s">
        <v>112</v>
      </c>
      <c r="C1801" s="32" t="s">
        <v>297</v>
      </c>
      <c r="D1801" t="s">
        <v>112</v>
      </c>
      <c r="E1801" t="s">
        <v>395</v>
      </c>
      <c r="F1801" s="174" t="n">
        <v>2043</v>
      </c>
      <c r="G1801" s="175" t="n">
        <v>69</v>
      </c>
      <c r="H1801" s="176" t="n">
        <v>34111.4575079735</v>
      </c>
      <c r="I1801" s="177" t="n">
        <v>2830667.4425536</v>
      </c>
      <c r="J1801" s="178" t="str">
        <f>IF(I1801&gt;0,H1801/I1801,0)</f>
      </c>
      <c r="K1801" s="179" t="str">
        <f>1-EXP(-J1801)</f>
      </c>
      <c r="L1801" s="180" t="str">
        <f>IF(G1801=30,1,M1800)</f>
      </c>
      <c r="M1801" s="181" t="str">
        <f>L1801*(1-K1801)</f>
      </c>
    </row>
    <row r="1802">
      <c r="A1802" t="s">
        <v>164</v>
      </c>
      <c r="B1802" t="s">
        <v>112</v>
      </c>
      <c r="C1802" s="32" t="s">
        <v>297</v>
      </c>
      <c r="D1802" t="s">
        <v>112</v>
      </c>
      <c r="E1802" t="s">
        <v>395</v>
      </c>
      <c r="F1802" s="174" t="n">
        <v>2044</v>
      </c>
      <c r="G1802" s="175" t="n">
        <v>30</v>
      </c>
      <c r="H1802" s="176" t="n">
        <v>750.998591162932</v>
      </c>
      <c r="I1802" s="177" t="n">
        <v>4714189.17608482</v>
      </c>
      <c r="J1802" s="178" t="str">
        <f>IF(I1802&gt;0,H1802/I1802,0)</f>
      </c>
      <c r="K1802" s="179" t="str">
        <f>1-EXP(-J1802)</f>
      </c>
      <c r="L1802" s="180" t="str">
        <f>IF(G1802=30,1,M1801)</f>
      </c>
      <c r="M1802" s="181" t="str">
        <f>L1802*(1-K1802)</f>
      </c>
    </row>
    <row r="1803">
      <c r="A1803" t="s">
        <v>164</v>
      </c>
      <c r="B1803" t="s">
        <v>112</v>
      </c>
      <c r="C1803" s="32" t="s">
        <v>297</v>
      </c>
      <c r="D1803" t="s">
        <v>112</v>
      </c>
      <c r="E1803" t="s">
        <v>395</v>
      </c>
      <c r="F1803" s="174" t="n">
        <v>2044</v>
      </c>
      <c r="G1803" s="175" t="n">
        <v>31</v>
      </c>
      <c r="H1803" s="176" t="n">
        <v>1008.31734090714</v>
      </c>
      <c r="I1803" s="177" t="n">
        <v>4782350.73814761</v>
      </c>
      <c r="J1803" s="178" t="str">
        <f>IF(I1803&gt;0,H1803/I1803,0)</f>
      </c>
      <c r="K1803" s="179" t="str">
        <f>1-EXP(-J1803)</f>
      </c>
      <c r="L1803" s="180" t="str">
        <f>IF(G1803=30,1,M1802)</f>
      </c>
      <c r="M1803" s="181" t="str">
        <f>L1803*(1-K1803)</f>
      </c>
    </row>
    <row r="1804">
      <c r="A1804" t="s">
        <v>164</v>
      </c>
      <c r="B1804" t="s">
        <v>112</v>
      </c>
      <c r="C1804" s="32" t="s">
        <v>297</v>
      </c>
      <c r="D1804" t="s">
        <v>112</v>
      </c>
      <c r="E1804" t="s">
        <v>395</v>
      </c>
      <c r="F1804" s="174" t="n">
        <v>2044</v>
      </c>
      <c r="G1804" s="175" t="n">
        <v>32</v>
      </c>
      <c r="H1804" s="176" t="n">
        <v>1130.22262649711</v>
      </c>
      <c r="I1804" s="177" t="n">
        <v>4895246.64217268</v>
      </c>
      <c r="J1804" s="178" t="str">
        <f>IF(I1804&gt;0,H1804/I1804,0)</f>
      </c>
      <c r="K1804" s="179" t="str">
        <f>1-EXP(-J1804)</f>
      </c>
      <c r="L1804" s="180" t="str">
        <f>IF(G1804=30,1,M1803)</f>
      </c>
      <c r="M1804" s="181" t="str">
        <f>L1804*(1-K1804)</f>
      </c>
    </row>
    <row r="1805">
      <c r="A1805" t="s">
        <v>164</v>
      </c>
      <c r="B1805" t="s">
        <v>112</v>
      </c>
      <c r="C1805" s="32" t="s">
        <v>297</v>
      </c>
      <c r="D1805" t="s">
        <v>112</v>
      </c>
      <c r="E1805" t="s">
        <v>395</v>
      </c>
      <c r="F1805" s="174" t="n">
        <v>2044</v>
      </c>
      <c r="G1805" s="175" t="n">
        <v>33</v>
      </c>
      <c r="H1805" s="176" t="n">
        <v>1189.26610045207</v>
      </c>
      <c r="I1805" s="177" t="n">
        <v>4867014.0859197</v>
      </c>
      <c r="J1805" s="178" t="str">
        <f>IF(I1805&gt;0,H1805/I1805,0)</f>
      </c>
      <c r="K1805" s="179" t="str">
        <f>1-EXP(-J1805)</f>
      </c>
      <c r="L1805" s="180" t="str">
        <f>IF(G1805=30,1,M1804)</f>
      </c>
      <c r="M1805" s="181" t="str">
        <f>L1805*(1-K1805)</f>
      </c>
    </row>
    <row r="1806">
      <c r="A1806" t="s">
        <v>164</v>
      </c>
      <c r="B1806" t="s">
        <v>112</v>
      </c>
      <c r="C1806" s="32" t="s">
        <v>297</v>
      </c>
      <c r="D1806" t="s">
        <v>112</v>
      </c>
      <c r="E1806" t="s">
        <v>395</v>
      </c>
      <c r="F1806" s="174" t="n">
        <v>2044</v>
      </c>
      <c r="G1806" s="175" t="n">
        <v>34</v>
      </c>
      <c r="H1806" s="176" t="n">
        <v>1231.38435767873</v>
      </c>
      <c r="I1806" s="177" t="n">
        <v>4733092.49725848</v>
      </c>
      <c r="J1806" s="178" t="str">
        <f>IF(I1806&gt;0,H1806/I1806,0)</f>
      </c>
      <c r="K1806" s="179" t="str">
        <f>1-EXP(-J1806)</f>
      </c>
      <c r="L1806" s="180" t="str">
        <f>IF(G1806=30,1,M1805)</f>
      </c>
      <c r="M1806" s="181" t="str">
        <f>L1806*(1-K1806)</f>
      </c>
    </row>
    <row r="1807">
      <c r="A1807" t="s">
        <v>164</v>
      </c>
      <c r="B1807" t="s">
        <v>112</v>
      </c>
      <c r="C1807" s="32" t="s">
        <v>297</v>
      </c>
      <c r="D1807" t="s">
        <v>112</v>
      </c>
      <c r="E1807" t="s">
        <v>395</v>
      </c>
      <c r="F1807" s="174" t="n">
        <v>2044</v>
      </c>
      <c r="G1807" s="175" t="n">
        <v>35</v>
      </c>
      <c r="H1807" s="176" t="n">
        <v>1593.74479814912</v>
      </c>
      <c r="I1807" s="177" t="n">
        <v>4661841.33598682</v>
      </c>
      <c r="J1807" s="178" t="str">
        <f>IF(I1807&gt;0,H1807/I1807,0)</f>
      </c>
      <c r="K1807" s="179" t="str">
        <f>1-EXP(-J1807)</f>
      </c>
      <c r="L1807" s="180" t="str">
        <f>IF(G1807=30,1,M1806)</f>
      </c>
      <c r="M1807" s="181" t="str">
        <f>L1807*(1-K1807)</f>
      </c>
    </row>
    <row r="1808">
      <c r="A1808" t="s">
        <v>164</v>
      </c>
      <c r="B1808" t="s">
        <v>112</v>
      </c>
      <c r="C1808" s="32" t="s">
        <v>297</v>
      </c>
      <c r="D1808" t="s">
        <v>112</v>
      </c>
      <c r="E1808" t="s">
        <v>395</v>
      </c>
      <c r="F1808" s="174" t="n">
        <v>2044</v>
      </c>
      <c r="G1808" s="175" t="n">
        <v>36</v>
      </c>
      <c r="H1808" s="176" t="n">
        <v>1854.6222834246</v>
      </c>
      <c r="I1808" s="177" t="n">
        <v>4618046.19198221</v>
      </c>
      <c r="J1808" s="178" t="str">
        <f>IF(I1808&gt;0,H1808/I1808,0)</f>
      </c>
      <c r="K1808" s="179" t="str">
        <f>1-EXP(-J1808)</f>
      </c>
      <c r="L1808" s="180" t="str">
        <f>IF(G1808=30,1,M1807)</f>
      </c>
      <c r="M1808" s="181" t="str">
        <f>L1808*(1-K1808)</f>
      </c>
    </row>
    <row r="1809">
      <c r="A1809" t="s">
        <v>164</v>
      </c>
      <c r="B1809" t="s">
        <v>112</v>
      </c>
      <c r="C1809" s="32" t="s">
        <v>297</v>
      </c>
      <c r="D1809" t="s">
        <v>112</v>
      </c>
      <c r="E1809" t="s">
        <v>395</v>
      </c>
      <c r="F1809" s="174" t="n">
        <v>2044</v>
      </c>
      <c r="G1809" s="175" t="n">
        <v>37</v>
      </c>
      <c r="H1809" s="176" t="n">
        <v>2062.54351032584</v>
      </c>
      <c r="I1809" s="177" t="n">
        <v>4642253.74030107</v>
      </c>
      <c r="J1809" s="178" t="str">
        <f>IF(I1809&gt;0,H1809/I1809,0)</f>
      </c>
      <c r="K1809" s="179" t="str">
        <f>1-EXP(-J1809)</f>
      </c>
      <c r="L1809" s="180" t="str">
        <f>IF(G1809=30,1,M1808)</f>
      </c>
      <c r="M1809" s="181" t="str">
        <f>L1809*(1-K1809)</f>
      </c>
    </row>
    <row r="1810">
      <c r="A1810" t="s">
        <v>164</v>
      </c>
      <c r="B1810" t="s">
        <v>112</v>
      </c>
      <c r="C1810" s="32" t="s">
        <v>297</v>
      </c>
      <c r="D1810" t="s">
        <v>112</v>
      </c>
      <c r="E1810" t="s">
        <v>395</v>
      </c>
      <c r="F1810" s="174" t="n">
        <v>2044</v>
      </c>
      <c r="G1810" s="175" t="n">
        <v>38</v>
      </c>
      <c r="H1810" s="176" t="n">
        <v>2182.47411457585</v>
      </c>
      <c r="I1810" s="177" t="n">
        <v>4557907.22063824</v>
      </c>
      <c r="J1810" s="178" t="str">
        <f>IF(I1810&gt;0,H1810/I1810,0)</f>
      </c>
      <c r="K1810" s="179" t="str">
        <f>1-EXP(-J1810)</f>
      </c>
      <c r="L1810" s="180" t="str">
        <f>IF(G1810=30,1,M1809)</f>
      </c>
      <c r="M1810" s="181" t="str">
        <f>L1810*(1-K1810)</f>
      </c>
    </row>
    <row r="1811">
      <c r="A1811" t="s">
        <v>164</v>
      </c>
      <c r="B1811" t="s">
        <v>112</v>
      </c>
      <c r="C1811" s="32" t="s">
        <v>297</v>
      </c>
      <c r="D1811" t="s">
        <v>112</v>
      </c>
      <c r="E1811" t="s">
        <v>395</v>
      </c>
      <c r="F1811" s="174" t="n">
        <v>2044</v>
      </c>
      <c r="G1811" s="175" t="n">
        <v>39</v>
      </c>
      <c r="H1811" s="176" t="n">
        <v>2325.99564465436</v>
      </c>
      <c r="I1811" s="177" t="n">
        <v>4495015.70020901</v>
      </c>
      <c r="J1811" s="178" t="str">
        <f>IF(I1811&gt;0,H1811/I1811,0)</f>
      </c>
      <c r="K1811" s="179" t="str">
        <f>1-EXP(-J1811)</f>
      </c>
      <c r="L1811" s="180" t="str">
        <f>IF(G1811=30,1,M1810)</f>
      </c>
      <c r="M1811" s="181" t="str">
        <f>L1811*(1-K1811)</f>
      </c>
    </row>
    <row r="1812">
      <c r="A1812" t="s">
        <v>164</v>
      </c>
      <c r="B1812" t="s">
        <v>112</v>
      </c>
      <c r="C1812" s="32" t="s">
        <v>297</v>
      </c>
      <c r="D1812" t="s">
        <v>112</v>
      </c>
      <c r="E1812" t="s">
        <v>395</v>
      </c>
      <c r="F1812" s="174" t="n">
        <v>2044</v>
      </c>
      <c r="G1812" s="175" t="n">
        <v>40</v>
      </c>
      <c r="H1812" s="176" t="n">
        <v>3035.77974851676</v>
      </c>
      <c r="I1812" s="177" t="n">
        <v>4364803.47287459</v>
      </c>
      <c r="J1812" s="178" t="str">
        <f>IF(I1812&gt;0,H1812/I1812,0)</f>
      </c>
      <c r="K1812" s="179" t="str">
        <f>1-EXP(-J1812)</f>
      </c>
      <c r="L1812" s="180" t="str">
        <f>IF(G1812=30,1,M1811)</f>
      </c>
      <c r="M1812" s="181" t="str">
        <f>L1812*(1-K1812)</f>
      </c>
    </row>
    <row r="1813">
      <c r="A1813" t="s">
        <v>164</v>
      </c>
      <c r="B1813" t="s">
        <v>112</v>
      </c>
      <c r="C1813" s="32" t="s">
        <v>297</v>
      </c>
      <c r="D1813" t="s">
        <v>112</v>
      </c>
      <c r="E1813" t="s">
        <v>395</v>
      </c>
      <c r="F1813" s="174" t="n">
        <v>2044</v>
      </c>
      <c r="G1813" s="175" t="n">
        <v>41</v>
      </c>
      <c r="H1813" s="176" t="n">
        <v>3370.81143862004</v>
      </c>
      <c r="I1813" s="177" t="n">
        <v>4296004.57382018</v>
      </c>
      <c r="J1813" s="178" t="str">
        <f>IF(I1813&gt;0,H1813/I1813,0)</f>
      </c>
      <c r="K1813" s="179" t="str">
        <f>1-EXP(-J1813)</f>
      </c>
      <c r="L1813" s="180" t="str">
        <f>IF(G1813=30,1,M1812)</f>
      </c>
      <c r="M1813" s="181" t="str">
        <f>L1813*(1-K1813)</f>
      </c>
    </row>
    <row r="1814">
      <c r="A1814" t="s">
        <v>164</v>
      </c>
      <c r="B1814" t="s">
        <v>112</v>
      </c>
      <c r="C1814" s="32" t="s">
        <v>297</v>
      </c>
      <c r="D1814" t="s">
        <v>112</v>
      </c>
      <c r="E1814" t="s">
        <v>395</v>
      </c>
      <c r="F1814" s="174" t="n">
        <v>2044</v>
      </c>
      <c r="G1814" s="175" t="n">
        <v>42</v>
      </c>
      <c r="H1814" s="176" t="n">
        <v>3786.5081820447</v>
      </c>
      <c r="I1814" s="177" t="n">
        <v>4269123.88602137</v>
      </c>
      <c r="J1814" s="178" t="str">
        <f>IF(I1814&gt;0,H1814/I1814,0)</f>
      </c>
      <c r="K1814" s="179" t="str">
        <f>1-EXP(-J1814)</f>
      </c>
      <c r="L1814" s="180" t="str">
        <f>IF(G1814=30,1,M1813)</f>
      </c>
      <c r="M1814" s="181" t="str">
        <f>L1814*(1-K1814)</f>
      </c>
    </row>
    <row r="1815">
      <c r="A1815" t="s">
        <v>164</v>
      </c>
      <c r="B1815" t="s">
        <v>112</v>
      </c>
      <c r="C1815" s="32" t="s">
        <v>297</v>
      </c>
      <c r="D1815" t="s">
        <v>112</v>
      </c>
      <c r="E1815" t="s">
        <v>395</v>
      </c>
      <c r="F1815" s="174" t="n">
        <v>2044</v>
      </c>
      <c r="G1815" s="175" t="n">
        <v>43</v>
      </c>
      <c r="H1815" s="176" t="n">
        <v>4090.08264545274</v>
      </c>
      <c r="I1815" s="177" t="n">
        <v>4244495.96921786</v>
      </c>
      <c r="J1815" s="178" t="str">
        <f>IF(I1815&gt;0,H1815/I1815,0)</f>
      </c>
      <c r="K1815" s="179" t="str">
        <f>1-EXP(-J1815)</f>
      </c>
      <c r="L1815" s="180" t="str">
        <f>IF(G1815=30,1,M1814)</f>
      </c>
      <c r="M1815" s="181" t="str">
        <f>L1815*(1-K1815)</f>
      </c>
    </row>
    <row r="1816">
      <c r="A1816" t="s">
        <v>164</v>
      </c>
      <c r="B1816" t="s">
        <v>112</v>
      </c>
      <c r="C1816" s="32" t="s">
        <v>297</v>
      </c>
      <c r="D1816" t="s">
        <v>112</v>
      </c>
      <c r="E1816" t="s">
        <v>395</v>
      </c>
      <c r="F1816" s="174" t="n">
        <v>2044</v>
      </c>
      <c r="G1816" s="175" t="n">
        <v>44</v>
      </c>
      <c r="H1816" s="176" t="n">
        <v>4428.71543804394</v>
      </c>
      <c r="I1816" s="177" t="n">
        <v>4219003.00560912</v>
      </c>
      <c r="J1816" s="178" t="str">
        <f>IF(I1816&gt;0,H1816/I1816,0)</f>
      </c>
      <c r="K1816" s="179" t="str">
        <f>1-EXP(-J1816)</f>
      </c>
      <c r="L1816" s="180" t="str">
        <f>IF(G1816=30,1,M1815)</f>
      </c>
      <c r="M1816" s="181" t="str">
        <f>L1816*(1-K1816)</f>
      </c>
    </row>
    <row r="1817">
      <c r="A1817" t="s">
        <v>164</v>
      </c>
      <c r="B1817" t="s">
        <v>112</v>
      </c>
      <c r="C1817" s="32" t="s">
        <v>297</v>
      </c>
      <c r="D1817" t="s">
        <v>112</v>
      </c>
      <c r="E1817" t="s">
        <v>395</v>
      </c>
      <c r="F1817" s="174" t="n">
        <v>2044</v>
      </c>
      <c r="G1817" s="175" t="n">
        <v>45</v>
      </c>
      <c r="H1817" s="176" t="n">
        <v>5700.5306929646</v>
      </c>
      <c r="I1817" s="177" t="n">
        <v>4231674.66179448</v>
      </c>
      <c r="J1817" s="178" t="str">
        <f>IF(I1817&gt;0,H1817/I1817,0)</f>
      </c>
      <c r="K1817" s="179" t="str">
        <f>1-EXP(-J1817)</f>
      </c>
      <c r="L1817" s="180" t="str">
        <f>IF(G1817=30,1,M1816)</f>
      </c>
      <c r="M1817" s="181" t="str">
        <f>L1817*(1-K1817)</f>
      </c>
    </row>
    <row r="1818">
      <c r="A1818" t="s">
        <v>164</v>
      </c>
      <c r="B1818" t="s">
        <v>112</v>
      </c>
      <c r="C1818" s="32" t="s">
        <v>297</v>
      </c>
      <c r="D1818" t="s">
        <v>112</v>
      </c>
      <c r="E1818" t="s">
        <v>395</v>
      </c>
      <c r="F1818" s="174" t="n">
        <v>2044</v>
      </c>
      <c r="G1818" s="175" t="n">
        <v>46</v>
      </c>
      <c r="H1818" s="176" t="n">
        <v>6384.8535454978</v>
      </c>
      <c r="I1818" s="177" t="n">
        <v>4280769.61090942</v>
      </c>
      <c r="J1818" s="178" t="str">
        <f>IF(I1818&gt;0,H1818/I1818,0)</f>
      </c>
      <c r="K1818" s="179" t="str">
        <f>1-EXP(-J1818)</f>
      </c>
      <c r="L1818" s="180" t="str">
        <f>IF(G1818=30,1,M1817)</f>
      </c>
      <c r="M1818" s="181" t="str">
        <f>L1818*(1-K1818)</f>
      </c>
    </row>
    <row r="1819">
      <c r="A1819" t="s">
        <v>164</v>
      </c>
      <c r="B1819" t="s">
        <v>112</v>
      </c>
      <c r="C1819" s="32" t="s">
        <v>297</v>
      </c>
      <c r="D1819" t="s">
        <v>112</v>
      </c>
      <c r="E1819" t="s">
        <v>395</v>
      </c>
      <c r="F1819" s="174" t="n">
        <v>2044</v>
      </c>
      <c r="G1819" s="175" t="n">
        <v>47</v>
      </c>
      <c r="H1819" s="176" t="n">
        <v>7383.89916629016</v>
      </c>
      <c r="I1819" s="177" t="n">
        <v>4404050.61850564</v>
      </c>
      <c r="J1819" s="178" t="str">
        <f>IF(I1819&gt;0,H1819/I1819,0)</f>
      </c>
      <c r="K1819" s="179" t="str">
        <f>1-EXP(-J1819)</f>
      </c>
      <c r="L1819" s="180" t="str">
        <f>IF(G1819=30,1,M1818)</f>
      </c>
      <c r="M1819" s="181" t="str">
        <f>L1819*(1-K1819)</f>
      </c>
    </row>
    <row r="1820">
      <c r="A1820" t="s">
        <v>164</v>
      </c>
      <c r="B1820" t="s">
        <v>112</v>
      </c>
      <c r="C1820" s="32" t="s">
        <v>297</v>
      </c>
      <c r="D1820" t="s">
        <v>112</v>
      </c>
      <c r="E1820" t="s">
        <v>395</v>
      </c>
      <c r="F1820" s="174" t="n">
        <v>2044</v>
      </c>
      <c r="G1820" s="175" t="n">
        <v>48</v>
      </c>
      <c r="H1820" s="176" t="n">
        <v>7989.75242331538</v>
      </c>
      <c r="I1820" s="177" t="n">
        <v>4351337.00866612</v>
      </c>
      <c r="J1820" s="178" t="str">
        <f>IF(I1820&gt;0,H1820/I1820,0)</f>
      </c>
      <c r="K1820" s="179" t="str">
        <f>1-EXP(-J1820)</f>
      </c>
      <c r="L1820" s="180" t="str">
        <f>IF(G1820=30,1,M1819)</f>
      </c>
      <c r="M1820" s="181" t="str">
        <f>L1820*(1-K1820)</f>
      </c>
    </row>
    <row r="1821">
      <c r="A1821" t="s">
        <v>164</v>
      </c>
      <c r="B1821" t="s">
        <v>112</v>
      </c>
      <c r="C1821" s="32" t="s">
        <v>297</v>
      </c>
      <c r="D1821" t="s">
        <v>112</v>
      </c>
      <c r="E1821" t="s">
        <v>395</v>
      </c>
      <c r="F1821" s="174" t="n">
        <v>2044</v>
      </c>
      <c r="G1821" s="175" t="n">
        <v>49</v>
      </c>
      <c r="H1821" s="176" t="n">
        <v>8589.60260505069</v>
      </c>
      <c r="I1821" s="177" t="n">
        <v>4268467.41605437</v>
      </c>
      <c r="J1821" s="178" t="str">
        <f>IF(I1821&gt;0,H1821/I1821,0)</f>
      </c>
      <c r="K1821" s="179" t="str">
        <f>1-EXP(-J1821)</f>
      </c>
      <c r="L1821" s="180" t="str">
        <f>IF(G1821=30,1,M1820)</f>
      </c>
      <c r="M1821" s="181" t="str">
        <f>L1821*(1-K1821)</f>
      </c>
    </row>
    <row r="1822">
      <c r="A1822" t="s">
        <v>164</v>
      </c>
      <c r="B1822" t="s">
        <v>112</v>
      </c>
      <c r="C1822" s="32" t="s">
        <v>297</v>
      </c>
      <c r="D1822" t="s">
        <v>112</v>
      </c>
      <c r="E1822" t="s">
        <v>395</v>
      </c>
      <c r="F1822" s="174" t="n">
        <v>2044</v>
      </c>
      <c r="G1822" s="175" t="n">
        <v>50</v>
      </c>
      <c r="H1822" s="176" t="n">
        <v>9663.85085130994</v>
      </c>
      <c r="I1822" s="177" t="n">
        <v>4199772.13461329</v>
      </c>
      <c r="J1822" s="178" t="str">
        <f>IF(I1822&gt;0,H1822/I1822,0)</f>
      </c>
      <c r="K1822" s="179" t="str">
        <f>1-EXP(-J1822)</f>
      </c>
      <c r="L1822" s="180" t="str">
        <f>IF(G1822=30,1,M1821)</f>
      </c>
      <c r="M1822" s="181" t="str">
        <f>L1822*(1-K1822)</f>
      </c>
    </row>
    <row r="1823">
      <c r="A1823" t="s">
        <v>164</v>
      </c>
      <c r="B1823" t="s">
        <v>112</v>
      </c>
      <c r="C1823" s="32" t="s">
        <v>297</v>
      </c>
      <c r="D1823" t="s">
        <v>112</v>
      </c>
      <c r="E1823" t="s">
        <v>395</v>
      </c>
      <c r="F1823" s="174" t="n">
        <v>2044</v>
      </c>
      <c r="G1823" s="175" t="n">
        <v>51</v>
      </c>
      <c r="H1823" s="176" t="n">
        <v>10407.3876247573</v>
      </c>
      <c r="I1823" s="177" t="n">
        <v>4132756.73144062</v>
      </c>
      <c r="J1823" s="178" t="str">
        <f>IF(I1823&gt;0,H1823/I1823,0)</f>
      </c>
      <c r="K1823" s="179" t="str">
        <f>1-EXP(-J1823)</f>
      </c>
      <c r="L1823" s="180" t="str">
        <f>IF(G1823=30,1,M1822)</f>
      </c>
      <c r="M1823" s="181" t="str">
        <f>L1823*(1-K1823)</f>
      </c>
    </row>
    <row r="1824">
      <c r="A1824" t="s">
        <v>164</v>
      </c>
      <c r="B1824" t="s">
        <v>112</v>
      </c>
      <c r="C1824" s="32" t="s">
        <v>297</v>
      </c>
      <c r="D1824" t="s">
        <v>112</v>
      </c>
      <c r="E1824" t="s">
        <v>395</v>
      </c>
      <c r="F1824" s="174" t="n">
        <v>2044</v>
      </c>
      <c r="G1824" s="175" t="n">
        <v>52</v>
      </c>
      <c r="H1824" s="176" t="n">
        <v>11408.4474023913</v>
      </c>
      <c r="I1824" s="177" t="n">
        <v>4152405.50043392</v>
      </c>
      <c r="J1824" s="178" t="str">
        <f>IF(I1824&gt;0,H1824/I1824,0)</f>
      </c>
      <c r="K1824" s="179" t="str">
        <f>1-EXP(-J1824)</f>
      </c>
      <c r="L1824" s="180" t="str">
        <f>IF(G1824=30,1,M1823)</f>
      </c>
      <c r="M1824" s="181" t="str">
        <f>L1824*(1-K1824)</f>
      </c>
    </row>
    <row r="1825">
      <c r="A1825" t="s">
        <v>164</v>
      </c>
      <c r="B1825" t="s">
        <v>112</v>
      </c>
      <c r="C1825" s="32" t="s">
        <v>297</v>
      </c>
      <c r="D1825" t="s">
        <v>112</v>
      </c>
      <c r="E1825" t="s">
        <v>395</v>
      </c>
      <c r="F1825" s="174" t="n">
        <v>2044</v>
      </c>
      <c r="G1825" s="175" t="n">
        <v>53</v>
      </c>
      <c r="H1825" s="176" t="n">
        <v>12438.7359143675</v>
      </c>
      <c r="I1825" s="177" t="n">
        <v>4151253.26921622</v>
      </c>
      <c r="J1825" s="178" t="str">
        <f>IF(I1825&gt;0,H1825/I1825,0)</f>
      </c>
      <c r="K1825" s="179" t="str">
        <f>1-EXP(-J1825)</f>
      </c>
      <c r="L1825" s="180" t="str">
        <f>IF(G1825=30,1,M1824)</f>
      </c>
      <c r="M1825" s="181" t="str">
        <f>L1825*(1-K1825)</f>
      </c>
    </row>
    <row r="1826">
      <c r="A1826" t="s">
        <v>164</v>
      </c>
      <c r="B1826" t="s">
        <v>112</v>
      </c>
      <c r="C1826" s="32" t="s">
        <v>297</v>
      </c>
      <c r="D1826" t="s">
        <v>112</v>
      </c>
      <c r="E1826" t="s">
        <v>395</v>
      </c>
      <c r="F1826" s="174" t="n">
        <v>2044</v>
      </c>
      <c r="G1826" s="175" t="n">
        <v>54</v>
      </c>
      <c r="H1826" s="176" t="n">
        <v>18004.8080319352</v>
      </c>
      <c r="I1826" s="177" t="n">
        <v>6103946.59269184</v>
      </c>
      <c r="J1826" s="178" t="str">
        <f>IF(I1826&gt;0,H1826/I1826,0)</f>
      </c>
      <c r="K1826" s="179" t="str">
        <f>1-EXP(-J1826)</f>
      </c>
      <c r="L1826" s="180" t="str">
        <f>IF(G1826=30,1,M1825)</f>
      </c>
      <c r="M1826" s="181" t="str">
        <f>L1826*(1-K1826)</f>
      </c>
    </row>
    <row r="1827">
      <c r="A1827" t="s">
        <v>164</v>
      </c>
      <c r="B1827" t="s">
        <v>112</v>
      </c>
      <c r="C1827" s="32" t="s">
        <v>297</v>
      </c>
      <c r="D1827" t="s">
        <v>112</v>
      </c>
      <c r="E1827" t="s">
        <v>395</v>
      </c>
      <c r="F1827" s="174" t="n">
        <v>2044</v>
      </c>
      <c r="G1827" s="175" t="n">
        <v>55</v>
      </c>
      <c r="H1827" s="176" t="n">
        <v>14260.5682751539</v>
      </c>
      <c r="I1827" s="177" t="n">
        <v>4070410.84347456</v>
      </c>
      <c r="J1827" s="178" t="str">
        <f>IF(I1827&gt;0,H1827/I1827,0)</f>
      </c>
      <c r="K1827" s="179" t="str">
        <f>1-EXP(-J1827)</f>
      </c>
      <c r="L1827" s="180" t="str">
        <f>IF(G1827=30,1,M1826)</f>
      </c>
      <c r="M1827" s="181" t="str">
        <f>L1827*(1-K1827)</f>
      </c>
    </row>
    <row r="1828">
      <c r="A1828" t="s">
        <v>164</v>
      </c>
      <c r="B1828" t="s">
        <v>112</v>
      </c>
      <c r="C1828" s="32" t="s">
        <v>297</v>
      </c>
      <c r="D1828" t="s">
        <v>112</v>
      </c>
      <c r="E1828" t="s">
        <v>395</v>
      </c>
      <c r="F1828" s="174" t="n">
        <v>2044</v>
      </c>
      <c r="G1828" s="175" t="n">
        <v>56</v>
      </c>
      <c r="H1828" s="176" t="n">
        <v>15377.9332050192</v>
      </c>
      <c r="I1828" s="177" t="n">
        <v>4031040.54047145</v>
      </c>
      <c r="J1828" s="178" t="str">
        <f>IF(I1828&gt;0,H1828/I1828,0)</f>
      </c>
      <c r="K1828" s="179" t="str">
        <f>1-EXP(-J1828)</f>
      </c>
      <c r="L1828" s="180" t="str">
        <f>IF(G1828=30,1,M1827)</f>
      </c>
      <c r="M1828" s="181" t="str">
        <f>L1828*(1-K1828)</f>
      </c>
    </row>
    <row r="1829">
      <c r="A1829" t="s">
        <v>164</v>
      </c>
      <c r="B1829" t="s">
        <v>112</v>
      </c>
      <c r="C1829" s="32" t="s">
        <v>297</v>
      </c>
      <c r="D1829" t="s">
        <v>112</v>
      </c>
      <c r="E1829" t="s">
        <v>395</v>
      </c>
      <c r="F1829" s="174" t="n">
        <v>2044</v>
      </c>
      <c r="G1829" s="175" t="n">
        <v>57</v>
      </c>
      <c r="H1829" s="176" t="n">
        <v>16154.4037483547</v>
      </c>
      <c r="I1829" s="177" t="n">
        <v>3882637.61469016</v>
      </c>
      <c r="J1829" s="178" t="str">
        <f>IF(I1829&gt;0,H1829/I1829,0)</f>
      </c>
      <c r="K1829" s="179" t="str">
        <f>1-EXP(-J1829)</f>
      </c>
      <c r="L1829" s="180" t="str">
        <f>IF(G1829=30,1,M1828)</f>
      </c>
      <c r="M1829" s="181" t="str">
        <f>L1829*(1-K1829)</f>
      </c>
    </row>
    <row r="1830">
      <c r="A1830" t="s">
        <v>164</v>
      </c>
      <c r="B1830" t="s">
        <v>112</v>
      </c>
      <c r="C1830" s="32" t="s">
        <v>297</v>
      </c>
      <c r="D1830" t="s">
        <v>112</v>
      </c>
      <c r="E1830" t="s">
        <v>395</v>
      </c>
      <c r="F1830" s="174" t="n">
        <v>2044</v>
      </c>
      <c r="G1830" s="175" t="n">
        <v>58</v>
      </c>
      <c r="H1830" s="176" t="n">
        <v>17370.6911029555</v>
      </c>
      <c r="I1830" s="177" t="n">
        <v>3823766.05639897</v>
      </c>
      <c r="J1830" s="178" t="str">
        <f>IF(I1830&gt;0,H1830/I1830,0)</f>
      </c>
      <c r="K1830" s="179" t="str">
        <f>1-EXP(-J1830)</f>
      </c>
      <c r="L1830" s="180" t="str">
        <f>IF(G1830=30,1,M1829)</f>
      </c>
      <c r="M1830" s="181" t="str">
        <f>L1830*(1-K1830)</f>
      </c>
    </row>
    <row r="1831">
      <c r="A1831" t="s">
        <v>164</v>
      </c>
      <c r="B1831" t="s">
        <v>112</v>
      </c>
      <c r="C1831" s="32" t="s">
        <v>297</v>
      </c>
      <c r="D1831" t="s">
        <v>112</v>
      </c>
      <c r="E1831" t="s">
        <v>395</v>
      </c>
      <c r="F1831" s="174" t="n">
        <v>2044</v>
      </c>
      <c r="G1831" s="175" t="n">
        <v>59</v>
      </c>
      <c r="H1831" s="176" t="n">
        <v>19124.0489445017</v>
      </c>
      <c r="I1831" s="177" t="n">
        <v>3848493.7417113</v>
      </c>
      <c r="J1831" s="178" t="str">
        <f>IF(I1831&gt;0,H1831/I1831,0)</f>
      </c>
      <c r="K1831" s="179" t="str">
        <f>1-EXP(-J1831)</f>
      </c>
      <c r="L1831" s="180" t="str">
        <f>IF(G1831=30,1,M1830)</f>
      </c>
      <c r="M1831" s="181" t="str">
        <f>L1831*(1-K1831)</f>
      </c>
    </row>
    <row r="1832">
      <c r="A1832" t="s">
        <v>164</v>
      </c>
      <c r="B1832" t="s">
        <v>112</v>
      </c>
      <c r="C1832" s="32" t="s">
        <v>297</v>
      </c>
      <c r="D1832" t="s">
        <v>112</v>
      </c>
      <c r="E1832" t="s">
        <v>395</v>
      </c>
      <c r="F1832" s="174" t="n">
        <v>2044</v>
      </c>
      <c r="G1832" s="175" t="n">
        <v>60</v>
      </c>
      <c r="H1832" s="176" t="n">
        <v>20970.2655054061</v>
      </c>
      <c r="I1832" s="177" t="n">
        <v>3892518.83747706</v>
      </c>
      <c r="J1832" s="178" t="str">
        <f>IF(I1832&gt;0,H1832/I1832,0)</f>
      </c>
      <c r="K1832" s="179" t="str">
        <f>1-EXP(-J1832)</f>
      </c>
      <c r="L1832" s="180" t="str">
        <f>IF(G1832=30,1,M1831)</f>
      </c>
      <c r="M1832" s="181" t="str">
        <f>L1832*(1-K1832)</f>
      </c>
    </row>
    <row r="1833">
      <c r="A1833" t="s">
        <v>164</v>
      </c>
      <c r="B1833" t="s">
        <v>112</v>
      </c>
      <c r="C1833" s="32" t="s">
        <v>297</v>
      </c>
      <c r="D1833" t="s">
        <v>112</v>
      </c>
      <c r="E1833" t="s">
        <v>395</v>
      </c>
      <c r="F1833" s="174" t="n">
        <v>2044</v>
      </c>
      <c r="G1833" s="175" t="n">
        <v>61</v>
      </c>
      <c r="H1833" s="176" t="n">
        <v>22650.8307568262</v>
      </c>
      <c r="I1833" s="177" t="n">
        <v>3834433.35446651</v>
      </c>
      <c r="J1833" s="178" t="str">
        <f>IF(I1833&gt;0,H1833/I1833,0)</f>
      </c>
      <c r="K1833" s="179" t="str">
        <f>1-EXP(-J1833)</f>
      </c>
      <c r="L1833" s="180" t="str">
        <f>IF(G1833=30,1,M1832)</f>
      </c>
      <c r="M1833" s="181" t="str">
        <f>L1833*(1-K1833)</f>
      </c>
    </row>
    <row r="1834">
      <c r="A1834" t="s">
        <v>164</v>
      </c>
      <c r="B1834" t="s">
        <v>112</v>
      </c>
      <c r="C1834" s="32" t="s">
        <v>297</v>
      </c>
      <c r="D1834" t="s">
        <v>112</v>
      </c>
      <c r="E1834" t="s">
        <v>395</v>
      </c>
      <c r="F1834" s="174" t="n">
        <v>2044</v>
      </c>
      <c r="G1834" s="175" t="n">
        <v>62</v>
      </c>
      <c r="H1834" s="176" t="n">
        <v>23826.8291440275</v>
      </c>
      <c r="I1834" s="177" t="n">
        <v>3673594.45375173</v>
      </c>
      <c r="J1834" s="178" t="str">
        <f>IF(I1834&gt;0,H1834/I1834,0)</f>
      </c>
      <c r="K1834" s="179" t="str">
        <f>1-EXP(-J1834)</f>
      </c>
      <c r="L1834" s="180" t="str">
        <f>IF(G1834=30,1,M1833)</f>
      </c>
      <c r="M1834" s="181" t="str">
        <f>L1834*(1-K1834)</f>
      </c>
    </row>
    <row r="1835">
      <c r="A1835" t="s">
        <v>164</v>
      </c>
      <c r="B1835" t="s">
        <v>112</v>
      </c>
      <c r="C1835" s="32" t="s">
        <v>297</v>
      </c>
      <c r="D1835" t="s">
        <v>112</v>
      </c>
      <c r="E1835" t="s">
        <v>395</v>
      </c>
      <c r="F1835" s="174" t="n">
        <v>2044</v>
      </c>
      <c r="G1835" s="175" t="n">
        <v>63</v>
      </c>
      <c r="H1835" s="176" t="n">
        <v>25380.725215057</v>
      </c>
      <c r="I1835" s="177" t="n">
        <v>3567124.18642087</v>
      </c>
      <c r="J1835" s="178" t="str">
        <f>IF(I1835&gt;0,H1835/I1835,0)</f>
      </c>
      <c r="K1835" s="179" t="str">
        <f>1-EXP(-J1835)</f>
      </c>
      <c r="L1835" s="180" t="str">
        <f>IF(G1835=30,1,M1834)</f>
      </c>
      <c r="M1835" s="181" t="str">
        <f>L1835*(1-K1835)</f>
      </c>
    </row>
    <row r="1836">
      <c r="A1836" t="s">
        <v>164</v>
      </c>
      <c r="B1836" t="s">
        <v>112</v>
      </c>
      <c r="C1836" s="32" t="s">
        <v>297</v>
      </c>
      <c r="D1836" t="s">
        <v>112</v>
      </c>
      <c r="E1836" t="s">
        <v>395</v>
      </c>
      <c r="F1836" s="174" t="n">
        <v>2044</v>
      </c>
      <c r="G1836" s="175" t="n">
        <v>64</v>
      </c>
      <c r="H1836" s="176" t="n">
        <v>27098.9405346093</v>
      </c>
      <c r="I1836" s="177" t="n">
        <v>3472425.12563182</v>
      </c>
      <c r="J1836" s="178" t="str">
        <f>IF(I1836&gt;0,H1836/I1836,0)</f>
      </c>
      <c r="K1836" s="179" t="str">
        <f>1-EXP(-J1836)</f>
      </c>
      <c r="L1836" s="180" t="str">
        <f>IF(G1836=30,1,M1835)</f>
      </c>
      <c r="M1836" s="181" t="str">
        <f>L1836*(1-K1836)</f>
      </c>
    </row>
    <row r="1837">
      <c r="A1837" t="s">
        <v>164</v>
      </c>
      <c r="B1837" t="s">
        <v>112</v>
      </c>
      <c r="C1837" s="32" t="s">
        <v>297</v>
      </c>
      <c r="D1837" t="s">
        <v>112</v>
      </c>
      <c r="E1837" t="s">
        <v>395</v>
      </c>
      <c r="F1837" s="174" t="n">
        <v>2044</v>
      </c>
      <c r="G1837" s="175" t="n">
        <v>65</v>
      </c>
      <c r="H1837" s="176" t="n">
        <v>27536.7953952198</v>
      </c>
      <c r="I1837" s="177" t="n">
        <v>3370694.08871409</v>
      </c>
      <c r="J1837" s="178" t="str">
        <f>IF(I1837&gt;0,H1837/I1837,0)</f>
      </c>
      <c r="K1837" s="179" t="str">
        <f>1-EXP(-J1837)</f>
      </c>
      <c r="L1837" s="180" t="str">
        <f>IF(G1837=30,1,M1836)</f>
      </c>
      <c r="M1837" s="181" t="str">
        <f>L1837*(1-K1837)</f>
      </c>
    </row>
    <row r="1838">
      <c r="A1838" t="s">
        <v>164</v>
      </c>
      <c r="B1838" t="s">
        <v>112</v>
      </c>
      <c r="C1838" s="32" t="s">
        <v>297</v>
      </c>
      <c r="D1838" t="s">
        <v>112</v>
      </c>
      <c r="E1838" t="s">
        <v>395</v>
      </c>
      <c r="F1838" s="174" t="n">
        <v>2044</v>
      </c>
      <c r="G1838" s="175" t="n">
        <v>66</v>
      </c>
      <c r="H1838" s="176" t="n">
        <v>29155.998443632</v>
      </c>
      <c r="I1838" s="177" t="n">
        <v>3250939.13552593</v>
      </c>
      <c r="J1838" s="178" t="str">
        <f>IF(I1838&gt;0,H1838/I1838,0)</f>
      </c>
      <c r="K1838" s="179" t="str">
        <f>1-EXP(-J1838)</f>
      </c>
      <c r="L1838" s="180" t="str">
        <f>IF(G1838=30,1,M1837)</f>
      </c>
      <c r="M1838" s="181" t="str">
        <f>L1838*(1-K1838)</f>
      </c>
    </row>
    <row r="1839">
      <c r="A1839" t="s">
        <v>164</v>
      </c>
      <c r="B1839" t="s">
        <v>112</v>
      </c>
      <c r="C1839" s="32" t="s">
        <v>297</v>
      </c>
      <c r="D1839" t="s">
        <v>112</v>
      </c>
      <c r="E1839" t="s">
        <v>395</v>
      </c>
      <c r="F1839" s="174" t="n">
        <v>2044</v>
      </c>
      <c r="G1839" s="175" t="n">
        <v>67</v>
      </c>
      <c r="H1839" s="176" t="n">
        <v>30974.499416332</v>
      </c>
      <c r="I1839" s="177" t="n">
        <v>3142197.7250946</v>
      </c>
      <c r="J1839" s="178" t="str">
        <f>IF(I1839&gt;0,H1839/I1839,0)</f>
      </c>
      <c r="K1839" s="179" t="str">
        <f>1-EXP(-J1839)</f>
      </c>
      <c r="L1839" s="180" t="str">
        <f>IF(G1839=30,1,M1838)</f>
      </c>
      <c r="M1839" s="181" t="str">
        <f>L1839*(1-K1839)</f>
      </c>
    </row>
    <row r="1840">
      <c r="A1840" t="s">
        <v>164</v>
      </c>
      <c r="B1840" t="s">
        <v>112</v>
      </c>
      <c r="C1840" s="32" t="s">
        <v>297</v>
      </c>
      <c r="D1840" t="s">
        <v>112</v>
      </c>
      <c r="E1840" t="s">
        <v>395</v>
      </c>
      <c r="F1840" s="174" t="n">
        <v>2044</v>
      </c>
      <c r="G1840" s="175" t="n">
        <v>68</v>
      </c>
      <c r="H1840" s="176" t="n">
        <v>32729.9713564559</v>
      </c>
      <c r="I1840" s="177" t="n">
        <v>3022185.78582658</v>
      </c>
      <c r="J1840" s="178" t="str">
        <f>IF(I1840&gt;0,H1840/I1840,0)</f>
      </c>
      <c r="K1840" s="179" t="str">
        <f>1-EXP(-J1840)</f>
      </c>
      <c r="L1840" s="180" t="str">
        <f>IF(G1840=30,1,M1839)</f>
      </c>
      <c r="M1840" s="181" t="str">
        <f>L1840*(1-K1840)</f>
      </c>
    </row>
    <row r="1841">
      <c r="A1841" t="s">
        <v>164</v>
      </c>
      <c r="B1841" t="s">
        <v>112</v>
      </c>
      <c r="C1841" s="32" t="s">
        <v>297</v>
      </c>
      <c r="D1841" t="s">
        <v>112</v>
      </c>
      <c r="E1841" t="s">
        <v>395</v>
      </c>
      <c r="F1841" s="174" t="n">
        <v>2044</v>
      </c>
      <c r="G1841" s="175" t="n">
        <v>69</v>
      </c>
      <c r="H1841" s="176" t="n">
        <v>34529.9669840239</v>
      </c>
      <c r="I1841" s="177" t="n">
        <v>2899600.66260954</v>
      </c>
      <c r="J1841" s="178" t="str">
        <f>IF(I1841&gt;0,H1841/I1841,0)</f>
      </c>
      <c r="K1841" s="179" t="str">
        <f>1-EXP(-J1841)</f>
      </c>
      <c r="L1841" s="180" t="str">
        <f>IF(G1841=30,1,M1840)</f>
      </c>
      <c r="M1841" s="181" t="str">
        <f>L1841*(1-K1841)</f>
      </c>
    </row>
    <row r="1842">
      <c r="A1842" t="s">
        <v>164</v>
      </c>
      <c r="B1842" t="s">
        <v>112</v>
      </c>
      <c r="C1842" s="32" t="s">
        <v>297</v>
      </c>
      <c r="D1842" t="s">
        <v>112</v>
      </c>
      <c r="E1842" t="s">
        <v>395</v>
      </c>
      <c r="F1842" s="174" t="n">
        <v>2045</v>
      </c>
      <c r="G1842" s="175" t="n">
        <v>30</v>
      </c>
      <c r="H1842" s="176" t="n">
        <v>740.974012990067</v>
      </c>
      <c r="I1842" s="177" t="n">
        <v>4642333.58395385</v>
      </c>
      <c r="J1842" s="178" t="str">
        <f>IF(I1842&gt;0,H1842/I1842,0)</f>
      </c>
      <c r="K1842" s="179" t="str">
        <f>1-EXP(-J1842)</f>
      </c>
      <c r="L1842" s="180" t="str">
        <f>IF(G1842=30,1,M1841)</f>
      </c>
      <c r="M1842" s="181" t="str">
        <f>L1842*(1-K1842)</f>
      </c>
    </row>
    <row r="1843">
      <c r="A1843" t="s">
        <v>164</v>
      </c>
      <c r="B1843" t="s">
        <v>112</v>
      </c>
      <c r="C1843" s="32" t="s">
        <v>297</v>
      </c>
      <c r="D1843" t="s">
        <v>112</v>
      </c>
      <c r="E1843" t="s">
        <v>395</v>
      </c>
      <c r="F1843" s="174" t="n">
        <v>2045</v>
      </c>
      <c r="G1843" s="175" t="n">
        <v>31</v>
      </c>
      <c r="H1843" s="176" t="n">
        <v>994.487690345583</v>
      </c>
      <c r="I1843" s="177" t="n">
        <v>4708844.90647585</v>
      </c>
      <c r="J1843" s="178" t="str">
        <f>IF(I1843&gt;0,H1843/I1843,0)</f>
      </c>
      <c r="K1843" s="179" t="str">
        <f>1-EXP(-J1843)</f>
      </c>
      <c r="L1843" s="180" t="str">
        <f>IF(G1843=30,1,M1842)</f>
      </c>
      <c r="M1843" s="181" t="str">
        <f>L1843*(1-K1843)</f>
      </c>
    </row>
    <row r="1844">
      <c r="A1844" t="s">
        <v>164</v>
      </c>
      <c r="B1844" t="s">
        <v>112</v>
      </c>
      <c r="C1844" s="32" t="s">
        <v>297</v>
      </c>
      <c r="D1844" t="s">
        <v>112</v>
      </c>
      <c r="E1844" t="s">
        <v>395</v>
      </c>
      <c r="F1844" s="174" t="n">
        <v>2045</v>
      </c>
      <c r="G1844" s="175" t="n">
        <v>32</v>
      </c>
      <c r="H1844" s="176" t="n">
        <v>1063.14812937919</v>
      </c>
      <c r="I1844" s="177" t="n">
        <v>4777003.77194401</v>
      </c>
      <c r="J1844" s="178" t="str">
        <f>IF(I1844&gt;0,H1844/I1844,0)</f>
      </c>
      <c r="K1844" s="179" t="str">
        <f>1-EXP(-J1844)</f>
      </c>
      <c r="L1844" s="180" t="str">
        <f>IF(G1844=30,1,M1843)</f>
      </c>
      <c r="M1844" s="181" t="str">
        <f>L1844*(1-K1844)</f>
      </c>
    </row>
    <row r="1845">
      <c r="A1845" t="s">
        <v>164</v>
      </c>
      <c r="B1845" t="s">
        <v>112</v>
      </c>
      <c r="C1845" s="32" t="s">
        <v>297</v>
      </c>
      <c r="D1845" t="s">
        <v>112</v>
      </c>
      <c r="E1845" t="s">
        <v>395</v>
      </c>
      <c r="F1845" s="174" t="n">
        <v>2045</v>
      </c>
      <c r="G1845" s="175" t="n">
        <v>33</v>
      </c>
      <c r="H1845" s="176" t="n">
        <v>1196.23152480631</v>
      </c>
      <c r="I1845" s="177" t="n">
        <v>4889504.50069975</v>
      </c>
      <c r="J1845" s="178" t="str">
        <f>IF(I1845&gt;0,H1845/I1845,0)</f>
      </c>
      <c r="K1845" s="179" t="str">
        <f>1-EXP(-J1845)</f>
      </c>
      <c r="L1845" s="180" t="str">
        <f>IF(G1845=30,1,M1844)</f>
      </c>
      <c r="M1845" s="181" t="str">
        <f>L1845*(1-K1845)</f>
      </c>
    </row>
    <row r="1846">
      <c r="A1846" t="s">
        <v>164</v>
      </c>
      <c r="B1846" t="s">
        <v>112</v>
      </c>
      <c r="C1846" s="32" t="s">
        <v>297</v>
      </c>
      <c r="D1846" t="s">
        <v>112</v>
      </c>
      <c r="E1846" t="s">
        <v>395</v>
      </c>
      <c r="F1846" s="174" t="n">
        <v>2045</v>
      </c>
      <c r="G1846" s="175" t="n">
        <v>34</v>
      </c>
      <c r="H1846" s="176" t="n">
        <v>1265.93458744449</v>
      </c>
      <c r="I1846" s="177" t="n">
        <v>4861041.17568799</v>
      </c>
      <c r="J1846" s="178" t="str">
        <f>IF(I1846&gt;0,H1846/I1846,0)</f>
      </c>
      <c r="K1846" s="179" t="str">
        <f>1-EXP(-J1846)</f>
      </c>
      <c r="L1846" s="180" t="str">
        <f>IF(G1846=30,1,M1845)</f>
      </c>
      <c r="M1846" s="181" t="str">
        <f>L1846*(1-K1846)</f>
      </c>
    </row>
    <row r="1847">
      <c r="A1847" t="s">
        <v>164</v>
      </c>
      <c r="B1847" t="s">
        <v>112</v>
      </c>
      <c r="C1847" s="32" t="s">
        <v>297</v>
      </c>
      <c r="D1847" t="s">
        <v>112</v>
      </c>
      <c r="E1847" t="s">
        <v>395</v>
      </c>
      <c r="F1847" s="174" t="n">
        <v>2045</v>
      </c>
      <c r="G1847" s="175" t="n">
        <v>35</v>
      </c>
      <c r="H1847" s="176" t="n">
        <v>1612.9921660386</v>
      </c>
      <c r="I1847" s="177" t="n">
        <v>4726981.55005464</v>
      </c>
      <c r="J1847" s="178" t="str">
        <f>IF(I1847&gt;0,H1847/I1847,0)</f>
      </c>
      <c r="K1847" s="179" t="str">
        <f>1-EXP(-J1847)</f>
      </c>
      <c r="L1847" s="180" t="str">
        <f>IF(G1847=30,1,M1846)</f>
      </c>
      <c r="M1847" s="181" t="str">
        <f>L1847*(1-K1847)</f>
      </c>
    </row>
    <row r="1848">
      <c r="A1848" t="s">
        <v>164</v>
      </c>
      <c r="B1848" t="s">
        <v>112</v>
      </c>
      <c r="C1848" s="32" t="s">
        <v>297</v>
      </c>
      <c r="D1848" t="s">
        <v>112</v>
      </c>
      <c r="E1848" t="s">
        <v>395</v>
      </c>
      <c r="F1848" s="174" t="n">
        <v>2045</v>
      </c>
      <c r="G1848" s="175" t="n">
        <v>36</v>
      </c>
      <c r="H1848" s="176" t="n">
        <v>1864.93483112218</v>
      </c>
      <c r="I1848" s="177" t="n">
        <v>4655142.90999436</v>
      </c>
      <c r="J1848" s="178" t="str">
        <f>IF(I1848&gt;0,H1848/I1848,0)</f>
      </c>
      <c r="K1848" s="179" t="str">
        <f>1-EXP(-J1848)</f>
      </c>
      <c r="L1848" s="180" t="str">
        <f>IF(G1848=30,1,M1847)</f>
      </c>
      <c r="M1848" s="181" t="str">
        <f>L1848*(1-K1848)</f>
      </c>
    </row>
    <row r="1849">
      <c r="A1849" t="s">
        <v>164</v>
      </c>
      <c r="B1849" t="s">
        <v>112</v>
      </c>
      <c r="C1849" s="32" t="s">
        <v>297</v>
      </c>
      <c r="D1849" t="s">
        <v>112</v>
      </c>
      <c r="E1849" t="s">
        <v>395</v>
      </c>
      <c r="F1849" s="174" t="n">
        <v>2045</v>
      </c>
      <c r="G1849" s="175" t="n">
        <v>37</v>
      </c>
      <c r="H1849" s="176" t="n">
        <v>1985.8389018502</v>
      </c>
      <c r="I1849" s="177" t="n">
        <v>4611238.18408207</v>
      </c>
      <c r="J1849" s="178" t="str">
        <f>IF(I1849&gt;0,H1849/I1849,0)</f>
      </c>
      <c r="K1849" s="179" t="str">
        <f>1-EXP(-J1849)</f>
      </c>
      <c r="L1849" s="180" t="str">
        <f>IF(G1849=30,1,M1848)</f>
      </c>
      <c r="M1849" s="181" t="str">
        <f>L1849*(1-K1849)</f>
      </c>
    </row>
    <row r="1850">
      <c r="A1850" t="s">
        <v>164</v>
      </c>
      <c r="B1850" t="s">
        <v>112</v>
      </c>
      <c r="C1850" s="32" t="s">
        <v>297</v>
      </c>
      <c r="D1850" t="s">
        <v>112</v>
      </c>
      <c r="E1850" t="s">
        <v>395</v>
      </c>
      <c r="F1850" s="174" t="n">
        <v>2045</v>
      </c>
      <c r="G1850" s="175" t="n">
        <v>38</v>
      </c>
      <c r="H1850" s="176" t="n">
        <v>2212.60933822948</v>
      </c>
      <c r="I1850" s="177" t="n">
        <v>4634886.57090607</v>
      </c>
      <c r="J1850" s="178" t="str">
        <f>IF(I1850&gt;0,H1850/I1850,0)</f>
      </c>
      <c r="K1850" s="179" t="str">
        <f>1-EXP(-J1850)</f>
      </c>
      <c r="L1850" s="180" t="str">
        <f>IF(G1850=30,1,M1849)</f>
      </c>
      <c r="M1850" s="181" t="str">
        <f>L1850*(1-K1850)</f>
      </c>
    </row>
    <row r="1851">
      <c r="A1851" t="s">
        <v>164</v>
      </c>
      <c r="B1851" t="s">
        <v>112</v>
      </c>
      <c r="C1851" s="32" t="s">
        <v>297</v>
      </c>
      <c r="D1851" t="s">
        <v>112</v>
      </c>
      <c r="E1851" t="s">
        <v>395</v>
      </c>
      <c r="F1851" s="174" t="n">
        <v>2045</v>
      </c>
      <c r="G1851" s="175" t="n">
        <v>39</v>
      </c>
      <c r="H1851" s="176" t="n">
        <v>2347.10548168431</v>
      </c>
      <c r="I1851" s="177" t="n">
        <v>4550155.68448699</v>
      </c>
      <c r="J1851" s="178" t="str">
        <f>IF(I1851&gt;0,H1851/I1851,0)</f>
      </c>
      <c r="K1851" s="179" t="str">
        <f>1-EXP(-J1851)</f>
      </c>
      <c r="L1851" s="180" t="str">
        <f>IF(G1851=30,1,M1850)</f>
      </c>
      <c r="M1851" s="181" t="str">
        <f>L1851*(1-K1851)</f>
      </c>
    </row>
    <row r="1852">
      <c r="A1852" t="s">
        <v>164</v>
      </c>
      <c r="B1852" t="s">
        <v>112</v>
      </c>
      <c r="C1852" s="32" t="s">
        <v>297</v>
      </c>
      <c r="D1852" t="s">
        <v>112</v>
      </c>
      <c r="E1852" t="s">
        <v>395</v>
      </c>
      <c r="F1852" s="174" t="n">
        <v>2045</v>
      </c>
      <c r="G1852" s="175" t="n">
        <v>40</v>
      </c>
      <c r="H1852" s="176" t="n">
        <v>3108.55401321256</v>
      </c>
      <c r="I1852" s="177" t="n">
        <v>4486798.87653305</v>
      </c>
      <c r="J1852" s="178" t="str">
        <f>IF(I1852&gt;0,H1852/I1852,0)</f>
      </c>
      <c r="K1852" s="179" t="str">
        <f>1-EXP(-J1852)</f>
      </c>
      <c r="L1852" s="180" t="str">
        <f>IF(G1852=30,1,M1851)</f>
      </c>
      <c r="M1852" s="181" t="str">
        <f>L1852*(1-K1852)</f>
      </c>
    </row>
    <row r="1853">
      <c r="A1853" t="s">
        <v>164</v>
      </c>
      <c r="B1853" t="s">
        <v>112</v>
      </c>
      <c r="C1853" s="32" t="s">
        <v>297</v>
      </c>
      <c r="D1853" t="s">
        <v>112</v>
      </c>
      <c r="E1853" t="s">
        <v>395</v>
      </c>
      <c r="F1853" s="174" t="n">
        <v>2045</v>
      </c>
      <c r="G1853" s="175" t="n">
        <v>41</v>
      </c>
      <c r="H1853" s="176" t="n">
        <v>3403.57637812785</v>
      </c>
      <c r="I1853" s="177" t="n">
        <v>4355548.28247846</v>
      </c>
      <c r="J1853" s="178" t="str">
        <f>IF(I1853&gt;0,H1853/I1853,0)</f>
      </c>
      <c r="K1853" s="179" t="str">
        <f>1-EXP(-J1853)</f>
      </c>
      <c r="L1853" s="180" t="str">
        <f>IF(G1853=30,1,M1852)</f>
      </c>
      <c r="M1853" s="181" t="str">
        <f>L1853*(1-K1853)</f>
      </c>
    </row>
    <row r="1854">
      <c r="A1854" t="s">
        <v>164</v>
      </c>
      <c r="B1854" t="s">
        <v>112</v>
      </c>
      <c r="C1854" s="32" t="s">
        <v>297</v>
      </c>
      <c r="D1854" t="s">
        <v>112</v>
      </c>
      <c r="E1854" t="s">
        <v>395</v>
      </c>
      <c r="F1854" s="174" t="n">
        <v>2045</v>
      </c>
      <c r="G1854" s="175" t="n">
        <v>42</v>
      </c>
      <c r="H1854" s="176" t="n">
        <v>3634.57304648239</v>
      </c>
      <c r="I1854" s="177" t="n">
        <v>4286755.39822869</v>
      </c>
      <c r="J1854" s="178" t="str">
        <f>IF(I1854&gt;0,H1854/I1854,0)</f>
      </c>
      <c r="K1854" s="179" t="str">
        <f>1-EXP(-J1854)</f>
      </c>
      <c r="L1854" s="180" t="str">
        <f>IF(G1854=30,1,M1853)</f>
      </c>
      <c r="M1854" s="181" t="str">
        <f>L1854*(1-K1854)</f>
      </c>
    </row>
    <row r="1855">
      <c r="A1855" t="s">
        <v>164</v>
      </c>
      <c r="B1855" t="s">
        <v>112</v>
      </c>
      <c r="C1855" s="32" t="s">
        <v>297</v>
      </c>
      <c r="D1855" t="s">
        <v>112</v>
      </c>
      <c r="E1855" t="s">
        <v>395</v>
      </c>
      <c r="F1855" s="174" t="n">
        <v>2045</v>
      </c>
      <c r="G1855" s="175" t="n">
        <v>43</v>
      </c>
      <c r="H1855" s="176" t="n">
        <v>4083.0830242158</v>
      </c>
      <c r="I1855" s="177" t="n">
        <v>4259003.57870444</v>
      </c>
      <c r="J1855" s="178" t="str">
        <f>IF(I1855&gt;0,H1855/I1855,0)</f>
      </c>
      <c r="K1855" s="179" t="str">
        <f>1-EXP(-J1855)</f>
      </c>
      <c r="L1855" s="180" t="str">
        <f>IF(G1855=30,1,M1854)</f>
      </c>
      <c r="M1855" s="181" t="str">
        <f>L1855*(1-K1855)</f>
      </c>
    </row>
    <row r="1856">
      <c r="A1856" t="s">
        <v>164</v>
      </c>
      <c r="B1856" t="s">
        <v>112</v>
      </c>
      <c r="C1856" s="32" t="s">
        <v>297</v>
      </c>
      <c r="D1856" t="s">
        <v>112</v>
      </c>
      <c r="E1856" t="s">
        <v>395</v>
      </c>
      <c r="F1856" s="174" t="n">
        <v>2045</v>
      </c>
      <c r="G1856" s="175" t="n">
        <v>44</v>
      </c>
      <c r="H1856" s="176" t="n">
        <v>4418.90293727917</v>
      </c>
      <c r="I1856" s="177" t="n">
        <v>4233596.0595041</v>
      </c>
      <c r="J1856" s="178" t="str">
        <f>IF(I1856&gt;0,H1856/I1856,0)</f>
      </c>
      <c r="K1856" s="179" t="str">
        <f>1-EXP(-J1856)</f>
      </c>
      <c r="L1856" s="180" t="str">
        <f>IF(G1856=30,1,M1855)</f>
      </c>
      <c r="M1856" s="181" t="str">
        <f>L1856*(1-K1856)</f>
      </c>
    </row>
    <row r="1857">
      <c r="A1857" t="s">
        <v>164</v>
      </c>
      <c r="B1857" t="s">
        <v>112</v>
      </c>
      <c r="C1857" s="32" t="s">
        <v>297</v>
      </c>
      <c r="D1857" t="s">
        <v>112</v>
      </c>
      <c r="E1857" t="s">
        <v>395</v>
      </c>
      <c r="F1857" s="174" t="n">
        <v>2045</v>
      </c>
      <c r="G1857" s="175" t="n">
        <v>45</v>
      </c>
      <c r="H1857" s="176" t="n">
        <v>5631.65786956103</v>
      </c>
      <c r="I1857" s="177" t="n">
        <v>4207237.9176148</v>
      </c>
      <c r="J1857" s="178" t="str">
        <f>IF(I1857&gt;0,H1857/I1857,0)</f>
      </c>
      <c r="K1857" s="179" t="str">
        <f>1-EXP(-J1857)</f>
      </c>
      <c r="L1857" s="180" t="str">
        <f>IF(G1857=30,1,M1856)</f>
      </c>
      <c r="M1857" s="181" t="str">
        <f>L1857*(1-K1857)</f>
      </c>
    </row>
    <row r="1858">
      <c r="A1858" t="s">
        <v>164</v>
      </c>
      <c r="B1858" t="s">
        <v>112</v>
      </c>
      <c r="C1858" s="32" t="s">
        <v>297</v>
      </c>
      <c r="D1858" t="s">
        <v>112</v>
      </c>
      <c r="E1858" t="s">
        <v>395</v>
      </c>
      <c r="F1858" s="174" t="n">
        <v>2045</v>
      </c>
      <c r="G1858" s="175" t="n">
        <v>46</v>
      </c>
      <c r="H1858" s="176" t="n">
        <v>6250.4878204468</v>
      </c>
      <c r="I1858" s="177" t="n">
        <v>4217943.22742888</v>
      </c>
      <c r="J1858" s="178" t="str">
        <f>IF(I1858&gt;0,H1858/I1858,0)</f>
      </c>
      <c r="K1858" s="179" t="str">
        <f>1-EXP(-J1858)</f>
      </c>
      <c r="L1858" s="180" t="str">
        <f>IF(G1858=30,1,M1857)</f>
      </c>
      <c r="M1858" s="181" t="str">
        <f>L1858*(1-K1858)</f>
      </c>
    </row>
    <row r="1859">
      <c r="A1859" t="s">
        <v>164</v>
      </c>
      <c r="B1859" t="s">
        <v>112</v>
      </c>
      <c r="C1859" s="32" t="s">
        <v>297</v>
      </c>
      <c r="D1859" t="s">
        <v>112</v>
      </c>
      <c r="E1859" t="s">
        <v>395</v>
      </c>
      <c r="F1859" s="174" t="n">
        <v>2045</v>
      </c>
      <c r="G1859" s="175" t="n">
        <v>47</v>
      </c>
      <c r="H1859" s="176" t="n">
        <v>6924.45926446214</v>
      </c>
      <c r="I1859" s="177" t="n">
        <v>4266450.72290389</v>
      </c>
      <c r="J1859" s="178" t="str">
        <f>IF(I1859&gt;0,H1859/I1859,0)</f>
      </c>
      <c r="K1859" s="179" t="str">
        <f>1-EXP(-J1859)</f>
      </c>
      <c r="L1859" s="180" t="str">
        <f>IF(G1859=30,1,M1858)</f>
      </c>
      <c r="M1859" s="181" t="str">
        <f>L1859*(1-K1859)</f>
      </c>
    </row>
    <row r="1860">
      <c r="A1860" t="s">
        <v>164</v>
      </c>
      <c r="B1860" t="s">
        <v>112</v>
      </c>
      <c r="C1860" s="32" t="s">
        <v>297</v>
      </c>
      <c r="D1860" t="s">
        <v>112</v>
      </c>
      <c r="E1860" t="s">
        <v>395</v>
      </c>
      <c r="F1860" s="174" t="n">
        <v>2045</v>
      </c>
      <c r="G1860" s="175" t="n">
        <v>48</v>
      </c>
      <c r="H1860" s="176" t="n">
        <v>8004.14252791824</v>
      </c>
      <c r="I1860" s="177" t="n">
        <v>4387718.61516337</v>
      </c>
      <c r="J1860" s="178" t="str">
        <f>IF(I1860&gt;0,H1860/I1860,0)</f>
      </c>
      <c r="K1860" s="179" t="str">
        <f>1-EXP(-J1860)</f>
      </c>
      <c r="L1860" s="180" t="str">
        <f>IF(G1860=30,1,M1859)</f>
      </c>
      <c r="M1860" s="181" t="str">
        <f>L1860*(1-K1860)</f>
      </c>
    </row>
    <row r="1861">
      <c r="A1861" t="s">
        <v>164</v>
      </c>
      <c r="B1861" t="s">
        <v>112</v>
      </c>
      <c r="C1861" s="32" t="s">
        <v>297</v>
      </c>
      <c r="D1861" t="s">
        <v>112</v>
      </c>
      <c r="E1861" t="s">
        <v>395</v>
      </c>
      <c r="F1861" s="174" t="n">
        <v>2045</v>
      </c>
      <c r="G1861" s="175" t="n">
        <v>49</v>
      </c>
      <c r="H1861" s="176" t="n">
        <v>8664.05530841498</v>
      </c>
      <c r="I1861" s="177" t="n">
        <v>4333686.13380998</v>
      </c>
      <c r="J1861" s="178" t="str">
        <f>IF(I1861&gt;0,H1861/I1861,0)</f>
      </c>
      <c r="K1861" s="179" t="str">
        <f>1-EXP(-J1861)</f>
      </c>
      <c r="L1861" s="180" t="str">
        <f>IF(G1861=30,1,M1860)</f>
      </c>
      <c r="M1861" s="181" t="str">
        <f>L1861*(1-K1861)</f>
      </c>
    </row>
    <row r="1862">
      <c r="A1862" t="s">
        <v>164</v>
      </c>
      <c r="B1862" t="s">
        <v>112</v>
      </c>
      <c r="C1862" s="32" t="s">
        <v>297</v>
      </c>
      <c r="D1862" t="s">
        <v>112</v>
      </c>
      <c r="E1862" t="s">
        <v>395</v>
      </c>
      <c r="F1862" s="174" t="n">
        <v>2045</v>
      </c>
      <c r="G1862" s="175" t="n">
        <v>50</v>
      </c>
      <c r="H1862" s="176" t="n">
        <v>9703.80726173535</v>
      </c>
      <c r="I1862" s="177" t="n">
        <v>4249508.75425599</v>
      </c>
      <c r="J1862" s="178" t="str">
        <f>IF(I1862&gt;0,H1862/I1862,0)</f>
      </c>
      <c r="K1862" s="179" t="str">
        <f>1-EXP(-J1862)</f>
      </c>
      <c r="L1862" s="180" t="str">
        <f>IF(G1862=30,1,M1861)</f>
      </c>
      <c r="M1862" s="181" t="str">
        <f>L1862*(1-K1862)</f>
      </c>
    </row>
    <row r="1863">
      <c r="A1863" t="s">
        <v>164</v>
      </c>
      <c r="B1863" t="s">
        <v>112</v>
      </c>
      <c r="C1863" s="32" t="s">
        <v>297</v>
      </c>
      <c r="D1863" t="s">
        <v>112</v>
      </c>
      <c r="E1863" t="s">
        <v>395</v>
      </c>
      <c r="F1863" s="174" t="n">
        <v>2045</v>
      </c>
      <c r="G1863" s="175" t="n">
        <v>51</v>
      </c>
      <c r="H1863" s="176" t="n">
        <v>10443.6357157021</v>
      </c>
      <c r="I1863" s="177" t="n">
        <v>4178689.03594809</v>
      </c>
      <c r="J1863" s="178" t="str">
        <f>IF(I1863&gt;0,H1863/I1863,0)</f>
      </c>
      <c r="K1863" s="179" t="str">
        <f>1-EXP(-J1863)</f>
      </c>
      <c r="L1863" s="180" t="str">
        <f>IF(G1863=30,1,M1862)</f>
      </c>
      <c r="M1863" s="181" t="str">
        <f>L1863*(1-K1863)</f>
      </c>
    </row>
    <row r="1864">
      <c r="A1864" t="s">
        <v>164</v>
      </c>
      <c r="B1864" t="s">
        <v>112</v>
      </c>
      <c r="C1864" s="32" t="s">
        <v>297</v>
      </c>
      <c r="D1864" t="s">
        <v>112</v>
      </c>
      <c r="E1864" t="s">
        <v>395</v>
      </c>
      <c r="F1864" s="174" t="n">
        <v>2045</v>
      </c>
      <c r="G1864" s="175" t="n">
        <v>52</v>
      </c>
      <c r="H1864" s="176" t="n">
        <v>11226.1896784815</v>
      </c>
      <c r="I1864" s="177" t="n">
        <v>4110692.736583</v>
      </c>
      <c r="J1864" s="178" t="str">
        <f>IF(I1864&gt;0,H1864/I1864,0)</f>
      </c>
      <c r="K1864" s="179" t="str">
        <f>1-EXP(-J1864)</f>
      </c>
      <c r="L1864" s="180" t="str">
        <f>IF(G1864=30,1,M1863)</f>
      </c>
      <c r="M1864" s="181" t="str">
        <f>L1864*(1-K1864)</f>
      </c>
    </row>
    <row r="1865">
      <c r="A1865" t="s">
        <v>164</v>
      </c>
      <c r="B1865" t="s">
        <v>112</v>
      </c>
      <c r="C1865" s="32" t="s">
        <v>297</v>
      </c>
      <c r="D1865" t="s">
        <v>112</v>
      </c>
      <c r="E1865" t="s">
        <v>395</v>
      </c>
      <c r="F1865" s="174" t="n">
        <v>2045</v>
      </c>
      <c r="G1865" s="175" t="n">
        <v>53</v>
      </c>
      <c r="H1865" s="176" t="n">
        <v>12275.9510123251</v>
      </c>
      <c r="I1865" s="177" t="n">
        <v>4128205.150678</v>
      </c>
      <c r="J1865" s="178" t="str">
        <f>IF(I1865&gt;0,H1865/I1865,0)</f>
      </c>
      <c r="K1865" s="179" t="str">
        <f>1-EXP(-J1865)</f>
      </c>
      <c r="L1865" s="180" t="str">
        <f>IF(G1865=30,1,M1864)</f>
      </c>
      <c r="M1865" s="181" t="str">
        <f>L1865*(1-K1865)</f>
      </c>
    </row>
    <row r="1866">
      <c r="A1866" t="s">
        <v>164</v>
      </c>
      <c r="B1866" t="s">
        <v>112</v>
      </c>
      <c r="C1866" s="32" t="s">
        <v>297</v>
      </c>
      <c r="D1866" t="s">
        <v>112</v>
      </c>
      <c r="E1866" t="s">
        <v>395</v>
      </c>
      <c r="F1866" s="174" t="n">
        <v>2045</v>
      </c>
      <c r="G1866" s="175" t="n">
        <v>54</v>
      </c>
      <c r="H1866" s="176" t="n">
        <v>13355.197270235</v>
      </c>
      <c r="I1866" s="177" t="n">
        <v>4124856.37822066</v>
      </c>
      <c r="J1866" s="178" t="str">
        <f>IF(I1866&gt;0,H1866/I1866,0)</f>
      </c>
      <c r="K1866" s="179" t="str">
        <f>1-EXP(-J1866)</f>
      </c>
      <c r="L1866" s="180" t="str">
        <f>IF(G1866=30,1,M1865)</f>
      </c>
      <c r="M1866" s="181" t="str">
        <f>L1866*(1-K1866)</f>
      </c>
    </row>
    <row r="1867">
      <c r="A1867" t="s">
        <v>164</v>
      </c>
      <c r="B1867" t="s">
        <v>112</v>
      </c>
      <c r="C1867" s="32" t="s">
        <v>297</v>
      </c>
      <c r="D1867" t="s">
        <v>112</v>
      </c>
      <c r="E1867" t="s">
        <v>395</v>
      </c>
      <c r="F1867" s="174" t="n">
        <v>2045</v>
      </c>
      <c r="G1867" s="175" t="n">
        <v>55</v>
      </c>
      <c r="H1867" s="176" t="n">
        <v>19196.7827020809</v>
      </c>
      <c r="I1867" s="177" t="n">
        <v>6064931.48503555</v>
      </c>
      <c r="J1867" s="178" t="str">
        <f>IF(I1867&gt;0,H1867/I1867,0)</f>
      </c>
      <c r="K1867" s="179" t="str">
        <f>1-EXP(-J1867)</f>
      </c>
      <c r="L1867" s="180" t="str">
        <f>IF(G1867=30,1,M1866)</f>
      </c>
      <c r="M1867" s="181" t="str">
        <f>L1867*(1-K1867)</f>
      </c>
    </row>
    <row r="1868">
      <c r="A1868" t="s">
        <v>164</v>
      </c>
      <c r="B1868" t="s">
        <v>112</v>
      </c>
      <c r="C1868" s="32" t="s">
        <v>297</v>
      </c>
      <c r="D1868" t="s">
        <v>112</v>
      </c>
      <c r="E1868" t="s">
        <v>395</v>
      </c>
      <c r="F1868" s="174" t="n">
        <v>2045</v>
      </c>
      <c r="G1868" s="175" t="n">
        <v>56</v>
      </c>
      <c r="H1868" s="176" t="n">
        <v>15258.6204975333</v>
      </c>
      <c r="I1868" s="177" t="n">
        <v>4039615.96513204</v>
      </c>
      <c r="J1868" s="178" t="str">
        <f>IF(I1868&gt;0,H1868/I1868,0)</f>
      </c>
      <c r="K1868" s="179" t="str">
        <f>1-EXP(-J1868)</f>
      </c>
      <c r="L1868" s="180" t="str">
        <f>IF(G1868=30,1,M1867)</f>
      </c>
      <c r="M1868" s="181" t="str">
        <f>L1868*(1-K1868)</f>
      </c>
    </row>
    <row r="1869">
      <c r="A1869" t="s">
        <v>164</v>
      </c>
      <c r="B1869" t="s">
        <v>112</v>
      </c>
      <c r="C1869" s="32" t="s">
        <v>297</v>
      </c>
      <c r="D1869" t="s">
        <v>112</v>
      </c>
      <c r="E1869" t="s">
        <v>395</v>
      </c>
      <c r="F1869" s="174" t="n">
        <v>2045</v>
      </c>
      <c r="G1869" s="175" t="n">
        <v>57</v>
      </c>
      <c r="H1869" s="176" t="n">
        <v>16461.0664404445</v>
      </c>
      <c r="I1869" s="177" t="n">
        <v>3997950.20923481</v>
      </c>
      <c r="J1869" s="178" t="str">
        <f>IF(I1869&gt;0,H1869/I1869,0)</f>
      </c>
      <c r="K1869" s="179" t="str">
        <f>1-EXP(-J1869)</f>
      </c>
      <c r="L1869" s="180" t="str">
        <f>IF(G1869=30,1,M1868)</f>
      </c>
      <c r="M1869" s="181" t="str">
        <f>L1869*(1-K1869)</f>
      </c>
    </row>
    <row r="1870">
      <c r="A1870" t="s">
        <v>164</v>
      </c>
      <c r="B1870" t="s">
        <v>112</v>
      </c>
      <c r="C1870" s="32" t="s">
        <v>297</v>
      </c>
      <c r="D1870" t="s">
        <v>112</v>
      </c>
      <c r="E1870" t="s">
        <v>395</v>
      </c>
      <c r="F1870" s="174" t="n">
        <v>2045</v>
      </c>
      <c r="G1870" s="175" t="n">
        <v>58</v>
      </c>
      <c r="H1870" s="176" t="n">
        <v>17306.4444761717</v>
      </c>
      <c r="I1870" s="177" t="n">
        <v>3847902.63064677</v>
      </c>
      <c r="J1870" s="178" t="str">
        <f>IF(I1870&gt;0,H1870/I1870,0)</f>
      </c>
      <c r="K1870" s="179" t="str">
        <f>1-EXP(-J1870)</f>
      </c>
      <c r="L1870" s="180" t="str">
        <f>IF(G1870=30,1,M1869)</f>
      </c>
      <c r="M1870" s="181" t="str">
        <f>L1870*(1-K1870)</f>
      </c>
    </row>
    <row r="1871">
      <c r="A1871" t="s">
        <v>164</v>
      </c>
      <c r="B1871" t="s">
        <v>112</v>
      </c>
      <c r="C1871" s="32" t="s">
        <v>297</v>
      </c>
      <c r="D1871" t="s">
        <v>112</v>
      </c>
      <c r="E1871" t="s">
        <v>395</v>
      </c>
      <c r="F1871" s="174" t="n">
        <v>2045</v>
      </c>
      <c r="G1871" s="175" t="n">
        <v>59</v>
      </c>
      <c r="H1871" s="176" t="n">
        <v>18624.6813855932</v>
      </c>
      <c r="I1871" s="177" t="n">
        <v>3786448.7032608</v>
      </c>
      <c r="J1871" s="178" t="str">
        <f>IF(I1871&gt;0,H1871/I1871,0)</f>
      </c>
      <c r="K1871" s="179" t="str">
        <f>1-EXP(-J1871)</f>
      </c>
      <c r="L1871" s="180" t="str">
        <f>IF(G1871=30,1,M1870)</f>
      </c>
      <c r="M1871" s="181" t="str">
        <f>L1871*(1-K1871)</f>
      </c>
    </row>
    <row r="1872">
      <c r="A1872" t="s">
        <v>164</v>
      </c>
      <c r="B1872" t="s">
        <v>112</v>
      </c>
      <c r="C1872" s="32" t="s">
        <v>297</v>
      </c>
      <c r="D1872" t="s">
        <v>112</v>
      </c>
      <c r="E1872" t="s">
        <v>395</v>
      </c>
      <c r="F1872" s="174" t="n">
        <v>2045</v>
      </c>
      <c r="G1872" s="175" t="n">
        <v>60</v>
      </c>
      <c r="H1872" s="176" t="n">
        <v>20272.1535326477</v>
      </c>
      <c r="I1872" s="177" t="n">
        <v>3807446.18404301</v>
      </c>
      <c r="J1872" s="178" t="str">
        <f>IF(I1872&gt;0,H1872/I1872,0)</f>
      </c>
      <c r="K1872" s="179" t="str">
        <f>1-EXP(-J1872)</f>
      </c>
      <c r="L1872" s="180" t="str">
        <f>IF(G1872=30,1,M1871)</f>
      </c>
      <c r="M1872" s="181" t="str">
        <f>L1872*(1-K1872)</f>
      </c>
    </row>
    <row r="1873">
      <c r="A1873" t="s">
        <v>164</v>
      </c>
      <c r="B1873" t="s">
        <v>112</v>
      </c>
      <c r="C1873" s="32" t="s">
        <v>297</v>
      </c>
      <c r="D1873" t="s">
        <v>112</v>
      </c>
      <c r="E1873" t="s">
        <v>395</v>
      </c>
      <c r="F1873" s="174" t="n">
        <v>2045</v>
      </c>
      <c r="G1873" s="175" t="n">
        <v>61</v>
      </c>
      <c r="H1873" s="176" t="n">
        <v>22464.6779303265</v>
      </c>
      <c r="I1873" s="177" t="n">
        <v>3846962.41506467</v>
      </c>
      <c r="J1873" s="178" t="str">
        <f>IF(I1873&gt;0,H1873/I1873,0)</f>
      </c>
      <c r="K1873" s="179" t="str">
        <f>1-EXP(-J1873)</f>
      </c>
      <c r="L1873" s="180" t="str">
        <f>IF(G1873=30,1,M1872)</f>
      </c>
      <c r="M1873" s="181" t="str">
        <f>L1873*(1-K1873)</f>
      </c>
    </row>
    <row r="1874">
      <c r="A1874" t="s">
        <v>164</v>
      </c>
      <c r="B1874" t="s">
        <v>112</v>
      </c>
      <c r="C1874" s="32" t="s">
        <v>297</v>
      </c>
      <c r="D1874" t="s">
        <v>112</v>
      </c>
      <c r="E1874" t="s">
        <v>395</v>
      </c>
      <c r="F1874" s="174" t="n">
        <v>2045</v>
      </c>
      <c r="G1874" s="175" t="n">
        <v>62</v>
      </c>
      <c r="H1874" s="176" t="n">
        <v>24253.3702632243</v>
      </c>
      <c r="I1874" s="177" t="n">
        <v>3785375.1360586</v>
      </c>
      <c r="J1874" s="178" t="str">
        <f>IF(I1874&gt;0,H1874/I1874,0)</f>
      </c>
      <c r="K1874" s="179" t="str">
        <f>1-EXP(-J1874)</f>
      </c>
      <c r="L1874" s="180" t="str">
        <f>IF(G1874=30,1,M1873)</f>
      </c>
      <c r="M1874" s="181" t="str">
        <f>L1874*(1-K1874)</f>
      </c>
    </row>
    <row r="1875">
      <c r="A1875" t="s">
        <v>164</v>
      </c>
      <c r="B1875" t="s">
        <v>112</v>
      </c>
      <c r="C1875" s="32" t="s">
        <v>297</v>
      </c>
      <c r="D1875" t="s">
        <v>112</v>
      </c>
      <c r="E1875" t="s">
        <v>395</v>
      </c>
      <c r="F1875" s="174" t="n">
        <v>2045</v>
      </c>
      <c r="G1875" s="175" t="n">
        <v>63</v>
      </c>
      <c r="H1875" s="176" t="n">
        <v>25486.3640074343</v>
      </c>
      <c r="I1875" s="177" t="n">
        <v>3622002.48932615</v>
      </c>
      <c r="J1875" s="178" t="str">
        <f>IF(I1875&gt;0,H1875/I1875,0)</f>
      </c>
      <c r="K1875" s="179" t="str">
        <f>1-EXP(-J1875)</f>
      </c>
      <c r="L1875" s="180" t="str">
        <f>IF(G1875=30,1,M1874)</f>
      </c>
      <c r="M1875" s="181" t="str">
        <f>L1875*(1-K1875)</f>
      </c>
    </row>
    <row r="1876">
      <c r="A1876" t="s">
        <v>164</v>
      </c>
      <c r="B1876" t="s">
        <v>112</v>
      </c>
      <c r="C1876" s="32" t="s">
        <v>297</v>
      </c>
      <c r="D1876" t="s">
        <v>112</v>
      </c>
      <c r="E1876" t="s">
        <v>395</v>
      </c>
      <c r="F1876" s="174" t="n">
        <v>2045</v>
      </c>
      <c r="G1876" s="175" t="n">
        <v>64</v>
      </c>
      <c r="H1876" s="176" t="n">
        <v>27109.038828117</v>
      </c>
      <c r="I1876" s="177" t="n">
        <v>3512174.29727106</v>
      </c>
      <c r="J1876" s="178" t="str">
        <f>IF(I1876&gt;0,H1876/I1876,0)</f>
      </c>
      <c r="K1876" s="179" t="str">
        <f>1-EXP(-J1876)</f>
      </c>
      <c r="L1876" s="180" t="str">
        <f>IF(G1876=30,1,M1875)</f>
      </c>
      <c r="M1876" s="181" t="str">
        <f>L1876*(1-K1876)</f>
      </c>
    </row>
    <row r="1877">
      <c r="A1877" t="s">
        <v>164</v>
      </c>
      <c r="B1877" t="s">
        <v>112</v>
      </c>
      <c r="C1877" s="32" t="s">
        <v>297</v>
      </c>
      <c r="D1877" t="s">
        <v>112</v>
      </c>
      <c r="E1877" t="s">
        <v>395</v>
      </c>
      <c r="F1877" s="174" t="n">
        <v>2045</v>
      </c>
      <c r="G1877" s="175" t="n">
        <v>65</v>
      </c>
      <c r="H1877" s="176" t="n">
        <v>27555.6970670125</v>
      </c>
      <c r="I1877" s="177" t="n">
        <v>3413756.75986943</v>
      </c>
      <c r="J1877" s="178" t="str">
        <f>IF(I1877&gt;0,H1877/I1877,0)</f>
      </c>
      <c r="K1877" s="179" t="str">
        <f>1-EXP(-J1877)</f>
      </c>
      <c r="L1877" s="180" t="str">
        <f>IF(G1877=30,1,M1876)</f>
      </c>
      <c r="M1877" s="181" t="str">
        <f>L1877*(1-K1877)</f>
      </c>
    </row>
    <row r="1878">
      <c r="A1878" t="s">
        <v>164</v>
      </c>
      <c r="B1878" t="s">
        <v>112</v>
      </c>
      <c r="C1878" s="32" t="s">
        <v>297</v>
      </c>
      <c r="D1878" t="s">
        <v>112</v>
      </c>
      <c r="E1878" t="s">
        <v>395</v>
      </c>
      <c r="F1878" s="174" t="n">
        <v>2045</v>
      </c>
      <c r="G1878" s="175" t="n">
        <v>66</v>
      </c>
      <c r="H1878" s="176" t="n">
        <v>29324.7454017297</v>
      </c>
      <c r="I1878" s="177" t="n">
        <v>3308924.21299878</v>
      </c>
      <c r="J1878" s="178" t="str">
        <f>IF(I1878&gt;0,H1878/I1878,0)</f>
      </c>
      <c r="K1878" s="179" t="str">
        <f>1-EXP(-J1878)</f>
      </c>
      <c r="L1878" s="180" t="str">
        <f>IF(G1878=30,1,M1877)</f>
      </c>
      <c r="M1878" s="181" t="str">
        <f>L1878*(1-K1878)</f>
      </c>
    </row>
    <row r="1879">
      <c r="A1879" t="s">
        <v>164</v>
      </c>
      <c r="B1879" t="s">
        <v>112</v>
      </c>
      <c r="C1879" s="32" t="s">
        <v>297</v>
      </c>
      <c r="D1879" t="s">
        <v>112</v>
      </c>
      <c r="E1879" t="s">
        <v>395</v>
      </c>
      <c r="F1879" s="174" t="n">
        <v>2045</v>
      </c>
      <c r="G1879" s="175" t="n">
        <v>67</v>
      </c>
      <c r="H1879" s="176" t="n">
        <v>30998.9564933582</v>
      </c>
      <c r="I1879" s="177" t="n">
        <v>3184931.95370862</v>
      </c>
      <c r="J1879" s="178" t="str">
        <f>IF(I1879&gt;0,H1879/I1879,0)</f>
      </c>
      <c r="K1879" s="179" t="str">
        <f>1-EXP(-J1879)</f>
      </c>
      <c r="L1879" s="180" t="str">
        <f>IF(G1879=30,1,M1878)</f>
      </c>
      <c r="M1879" s="181" t="str">
        <f>L1879*(1-K1879)</f>
      </c>
    </row>
    <row r="1880">
      <c r="A1880" t="s">
        <v>164</v>
      </c>
      <c r="B1880" t="s">
        <v>112</v>
      </c>
      <c r="C1880" s="32" t="s">
        <v>297</v>
      </c>
      <c r="D1880" t="s">
        <v>112</v>
      </c>
      <c r="E1880" t="s">
        <v>395</v>
      </c>
      <c r="F1880" s="174" t="n">
        <v>2045</v>
      </c>
      <c r="G1880" s="175" t="n">
        <v>68</v>
      </c>
      <c r="H1880" s="176" t="n">
        <v>32889.4921481981</v>
      </c>
      <c r="I1880" s="177" t="n">
        <v>3072112.7970234</v>
      </c>
      <c r="J1880" s="178" t="str">
        <f>IF(I1880&gt;0,H1880/I1880,0)</f>
      </c>
      <c r="K1880" s="179" t="str">
        <f>1-EXP(-J1880)</f>
      </c>
      <c r="L1880" s="180" t="str">
        <f>IF(G1880=30,1,M1879)</f>
      </c>
      <c r="M1880" s="181" t="str">
        <f>L1880*(1-K1880)</f>
      </c>
    </row>
    <row r="1881">
      <c r="A1881" t="s">
        <v>164</v>
      </c>
      <c r="B1881" t="s">
        <v>112</v>
      </c>
      <c r="C1881" s="32" t="s">
        <v>297</v>
      </c>
      <c r="D1881" t="s">
        <v>112</v>
      </c>
      <c r="E1881" t="s">
        <v>395</v>
      </c>
      <c r="F1881" s="174" t="n">
        <v>2045</v>
      </c>
      <c r="G1881" s="175" t="n">
        <v>69</v>
      </c>
      <c r="H1881" s="176" t="n">
        <v>34711.386469017</v>
      </c>
      <c r="I1881" s="177" t="n">
        <v>2948206.88523671</v>
      </c>
      <c r="J1881" s="178" t="str">
        <f>IF(I1881&gt;0,H1881/I1881,0)</f>
      </c>
      <c r="K1881" s="179" t="str">
        <f>1-EXP(-J1881)</f>
      </c>
      <c r="L1881" s="180" t="str">
        <f>IF(G1881=30,1,M1880)</f>
      </c>
      <c r="M1881" s="181" t="str">
        <f>L1881*(1-K1881)</f>
      </c>
    </row>
    <row r="1882">
      <c r="A1882" t="s">
        <v>164</v>
      </c>
      <c r="B1882" t="s">
        <v>112</v>
      </c>
      <c r="C1882" s="32" t="s">
        <v>297</v>
      </c>
      <c r="D1882" t="s">
        <v>112</v>
      </c>
      <c r="E1882" t="s">
        <v>395</v>
      </c>
      <c r="F1882" s="174" t="n">
        <v>2046</v>
      </c>
      <c r="G1882" s="175" t="n">
        <v>30</v>
      </c>
      <c r="H1882" s="176" t="n">
        <v>694.516488547025</v>
      </c>
      <c r="I1882" s="177" t="n">
        <v>4588321.92170056</v>
      </c>
      <c r="J1882" s="178" t="str">
        <f>IF(I1882&gt;0,H1882/I1882,0)</f>
      </c>
      <c r="K1882" s="179" t="str">
        <f>1-EXP(-J1882)</f>
      </c>
      <c r="L1882" s="180" t="str">
        <f>IF(G1882=30,1,M1881)</f>
      </c>
      <c r="M1882" s="181" t="str">
        <f>L1882*(1-K1882)</f>
      </c>
    </row>
    <row r="1883">
      <c r="A1883" t="s">
        <v>164</v>
      </c>
      <c r="B1883" t="s">
        <v>112</v>
      </c>
      <c r="C1883" s="32" t="s">
        <v>297</v>
      </c>
      <c r="D1883" t="s">
        <v>112</v>
      </c>
      <c r="E1883" t="s">
        <v>395</v>
      </c>
      <c r="F1883" s="174" t="n">
        <v>2046</v>
      </c>
      <c r="G1883" s="175" t="n">
        <v>31</v>
      </c>
      <c r="H1883" s="176" t="n">
        <v>981.090958835521</v>
      </c>
      <c r="I1883" s="177" t="n">
        <v>4637118.8879299</v>
      </c>
      <c r="J1883" s="178" t="str">
        <f>IF(I1883&gt;0,H1883/I1883,0)</f>
      </c>
      <c r="K1883" s="179" t="str">
        <f>1-EXP(-J1883)</f>
      </c>
      <c r="L1883" s="180" t="str">
        <f>IF(G1883=30,1,M1882)</f>
      </c>
      <c r="M1883" s="181" t="str">
        <f>L1883*(1-K1883)</f>
      </c>
    </row>
    <row r="1884">
      <c r="A1884" t="s">
        <v>164</v>
      </c>
      <c r="B1884" t="s">
        <v>112</v>
      </c>
      <c r="C1884" s="32" t="s">
        <v>297</v>
      </c>
      <c r="D1884" t="s">
        <v>112</v>
      </c>
      <c r="E1884" t="s">
        <v>395</v>
      </c>
      <c r="F1884" s="174" t="n">
        <v>2046</v>
      </c>
      <c r="G1884" s="175" t="n">
        <v>32</v>
      </c>
      <c r="H1884" s="176" t="n">
        <v>1048.54146824522</v>
      </c>
      <c r="I1884" s="177" t="n">
        <v>4703629.84127443</v>
      </c>
      <c r="J1884" s="178" t="str">
        <f>IF(I1884&gt;0,H1884/I1884,0)</f>
      </c>
      <c r="K1884" s="179" t="str">
        <f>1-EXP(-J1884)</f>
      </c>
      <c r="L1884" s="180" t="str">
        <f>IF(G1884=30,1,M1883)</f>
      </c>
      <c r="M1884" s="181" t="str">
        <f>L1884*(1-K1884)</f>
      </c>
    </row>
    <row r="1885">
      <c r="A1885" t="s">
        <v>164</v>
      </c>
      <c r="B1885" t="s">
        <v>112</v>
      </c>
      <c r="C1885" s="32" t="s">
        <v>297</v>
      </c>
      <c r="D1885" t="s">
        <v>112</v>
      </c>
      <c r="E1885" t="s">
        <v>395</v>
      </c>
      <c r="F1885" s="174" t="n">
        <v>2046</v>
      </c>
      <c r="G1885" s="175" t="n">
        <v>33</v>
      </c>
      <c r="H1885" s="176" t="n">
        <v>1126.78812063903</v>
      </c>
      <c r="I1885" s="177" t="n">
        <v>4771495.17179864</v>
      </c>
      <c r="J1885" s="178" t="str">
        <f>IF(I1885&gt;0,H1885/I1885,0)</f>
      </c>
      <c r="K1885" s="179" t="str">
        <f>1-EXP(-J1885)</f>
      </c>
      <c r="L1885" s="180" t="str">
        <f>IF(G1885=30,1,M1884)</f>
      </c>
      <c r="M1885" s="181" t="str">
        <f>L1885*(1-K1885)</f>
      </c>
    </row>
    <row r="1886">
      <c r="A1886" t="s">
        <v>164</v>
      </c>
      <c r="B1886" t="s">
        <v>112</v>
      </c>
      <c r="C1886" s="32" t="s">
        <v>297</v>
      </c>
      <c r="D1886" t="s">
        <v>112</v>
      </c>
      <c r="E1886" t="s">
        <v>395</v>
      </c>
      <c r="F1886" s="174" t="n">
        <v>2046</v>
      </c>
      <c r="G1886" s="175" t="n">
        <v>34</v>
      </c>
      <c r="H1886" s="176" t="n">
        <v>1273.16548041661</v>
      </c>
      <c r="I1886" s="177" t="n">
        <v>4883561.68408077</v>
      </c>
      <c r="J1886" s="178" t="str">
        <f>IF(I1886&gt;0,H1886/I1886,0)</f>
      </c>
      <c r="K1886" s="179" t="str">
        <f>1-EXP(-J1886)</f>
      </c>
      <c r="L1886" s="180" t="str">
        <f>IF(G1886=30,1,M1885)</f>
      </c>
      <c r="M1886" s="181" t="str">
        <f>L1886*(1-K1886)</f>
      </c>
    </row>
    <row r="1887">
      <c r="A1887" t="s">
        <v>164</v>
      </c>
      <c r="B1887" t="s">
        <v>112</v>
      </c>
      <c r="C1887" s="32" t="s">
        <v>297</v>
      </c>
      <c r="D1887" t="s">
        <v>112</v>
      </c>
      <c r="E1887" t="s">
        <v>395</v>
      </c>
      <c r="F1887" s="174" t="n">
        <v>2046</v>
      </c>
      <c r="G1887" s="175" t="n">
        <v>35</v>
      </c>
      <c r="H1887" s="176" t="n">
        <v>1653.859464</v>
      </c>
      <c r="I1887" s="177" t="n">
        <v>4854826.46593421</v>
      </c>
      <c r="J1887" s="178" t="str">
        <f>IF(I1887&gt;0,H1887/I1887,0)</f>
      </c>
      <c r="K1887" s="179" t="str">
        <f>1-EXP(-J1887)</f>
      </c>
      <c r="L1887" s="180" t="str">
        <f>IF(G1887=30,1,M1886)</f>
      </c>
      <c r="M1887" s="181" t="str">
        <f>L1887*(1-K1887)</f>
      </c>
    </row>
    <row r="1888">
      <c r="A1888" t="s">
        <v>164</v>
      </c>
      <c r="B1888" t="s">
        <v>112</v>
      </c>
      <c r="C1888" s="32" t="s">
        <v>297</v>
      </c>
      <c r="D1888" t="s">
        <v>112</v>
      </c>
      <c r="E1888" t="s">
        <v>395</v>
      </c>
      <c r="F1888" s="174" t="n">
        <v>2046</v>
      </c>
      <c r="G1888" s="175" t="n">
        <v>36</v>
      </c>
      <c r="H1888" s="176" t="n">
        <v>1886.82857593634</v>
      </c>
      <c r="I1888" s="177" t="n">
        <v>4720258.64056639</v>
      </c>
      <c r="J1888" s="178" t="str">
        <f>IF(I1888&gt;0,H1888/I1888,0)</f>
      </c>
      <c r="K1888" s="179" t="str">
        <f>1-EXP(-J1888)</f>
      </c>
      <c r="L1888" s="180" t="str">
        <f>IF(G1888=30,1,M1887)</f>
      </c>
      <c r="M1888" s="181" t="str">
        <f>L1888*(1-K1888)</f>
      </c>
    </row>
    <row r="1889">
      <c r="A1889" t="s">
        <v>164</v>
      </c>
      <c r="B1889" t="s">
        <v>112</v>
      </c>
      <c r="C1889" s="32" t="s">
        <v>297</v>
      </c>
      <c r="D1889" t="s">
        <v>112</v>
      </c>
      <c r="E1889" t="s">
        <v>395</v>
      </c>
      <c r="F1889" s="174" t="n">
        <v>2046</v>
      </c>
      <c r="G1889" s="175" t="n">
        <v>37</v>
      </c>
      <c r="H1889" s="176" t="n">
        <v>1996.69688457577</v>
      </c>
      <c r="I1889" s="177" t="n">
        <v>4648349.699867</v>
      </c>
      <c r="J1889" s="178" t="str">
        <f>IF(I1889&gt;0,H1889/I1889,0)</f>
      </c>
      <c r="K1889" s="179" t="str">
        <f>1-EXP(-J1889)</f>
      </c>
      <c r="L1889" s="180" t="str">
        <f>IF(G1889=30,1,M1888)</f>
      </c>
      <c r="M1889" s="181" t="str">
        <f>L1889*(1-K1889)</f>
      </c>
    </row>
    <row r="1890">
      <c r="A1890" t="s">
        <v>164</v>
      </c>
      <c r="B1890" t="s">
        <v>112</v>
      </c>
      <c r="C1890" s="32" t="s">
        <v>297</v>
      </c>
      <c r="D1890" t="s">
        <v>112</v>
      </c>
      <c r="E1890" t="s">
        <v>395</v>
      </c>
      <c r="F1890" s="174" t="n">
        <v>2046</v>
      </c>
      <c r="G1890" s="175" t="n">
        <v>38</v>
      </c>
      <c r="H1890" s="176" t="n">
        <v>2132.92509994279</v>
      </c>
      <c r="I1890" s="177" t="n">
        <v>4604053.96857654</v>
      </c>
      <c r="J1890" s="178" t="str">
        <f>IF(I1890&gt;0,H1890/I1890,0)</f>
      </c>
      <c r="K1890" s="179" t="str">
        <f>1-EXP(-J1890)</f>
      </c>
      <c r="L1890" s="180" t="str">
        <f>IF(G1890=30,1,M1889)</f>
      </c>
      <c r="M1890" s="181" t="str">
        <f>L1890*(1-K1890)</f>
      </c>
    </row>
    <row r="1891">
      <c r="A1891" t="s">
        <v>164</v>
      </c>
      <c r="B1891" t="s">
        <v>112</v>
      </c>
      <c r="C1891" s="32" t="s">
        <v>297</v>
      </c>
      <c r="D1891" t="s">
        <v>112</v>
      </c>
      <c r="E1891" t="s">
        <v>395</v>
      </c>
      <c r="F1891" s="174" t="n">
        <v>2046</v>
      </c>
      <c r="G1891" s="175" t="n">
        <v>39</v>
      </c>
      <c r="H1891" s="176" t="n">
        <v>2379.60832663832</v>
      </c>
      <c r="I1891" s="177" t="n">
        <v>4627087.56420381</v>
      </c>
      <c r="J1891" s="178" t="str">
        <f>IF(I1891&gt;0,H1891/I1891,0)</f>
      </c>
      <c r="K1891" s="179" t="str">
        <f>1-EXP(-J1891)</f>
      </c>
      <c r="L1891" s="180" t="str">
        <f>IF(G1891=30,1,M1890)</f>
      </c>
      <c r="M1891" s="181" t="str">
        <f>L1891*(1-K1891)</f>
      </c>
    </row>
    <row r="1892">
      <c r="A1892" t="s">
        <v>164</v>
      </c>
      <c r="B1892" t="s">
        <v>112</v>
      </c>
      <c r="C1892" s="32" t="s">
        <v>297</v>
      </c>
      <c r="D1892" t="s">
        <v>112</v>
      </c>
      <c r="E1892" t="s">
        <v>395</v>
      </c>
      <c r="F1892" s="174" t="n">
        <v>2046</v>
      </c>
      <c r="G1892" s="175" t="n">
        <v>40</v>
      </c>
      <c r="H1892" s="176" t="n">
        <v>3135.23619390153</v>
      </c>
      <c r="I1892" s="177" t="n">
        <v>4541927.1670523</v>
      </c>
      <c r="J1892" s="178" t="str">
        <f>IF(I1892&gt;0,H1892/I1892,0)</f>
      </c>
      <c r="K1892" s="179" t="str">
        <f>1-EXP(-J1892)</f>
      </c>
      <c r="L1892" s="180" t="str">
        <f>IF(G1892=30,1,M1891)</f>
      </c>
      <c r="M1892" s="181" t="str">
        <f>L1892*(1-K1892)</f>
      </c>
    </row>
    <row r="1893">
      <c r="A1893" t="s">
        <v>164</v>
      </c>
      <c r="B1893" t="s">
        <v>112</v>
      </c>
      <c r="C1893" s="32" t="s">
        <v>297</v>
      </c>
      <c r="D1893" t="s">
        <v>112</v>
      </c>
      <c r="E1893" t="s">
        <v>395</v>
      </c>
      <c r="F1893" s="174" t="n">
        <v>2046</v>
      </c>
      <c r="G1893" s="175" t="n">
        <v>41</v>
      </c>
      <c r="H1893" s="176" t="n">
        <v>3484.98596491422</v>
      </c>
      <c r="I1893" s="177" t="n">
        <v>4477385.20615398</v>
      </c>
      <c r="J1893" s="178" t="str">
        <f>IF(I1893&gt;0,H1893/I1893,0)</f>
      </c>
      <c r="K1893" s="179" t="str">
        <f>1-EXP(-J1893)</f>
      </c>
      <c r="L1893" s="180" t="str">
        <f>IF(G1893=30,1,M1892)</f>
      </c>
      <c r="M1893" s="181" t="str">
        <f>L1893*(1-K1893)</f>
      </c>
    </row>
    <row r="1894">
      <c r="A1894" t="s">
        <v>164</v>
      </c>
      <c r="B1894" t="s">
        <v>112</v>
      </c>
      <c r="C1894" s="32" t="s">
        <v>297</v>
      </c>
      <c r="D1894" t="s">
        <v>112</v>
      </c>
      <c r="E1894" t="s">
        <v>395</v>
      </c>
      <c r="F1894" s="174" t="n">
        <v>2046</v>
      </c>
      <c r="G1894" s="175" t="n">
        <v>42</v>
      </c>
      <c r="H1894" s="176" t="n">
        <v>3669.67287716951</v>
      </c>
      <c r="I1894" s="177" t="n">
        <v>4346272.27055621</v>
      </c>
      <c r="J1894" s="178" t="str">
        <f>IF(I1894&gt;0,H1894/I1894,0)</f>
      </c>
      <c r="K1894" s="179" t="str">
        <f>1-EXP(-J1894)</f>
      </c>
      <c r="L1894" s="180" t="str">
        <f>IF(G1894=30,1,M1893)</f>
      </c>
      <c r="M1894" s="181" t="str">
        <f>L1894*(1-K1894)</f>
      </c>
    </row>
    <row r="1895">
      <c r="A1895" t="s">
        <v>164</v>
      </c>
      <c r="B1895" t="s">
        <v>112</v>
      </c>
      <c r="C1895" s="32" t="s">
        <v>297</v>
      </c>
      <c r="D1895" t="s">
        <v>112</v>
      </c>
      <c r="E1895" t="s">
        <v>395</v>
      </c>
      <c r="F1895" s="174" t="n">
        <v>2046</v>
      </c>
      <c r="G1895" s="175" t="n">
        <v>43</v>
      </c>
      <c r="H1895" s="176" t="n">
        <v>3926.00246296081</v>
      </c>
      <c r="I1895" s="177" t="n">
        <v>4276884.21750615</v>
      </c>
      <c r="J1895" s="178" t="str">
        <f>IF(I1895&gt;0,H1895/I1895,0)</f>
      </c>
      <c r="K1895" s="179" t="str">
        <f>1-EXP(-J1895)</f>
      </c>
      <c r="L1895" s="180" t="str">
        <f>IF(G1895=30,1,M1894)</f>
      </c>
      <c r="M1895" s="181" t="str">
        <f>L1895*(1-K1895)</f>
      </c>
    </row>
    <row r="1896">
      <c r="A1896" t="s">
        <v>164</v>
      </c>
      <c r="B1896" t="s">
        <v>112</v>
      </c>
      <c r="C1896" s="32" t="s">
        <v>297</v>
      </c>
      <c r="D1896" t="s">
        <v>112</v>
      </c>
      <c r="E1896" t="s">
        <v>395</v>
      </c>
      <c r="F1896" s="174" t="n">
        <v>2046</v>
      </c>
      <c r="G1896" s="175" t="n">
        <v>44</v>
      </c>
      <c r="H1896" s="176" t="n">
        <v>4410.50066605777</v>
      </c>
      <c r="I1896" s="177" t="n">
        <v>4248189.74534617</v>
      </c>
      <c r="J1896" s="178" t="str">
        <f>IF(I1896&gt;0,H1896/I1896,0)</f>
      </c>
      <c r="K1896" s="179" t="str">
        <f>1-EXP(-J1896)</f>
      </c>
      <c r="L1896" s="180" t="str">
        <f>IF(G1896=30,1,M1895)</f>
      </c>
      <c r="M1896" s="181" t="str">
        <f>L1896*(1-K1896)</f>
      </c>
    </row>
    <row r="1897">
      <c r="A1897" t="s">
        <v>164</v>
      </c>
      <c r="B1897" t="s">
        <v>112</v>
      </c>
      <c r="C1897" s="32" t="s">
        <v>297</v>
      </c>
      <c r="D1897" t="s">
        <v>112</v>
      </c>
      <c r="E1897" t="s">
        <v>395</v>
      </c>
      <c r="F1897" s="174" t="n">
        <v>2046</v>
      </c>
      <c r="G1897" s="175" t="n">
        <v>45</v>
      </c>
      <c r="H1897" s="176" t="n">
        <v>5615.35979289176</v>
      </c>
      <c r="I1897" s="177" t="n">
        <v>4221927.93062982</v>
      </c>
      <c r="J1897" s="178" t="str">
        <f>IF(I1897&gt;0,H1897/I1897,0)</f>
      </c>
      <c r="K1897" s="179" t="str">
        <f>1-EXP(-J1897)</f>
      </c>
      <c r="L1897" s="180" t="str">
        <f>IF(G1897=30,1,M1896)</f>
      </c>
      <c r="M1897" s="181" t="str">
        <f>L1897*(1-K1897)</f>
      </c>
    </row>
    <row r="1898">
      <c r="A1898" t="s">
        <v>164</v>
      </c>
      <c r="B1898" t="s">
        <v>112</v>
      </c>
      <c r="C1898" s="32" t="s">
        <v>297</v>
      </c>
      <c r="D1898" t="s">
        <v>112</v>
      </c>
      <c r="E1898" t="s">
        <v>395</v>
      </c>
      <c r="F1898" s="174" t="n">
        <v>2046</v>
      </c>
      <c r="G1898" s="175" t="n">
        <v>46</v>
      </c>
      <c r="H1898" s="176" t="n">
        <v>6174.79230916644</v>
      </c>
      <c r="I1898" s="177" t="n">
        <v>4193747.77608023</v>
      </c>
      <c r="J1898" s="178" t="str">
        <f>IF(I1898&gt;0,H1898/I1898,0)</f>
      </c>
      <c r="K1898" s="179" t="str">
        <f>1-EXP(-J1898)</f>
      </c>
      <c r="L1898" s="180" t="str">
        <f>IF(G1898=30,1,M1897)</f>
      </c>
      <c r="M1898" s="181" t="str">
        <f>L1898*(1-K1898)</f>
      </c>
    </row>
    <row r="1899">
      <c r="A1899" t="s">
        <v>164</v>
      </c>
      <c r="B1899" t="s">
        <v>112</v>
      </c>
      <c r="C1899" s="32" t="s">
        <v>297</v>
      </c>
      <c r="D1899" t="s">
        <v>112</v>
      </c>
      <c r="E1899" t="s">
        <v>395</v>
      </c>
      <c r="F1899" s="174" t="n">
        <v>2046</v>
      </c>
      <c r="G1899" s="175" t="n">
        <v>47</v>
      </c>
      <c r="H1899" s="176" t="n">
        <v>6778.33460005963</v>
      </c>
      <c r="I1899" s="177" t="n">
        <v>4204006.68070434</v>
      </c>
      <c r="J1899" s="178" t="str">
        <f>IF(I1899&gt;0,H1899/I1899,0)</f>
      </c>
      <c r="K1899" s="179" t="str">
        <f>1-EXP(-J1899)</f>
      </c>
      <c r="L1899" s="180" t="str">
        <f>IF(G1899=30,1,M1898)</f>
      </c>
      <c r="M1899" s="181" t="str">
        <f>L1899*(1-K1899)</f>
      </c>
    </row>
    <row r="1900">
      <c r="A1900" t="s">
        <v>164</v>
      </c>
      <c r="B1900" t="s">
        <v>112</v>
      </c>
      <c r="C1900" s="32" t="s">
        <v>297</v>
      </c>
      <c r="D1900" t="s">
        <v>112</v>
      </c>
      <c r="E1900" t="s">
        <v>395</v>
      </c>
      <c r="F1900" s="174" t="n">
        <v>2046</v>
      </c>
      <c r="G1900" s="175" t="n">
        <v>48</v>
      </c>
      <c r="H1900" s="176" t="n">
        <v>7518.1617291292</v>
      </c>
      <c r="I1900" s="177" t="n">
        <v>4251046.76386907</v>
      </c>
      <c r="J1900" s="178" t="str">
        <f>IF(I1900&gt;0,H1900/I1900,0)</f>
      </c>
      <c r="K1900" s="179" t="str">
        <f>1-EXP(-J1900)</f>
      </c>
      <c r="L1900" s="180" t="str">
        <f>IF(G1900=30,1,M1899)</f>
      </c>
      <c r="M1900" s="181" t="str">
        <f>L1900*(1-K1900)</f>
      </c>
    </row>
    <row r="1901">
      <c r="A1901" t="s">
        <v>164</v>
      </c>
      <c r="B1901" t="s">
        <v>112</v>
      </c>
      <c r="C1901" s="32" t="s">
        <v>297</v>
      </c>
      <c r="D1901" t="s">
        <v>112</v>
      </c>
      <c r="E1901" t="s">
        <v>395</v>
      </c>
      <c r="F1901" s="174" t="n">
        <v>2046</v>
      </c>
      <c r="G1901" s="175" t="n">
        <v>49</v>
      </c>
      <c r="H1901" s="176" t="n">
        <v>8681.00179140219</v>
      </c>
      <c r="I1901" s="177" t="n">
        <v>4370139.62205347</v>
      </c>
      <c r="J1901" s="178" t="str">
        <f>IF(I1901&gt;0,H1901/I1901,0)</f>
      </c>
      <c r="K1901" s="179" t="str">
        <f>1-EXP(-J1901)</f>
      </c>
      <c r="L1901" s="180" t="str">
        <f>IF(G1901=30,1,M1900)</f>
      </c>
      <c r="M1901" s="181" t="str">
        <f>L1901*(1-K1901)</f>
      </c>
    </row>
    <row r="1902">
      <c r="A1902" t="s">
        <v>164</v>
      </c>
      <c r="B1902" t="s">
        <v>112</v>
      </c>
      <c r="C1902" s="32" t="s">
        <v>297</v>
      </c>
      <c r="D1902" t="s">
        <v>112</v>
      </c>
      <c r="E1902" t="s">
        <v>395</v>
      </c>
      <c r="F1902" s="174" t="n">
        <v>2046</v>
      </c>
      <c r="G1902" s="175" t="n">
        <v>50</v>
      </c>
      <c r="H1902" s="176" t="n">
        <v>9778.47203453189</v>
      </c>
      <c r="I1902" s="177" t="n">
        <v>4314676.12253259</v>
      </c>
      <c r="J1902" s="178" t="str">
        <f>IF(I1902&gt;0,H1902/I1902,0)</f>
      </c>
      <c r="K1902" s="179" t="str">
        <f>1-EXP(-J1902)</f>
      </c>
      <c r="L1902" s="180" t="str">
        <f>IF(G1902=30,1,M1901)</f>
      </c>
      <c r="M1902" s="181" t="str">
        <f>L1902*(1-K1902)</f>
      </c>
    </row>
    <row r="1903">
      <c r="A1903" t="s">
        <v>164</v>
      </c>
      <c r="B1903" t="s">
        <v>112</v>
      </c>
      <c r="C1903" s="32" t="s">
        <v>297</v>
      </c>
      <c r="D1903" t="s">
        <v>112</v>
      </c>
      <c r="E1903" t="s">
        <v>395</v>
      </c>
      <c r="F1903" s="174" t="n">
        <v>2046</v>
      </c>
      <c r="G1903" s="175" t="n">
        <v>51</v>
      </c>
      <c r="H1903" s="176" t="n">
        <v>10489.2848771991</v>
      </c>
      <c r="I1903" s="177" t="n">
        <v>4228447.29097352</v>
      </c>
      <c r="J1903" s="178" t="str">
        <f>IF(I1903&gt;0,H1903/I1903,0)</f>
      </c>
      <c r="K1903" s="179" t="str">
        <f>1-EXP(-J1903)</f>
      </c>
      <c r="L1903" s="180" t="str">
        <f>IF(G1903=30,1,M1902)</f>
      </c>
      <c r="M1903" s="181" t="str">
        <f>L1903*(1-K1903)</f>
      </c>
    </row>
    <row r="1904">
      <c r="A1904" t="s">
        <v>164</v>
      </c>
      <c r="B1904" t="s">
        <v>112</v>
      </c>
      <c r="C1904" s="32" t="s">
        <v>297</v>
      </c>
      <c r="D1904" t="s">
        <v>112</v>
      </c>
      <c r="E1904" t="s">
        <v>395</v>
      </c>
      <c r="F1904" s="174" t="n">
        <v>2046</v>
      </c>
      <c r="G1904" s="175" t="n">
        <v>52</v>
      </c>
      <c r="H1904" s="176" t="n">
        <v>11266.894882831</v>
      </c>
      <c r="I1904" s="177" t="n">
        <v>4156654.43393654</v>
      </c>
      <c r="J1904" s="178" t="str">
        <f>IF(I1904&gt;0,H1904/I1904,0)</f>
      </c>
      <c r="K1904" s="179" t="str">
        <f>1-EXP(-J1904)</f>
      </c>
      <c r="L1904" s="180" t="str">
        <f>IF(G1904=30,1,M1903)</f>
      </c>
      <c r="M1904" s="181" t="str">
        <f>L1904*(1-K1904)</f>
      </c>
    </row>
    <row r="1905">
      <c r="A1905" t="s">
        <v>164</v>
      </c>
      <c r="B1905" t="s">
        <v>112</v>
      </c>
      <c r="C1905" s="32" t="s">
        <v>297</v>
      </c>
      <c r="D1905" t="s">
        <v>112</v>
      </c>
      <c r="E1905" t="s">
        <v>395</v>
      </c>
      <c r="F1905" s="174" t="n">
        <v>2046</v>
      </c>
      <c r="G1905" s="175" t="n">
        <v>53</v>
      </c>
      <c r="H1905" s="176" t="n">
        <v>12080.5105142657</v>
      </c>
      <c r="I1905" s="177" t="n">
        <v>4087000.34073118</v>
      </c>
      <c r="J1905" s="178" t="str">
        <f>IF(I1905&gt;0,H1905/I1905,0)</f>
      </c>
      <c r="K1905" s="179" t="str">
        <f>1-EXP(-J1905)</f>
      </c>
      <c r="L1905" s="180" t="str">
        <f>IF(G1905=30,1,M1904)</f>
      </c>
      <c r="M1905" s="181" t="str">
        <f>L1905*(1-K1905)</f>
      </c>
    </row>
    <row r="1906">
      <c r="A1906" t="s">
        <v>164</v>
      </c>
      <c r="B1906" t="s">
        <v>112</v>
      </c>
      <c r="C1906" s="32" t="s">
        <v>297</v>
      </c>
      <c r="D1906" t="s">
        <v>112</v>
      </c>
      <c r="E1906" t="s">
        <v>395</v>
      </c>
      <c r="F1906" s="174" t="n">
        <v>2046</v>
      </c>
      <c r="G1906" s="175" t="n">
        <v>54</v>
      </c>
      <c r="H1906" s="176" t="n">
        <v>13178.8999449307</v>
      </c>
      <c r="I1906" s="177" t="n">
        <v>4102277.15904371</v>
      </c>
      <c r="J1906" s="178" t="str">
        <f>IF(I1906&gt;0,H1906/I1906,0)</f>
      </c>
      <c r="K1906" s="179" t="str">
        <f>1-EXP(-J1906)</f>
      </c>
      <c r="L1906" s="180" t="str">
        <f>IF(G1906=30,1,M1905)</f>
      </c>
      <c r="M1906" s="181" t="str">
        <f>L1906*(1-K1906)</f>
      </c>
    </row>
    <row r="1907">
      <c r="A1907" t="s">
        <v>164</v>
      </c>
      <c r="B1907" t="s">
        <v>112</v>
      </c>
      <c r="C1907" s="32" t="s">
        <v>297</v>
      </c>
      <c r="D1907" t="s">
        <v>112</v>
      </c>
      <c r="E1907" t="s">
        <v>395</v>
      </c>
      <c r="F1907" s="174" t="n">
        <v>2046</v>
      </c>
      <c r="G1907" s="175" t="n">
        <v>55</v>
      </c>
      <c r="H1907" s="176" t="n">
        <v>14081.4435221238</v>
      </c>
      <c r="I1907" s="177" t="n">
        <v>4096638.8686517</v>
      </c>
      <c r="J1907" s="178" t="str">
        <f>IF(I1907&gt;0,H1907/I1907,0)</f>
      </c>
      <c r="K1907" s="179" t="str">
        <f>1-EXP(-J1907)</f>
      </c>
      <c r="L1907" s="180" t="str">
        <f>IF(G1907=30,1,M1906)</f>
      </c>
      <c r="M1907" s="181" t="str">
        <f>L1907*(1-K1907)</f>
      </c>
    </row>
    <row r="1908">
      <c r="A1908" t="s">
        <v>164</v>
      </c>
      <c r="B1908" t="s">
        <v>112</v>
      </c>
      <c r="C1908" s="32" t="s">
        <v>297</v>
      </c>
      <c r="D1908" t="s">
        <v>112</v>
      </c>
      <c r="E1908" t="s">
        <v>395</v>
      </c>
      <c r="F1908" s="174" t="n">
        <v>2046</v>
      </c>
      <c r="G1908" s="175" t="n">
        <v>56</v>
      </c>
      <c r="H1908" s="176" t="n">
        <v>20498.3655396287</v>
      </c>
      <c r="I1908" s="177" t="n">
        <v>6023024.23107638</v>
      </c>
      <c r="J1908" s="178" t="str">
        <f>IF(I1908&gt;0,H1908/I1908,0)</f>
      </c>
      <c r="K1908" s="179" t="str">
        <f>1-EXP(-J1908)</f>
      </c>
      <c r="L1908" s="180" t="str">
        <f>IF(G1908=30,1,M1907)</f>
      </c>
      <c r="M1908" s="181" t="str">
        <f>L1908*(1-K1908)</f>
      </c>
    </row>
    <row r="1909">
      <c r="A1909" t="s">
        <v>164</v>
      </c>
      <c r="B1909" t="s">
        <v>112</v>
      </c>
      <c r="C1909" s="32" t="s">
        <v>297</v>
      </c>
      <c r="D1909" t="s">
        <v>112</v>
      </c>
      <c r="E1909" t="s">
        <v>395</v>
      </c>
      <c r="F1909" s="174" t="n">
        <v>2046</v>
      </c>
      <c r="G1909" s="175" t="n">
        <v>57</v>
      </c>
      <c r="H1909" s="176" t="n">
        <v>16332.3787871042</v>
      </c>
      <c r="I1909" s="177" t="n">
        <v>4006890.98110595</v>
      </c>
      <c r="J1909" s="178" t="str">
        <f>IF(I1909&gt;0,H1909/I1909,0)</f>
      </c>
      <c r="K1909" s="179" t="str">
        <f>1-EXP(-J1909)</f>
      </c>
      <c r="L1909" s="180" t="str">
        <f>IF(G1909=30,1,M1908)</f>
      </c>
      <c r="M1909" s="181" t="str">
        <f>L1909*(1-K1909)</f>
      </c>
    </row>
    <row r="1910">
      <c r="A1910" t="s">
        <v>164</v>
      </c>
      <c r="B1910" t="s">
        <v>112</v>
      </c>
      <c r="C1910" s="32" t="s">
        <v>297</v>
      </c>
      <c r="D1910" t="s">
        <v>112</v>
      </c>
      <c r="E1910" t="s">
        <v>395</v>
      </c>
      <c r="F1910" s="174" t="n">
        <v>2046</v>
      </c>
      <c r="G1910" s="175" t="n">
        <v>58</v>
      </c>
      <c r="H1910" s="176" t="n">
        <v>17635.6400142207</v>
      </c>
      <c r="I1910" s="177" t="n">
        <v>3962672.80207962</v>
      </c>
      <c r="J1910" s="178" t="str">
        <f>IF(I1910&gt;0,H1910/I1910,0)</f>
      </c>
      <c r="K1910" s="179" t="str">
        <f>1-EXP(-J1910)</f>
      </c>
      <c r="L1910" s="180" t="str">
        <f>IF(G1910=30,1,M1909)</f>
      </c>
      <c r="M1910" s="181" t="str">
        <f>L1910*(1-K1910)</f>
      </c>
    </row>
    <row r="1911">
      <c r="A1911" t="s">
        <v>164</v>
      </c>
      <c r="B1911" t="s">
        <v>112</v>
      </c>
      <c r="C1911" s="32" t="s">
        <v>297</v>
      </c>
      <c r="D1911" t="s">
        <v>112</v>
      </c>
      <c r="E1911" t="s">
        <v>395</v>
      </c>
      <c r="F1911" s="174" t="n">
        <v>2046</v>
      </c>
      <c r="G1911" s="175" t="n">
        <v>59</v>
      </c>
      <c r="H1911" s="176" t="n">
        <v>18558.7546629096</v>
      </c>
      <c r="I1911" s="177" t="n">
        <v>3810849.67368501</v>
      </c>
      <c r="J1911" s="178" t="str">
        <f>IF(I1911&gt;0,H1911/I1911,0)</f>
      </c>
      <c r="K1911" s="179" t="str">
        <f>1-EXP(-J1911)</f>
      </c>
      <c r="L1911" s="180" t="str">
        <f>IF(G1911=30,1,M1910)</f>
      </c>
      <c r="M1911" s="181" t="str">
        <f>L1911*(1-K1911)</f>
      </c>
    </row>
    <row r="1912">
      <c r="A1912" t="s">
        <v>164</v>
      </c>
      <c r="B1912" t="s">
        <v>112</v>
      </c>
      <c r="C1912" s="32" t="s">
        <v>297</v>
      </c>
      <c r="D1912" t="s">
        <v>112</v>
      </c>
      <c r="E1912" t="s">
        <v>395</v>
      </c>
      <c r="F1912" s="174" t="n">
        <v>2046</v>
      </c>
      <c r="G1912" s="175" t="n">
        <v>60</v>
      </c>
      <c r="H1912" s="176" t="n">
        <v>19714.0042930444</v>
      </c>
      <c r="I1912" s="177" t="n">
        <v>3746609.86538343</v>
      </c>
      <c r="J1912" s="178" t="str">
        <f>IF(I1912&gt;0,H1912/I1912,0)</f>
      </c>
      <c r="K1912" s="179" t="str">
        <f>1-EXP(-J1912)</f>
      </c>
      <c r="L1912" s="180" t="str">
        <f>IF(G1912=30,1,M1911)</f>
      </c>
      <c r="M1912" s="181" t="str">
        <f>L1912*(1-K1912)</f>
      </c>
    </row>
    <row r="1913">
      <c r="A1913" t="s">
        <v>164</v>
      </c>
      <c r="B1913" t="s">
        <v>112</v>
      </c>
      <c r="C1913" s="32" t="s">
        <v>297</v>
      </c>
      <c r="D1913" t="s">
        <v>112</v>
      </c>
      <c r="E1913" t="s">
        <v>395</v>
      </c>
      <c r="F1913" s="174" t="n">
        <v>2046</v>
      </c>
      <c r="G1913" s="175" t="n">
        <v>61</v>
      </c>
      <c r="H1913" s="176" t="n">
        <v>21725.9087989971</v>
      </c>
      <c r="I1913" s="177" t="n">
        <v>3763511.83295194</v>
      </c>
      <c r="J1913" s="178" t="str">
        <f>IF(I1913&gt;0,H1913/I1913,0)</f>
      </c>
      <c r="K1913" s="179" t="str">
        <f>1-EXP(-J1913)</f>
      </c>
      <c r="L1913" s="180" t="str">
        <f>IF(G1913=30,1,M1912)</f>
      </c>
      <c r="M1913" s="181" t="str">
        <f>L1913*(1-K1913)</f>
      </c>
    </row>
    <row r="1914">
      <c r="A1914" t="s">
        <v>164</v>
      </c>
      <c r="B1914" t="s">
        <v>112</v>
      </c>
      <c r="C1914" s="32" t="s">
        <v>297</v>
      </c>
      <c r="D1914" t="s">
        <v>112</v>
      </c>
      <c r="E1914" t="s">
        <v>395</v>
      </c>
      <c r="F1914" s="174" t="n">
        <v>2046</v>
      </c>
      <c r="G1914" s="175" t="n">
        <v>62</v>
      </c>
      <c r="H1914" s="176" t="n">
        <v>24064.7494789504</v>
      </c>
      <c r="I1914" s="177" t="n">
        <v>3798395.85959019</v>
      </c>
      <c r="J1914" s="178" t="str">
        <f>IF(I1914&gt;0,H1914/I1914,0)</f>
      </c>
      <c r="K1914" s="179" t="str">
        <f>1-EXP(-J1914)</f>
      </c>
      <c r="L1914" s="180" t="str">
        <f>IF(G1914=30,1,M1913)</f>
      </c>
      <c r="M1914" s="181" t="str">
        <f>L1914*(1-K1914)</f>
      </c>
    </row>
    <row r="1915">
      <c r="A1915" t="s">
        <v>164</v>
      </c>
      <c r="B1915" t="s">
        <v>112</v>
      </c>
      <c r="C1915" s="32" t="s">
        <v>297</v>
      </c>
      <c r="D1915" t="s">
        <v>112</v>
      </c>
      <c r="E1915" t="s">
        <v>395</v>
      </c>
      <c r="F1915" s="174" t="n">
        <v>2046</v>
      </c>
      <c r="G1915" s="175" t="n">
        <v>63</v>
      </c>
      <c r="H1915" s="176" t="n">
        <v>25954.3940498838</v>
      </c>
      <c r="I1915" s="177" t="n">
        <v>3732956.94331815</v>
      </c>
      <c r="J1915" s="178" t="str">
        <f>IF(I1915&gt;0,H1915/I1915,0)</f>
      </c>
      <c r="K1915" s="179" t="str">
        <f>1-EXP(-J1915)</f>
      </c>
      <c r="L1915" s="180" t="str">
        <f>IF(G1915=30,1,M1914)</f>
      </c>
      <c r="M1915" s="181" t="str">
        <f>L1915*(1-K1915)</f>
      </c>
    </row>
    <row r="1916">
      <c r="A1916" t="s">
        <v>164</v>
      </c>
      <c r="B1916" t="s">
        <v>112</v>
      </c>
      <c r="C1916" s="32" t="s">
        <v>297</v>
      </c>
      <c r="D1916" t="s">
        <v>112</v>
      </c>
      <c r="E1916" t="s">
        <v>395</v>
      </c>
      <c r="F1916" s="174" t="n">
        <v>2046</v>
      </c>
      <c r="G1916" s="175" t="n">
        <v>64</v>
      </c>
      <c r="H1916" s="176" t="n">
        <v>27233.4322935475</v>
      </c>
      <c r="I1916" s="177" t="n">
        <v>3566923.57171292</v>
      </c>
      <c r="J1916" s="178" t="str">
        <f>IF(I1916&gt;0,H1916/I1916,0)</f>
      </c>
      <c r="K1916" s="179" t="str">
        <f>1-EXP(-J1916)</f>
      </c>
      <c r="L1916" s="180" t="str">
        <f>IF(G1916=30,1,M1915)</f>
      </c>
      <c r="M1916" s="181" t="str">
        <f>L1916*(1-K1916)</f>
      </c>
    </row>
    <row r="1917">
      <c r="A1917" t="s">
        <v>164</v>
      </c>
      <c r="B1917" t="s">
        <v>112</v>
      </c>
      <c r="C1917" s="32" t="s">
        <v>297</v>
      </c>
      <c r="D1917" t="s">
        <v>112</v>
      </c>
      <c r="E1917" t="s">
        <v>395</v>
      </c>
      <c r="F1917" s="174" t="n">
        <v>2046</v>
      </c>
      <c r="G1917" s="175" t="n">
        <v>65</v>
      </c>
      <c r="H1917" s="176" t="n">
        <v>27547.805745584</v>
      </c>
      <c r="I1917" s="177" t="n">
        <v>3453589.10354515</v>
      </c>
      <c r="J1917" s="178" t="str">
        <f>IF(I1917&gt;0,H1917/I1917,0)</f>
      </c>
      <c r="K1917" s="179" t="str">
        <f>1-EXP(-J1917)</f>
      </c>
      <c r="L1917" s="180" t="str">
        <f>IF(G1917=30,1,M1916)</f>
      </c>
      <c r="M1917" s="181" t="str">
        <f>L1917*(1-K1917)</f>
      </c>
    </row>
    <row r="1918">
      <c r="A1918" t="s">
        <v>164</v>
      </c>
      <c r="B1918" t="s">
        <v>112</v>
      </c>
      <c r="C1918" s="32" t="s">
        <v>297</v>
      </c>
      <c r="D1918" t="s">
        <v>112</v>
      </c>
      <c r="E1918" t="s">
        <v>395</v>
      </c>
      <c r="F1918" s="174" t="n">
        <v>2046</v>
      </c>
      <c r="G1918" s="175" t="n">
        <v>66</v>
      </c>
      <c r="H1918" s="176" t="n">
        <v>29359.0828612976</v>
      </c>
      <c r="I1918" s="177" t="n">
        <v>3352012.54010365</v>
      </c>
      <c r="J1918" s="178" t="str">
        <f>IF(I1918&gt;0,H1918/I1918,0)</f>
      </c>
      <c r="K1918" s="179" t="str">
        <f>1-EXP(-J1918)</f>
      </c>
      <c r="L1918" s="180" t="str">
        <f>IF(G1918=30,1,M1917)</f>
      </c>
      <c r="M1918" s="181" t="str">
        <f>L1918*(1-K1918)</f>
      </c>
    </row>
    <row r="1919">
      <c r="A1919" t="s">
        <v>164</v>
      </c>
      <c r="B1919" t="s">
        <v>112</v>
      </c>
      <c r="C1919" s="32" t="s">
        <v>297</v>
      </c>
      <c r="D1919" t="s">
        <v>112</v>
      </c>
      <c r="E1919" t="s">
        <v>395</v>
      </c>
      <c r="F1919" s="174" t="n">
        <v>2046</v>
      </c>
      <c r="G1919" s="175" t="n">
        <v>67</v>
      </c>
      <c r="H1919" s="176" t="n">
        <v>31193.9313305106</v>
      </c>
      <c r="I1919" s="177" t="n">
        <v>3242585.4088626</v>
      </c>
      <c r="J1919" s="178" t="str">
        <f>IF(I1919&gt;0,H1919/I1919,0)</f>
      </c>
      <c r="K1919" s="179" t="str">
        <f>1-EXP(-J1919)</f>
      </c>
      <c r="L1919" s="180" t="str">
        <f>IF(G1919=30,1,M1918)</f>
      </c>
      <c r="M1919" s="181" t="str">
        <f>L1919*(1-K1919)</f>
      </c>
    </row>
    <row r="1920">
      <c r="A1920" t="s">
        <v>164</v>
      </c>
      <c r="B1920" t="s">
        <v>112</v>
      </c>
      <c r="C1920" s="32" t="s">
        <v>297</v>
      </c>
      <c r="D1920" t="s">
        <v>112</v>
      </c>
      <c r="E1920" t="s">
        <v>395</v>
      </c>
      <c r="F1920" s="174" t="n">
        <v>2046</v>
      </c>
      <c r="G1920" s="175" t="n">
        <v>68</v>
      </c>
      <c r="H1920" s="176" t="n">
        <v>32934.803345844</v>
      </c>
      <c r="I1920" s="177" t="n">
        <v>3114861.14426217</v>
      </c>
      <c r="J1920" s="178" t="str">
        <f>IF(I1920&gt;0,H1920/I1920,0)</f>
      </c>
      <c r="K1920" s="179" t="str">
        <f>1-EXP(-J1920)</f>
      </c>
      <c r="L1920" s="180" t="str">
        <f>IF(G1920=30,1,M1919)</f>
      </c>
      <c r="M1920" s="181" t="str">
        <f>L1920*(1-K1920)</f>
      </c>
    </row>
    <row r="1921">
      <c r="A1921" t="s">
        <v>164</v>
      </c>
      <c r="B1921" t="s">
        <v>112</v>
      </c>
      <c r="C1921" s="32" t="s">
        <v>297</v>
      </c>
      <c r="D1921" t="s">
        <v>112</v>
      </c>
      <c r="E1921" t="s">
        <v>395</v>
      </c>
      <c r="F1921" s="174" t="n">
        <v>2046</v>
      </c>
      <c r="G1921" s="175" t="n">
        <v>69</v>
      </c>
      <c r="H1921" s="176" t="n">
        <v>34900.3801888123</v>
      </c>
      <c r="I1921" s="177" t="n">
        <v>2997826.96901562</v>
      </c>
      <c r="J1921" s="178" t="str">
        <f>IF(I1921&gt;0,H1921/I1921,0)</f>
      </c>
      <c r="K1921" s="179" t="str">
        <f>1-EXP(-J1921)</f>
      </c>
      <c r="L1921" s="180" t="str">
        <f>IF(G1921=30,1,M1920)</f>
      </c>
      <c r="M1921" s="181" t="str">
        <f>L1921*(1-K1921)</f>
      </c>
    </row>
    <row r="1922">
      <c r="A1922" t="s">
        <v>164</v>
      </c>
      <c r="B1922" t="s">
        <v>112</v>
      </c>
      <c r="C1922" s="32" t="s">
        <v>297</v>
      </c>
      <c r="D1922" t="s">
        <v>112</v>
      </c>
      <c r="E1922" t="s">
        <v>395</v>
      </c>
      <c r="F1922" s="174" t="n">
        <v>2047</v>
      </c>
      <c r="G1922" s="175" t="n">
        <v>30</v>
      </c>
      <c r="H1922" s="176" t="n">
        <v>620.226687259566</v>
      </c>
      <c r="I1922" s="177" t="n">
        <v>4320502.14035755</v>
      </c>
      <c r="J1922" s="178" t="str">
        <f>IF(I1922&gt;0,H1922/I1922,0)</f>
      </c>
      <c r="K1922" s="179" t="str">
        <f>1-EXP(-J1922)</f>
      </c>
      <c r="L1922" s="180" t="str">
        <f>IF(G1922=30,1,M1921)</f>
      </c>
      <c r="M1922" s="181" t="str">
        <f>L1922*(1-K1922)</f>
      </c>
    </row>
    <row r="1923">
      <c r="A1923" t="s">
        <v>164</v>
      </c>
      <c r="B1923" t="s">
        <v>112</v>
      </c>
      <c r="C1923" s="32" t="s">
        <v>297</v>
      </c>
      <c r="D1923" t="s">
        <v>112</v>
      </c>
      <c r="E1923" t="s">
        <v>395</v>
      </c>
      <c r="F1923" s="174" t="n">
        <v>2047</v>
      </c>
      <c r="G1923" s="175" t="n">
        <v>31</v>
      </c>
      <c r="H1923" s="176" t="n">
        <v>938.945085385781</v>
      </c>
      <c r="I1923" s="177" t="n">
        <v>4583251.99254384</v>
      </c>
      <c r="J1923" s="178" t="str">
        <f>IF(I1923&gt;0,H1923/I1923,0)</f>
      </c>
      <c r="K1923" s="179" t="str">
        <f>1-EXP(-J1923)</f>
      </c>
      <c r="L1923" s="180" t="str">
        <f>IF(G1923=30,1,M1922)</f>
      </c>
      <c r="M1923" s="181" t="str">
        <f>L1923*(1-K1923)</f>
      </c>
    </row>
    <row r="1924">
      <c r="A1924" t="s">
        <v>164</v>
      </c>
      <c r="B1924" t="s">
        <v>112</v>
      </c>
      <c r="C1924" s="32" t="s">
        <v>297</v>
      </c>
      <c r="D1924" t="s">
        <v>112</v>
      </c>
      <c r="E1924" t="s">
        <v>395</v>
      </c>
      <c r="F1924" s="174" t="n">
        <v>2047</v>
      </c>
      <c r="G1924" s="175" t="n">
        <v>32</v>
      </c>
      <c r="H1924" s="176" t="n">
        <v>1033.52344198521</v>
      </c>
      <c r="I1924" s="177" t="n">
        <v>4632029.83842533</v>
      </c>
      <c r="J1924" s="178" t="str">
        <f>IF(I1924&gt;0,H1924/I1924,0)</f>
      </c>
      <c r="K1924" s="179" t="str">
        <f>1-EXP(-J1924)</f>
      </c>
      <c r="L1924" s="180" t="str">
        <f>IF(G1924=30,1,M1923)</f>
      </c>
      <c r="M1924" s="181" t="str">
        <f>L1924*(1-K1924)</f>
      </c>
    </row>
    <row r="1925">
      <c r="A1925" t="s">
        <v>164</v>
      </c>
      <c r="B1925" t="s">
        <v>112</v>
      </c>
      <c r="C1925" s="32" t="s">
        <v>297</v>
      </c>
      <c r="D1925" t="s">
        <v>112</v>
      </c>
      <c r="E1925" t="s">
        <v>395</v>
      </c>
      <c r="F1925" s="174" t="n">
        <v>2047</v>
      </c>
      <c r="G1925" s="175" t="n">
        <v>33</v>
      </c>
      <c r="H1925" s="176" t="n">
        <v>1110.2934293044</v>
      </c>
      <c r="I1925" s="177" t="n">
        <v>4698255.50323474</v>
      </c>
      <c r="J1925" s="178" t="str">
        <f>IF(I1925&gt;0,H1925/I1925,0)</f>
      </c>
      <c r="K1925" s="179" t="str">
        <f>1-EXP(-J1925)</f>
      </c>
      <c r="L1925" s="180" t="str">
        <f>IF(G1925=30,1,M1924)</f>
      </c>
      <c r="M1925" s="181" t="str">
        <f>L1925*(1-K1925)</f>
      </c>
    </row>
    <row r="1926">
      <c r="A1926" t="s">
        <v>164</v>
      </c>
      <c r="B1926" t="s">
        <v>112</v>
      </c>
      <c r="C1926" s="32" t="s">
        <v>297</v>
      </c>
      <c r="D1926" t="s">
        <v>112</v>
      </c>
      <c r="E1926" t="s">
        <v>395</v>
      </c>
      <c r="F1926" s="174" t="n">
        <v>2047</v>
      </c>
      <c r="G1926" s="175" t="n">
        <v>34</v>
      </c>
      <c r="H1926" s="176" t="n">
        <v>1199.6095748844</v>
      </c>
      <c r="I1926" s="177" t="n">
        <v>4765792.0114201</v>
      </c>
      <c r="J1926" s="178" t="str">
        <f>IF(I1926&gt;0,H1926/I1926,0)</f>
      </c>
      <c r="K1926" s="179" t="str">
        <f>1-EXP(-J1926)</f>
      </c>
      <c r="L1926" s="180" t="str">
        <f>IF(G1926=30,1,M1925)</f>
      </c>
      <c r="M1926" s="181" t="str">
        <f>L1926*(1-K1926)</f>
      </c>
    </row>
    <row r="1927">
      <c r="A1927" t="s">
        <v>164</v>
      </c>
      <c r="B1927" t="s">
        <v>112</v>
      </c>
      <c r="C1927" s="32" t="s">
        <v>297</v>
      </c>
      <c r="D1927" t="s">
        <v>112</v>
      </c>
      <c r="E1927" t="s">
        <v>395</v>
      </c>
      <c r="F1927" s="174" t="n">
        <v>2047</v>
      </c>
      <c r="G1927" s="175" t="n">
        <v>35</v>
      </c>
      <c r="H1927" s="176" t="n">
        <v>1657.77519003405</v>
      </c>
      <c r="I1927" s="177" t="n">
        <v>4877377.31848515</v>
      </c>
      <c r="J1927" s="178" t="str">
        <f>IF(I1927&gt;0,H1927/I1927,0)</f>
      </c>
      <c r="K1927" s="179" t="str">
        <f>1-EXP(-J1927)</f>
      </c>
      <c r="L1927" s="180" t="str">
        <f>IF(G1927=30,1,M1926)</f>
      </c>
      <c r="M1927" s="181" t="str">
        <f>L1927*(1-K1927)</f>
      </c>
    </row>
    <row r="1928">
      <c r="A1928" t="s">
        <v>164</v>
      </c>
      <c r="B1928" t="s">
        <v>112</v>
      </c>
      <c r="C1928" s="32" t="s">
        <v>297</v>
      </c>
      <c r="D1928" t="s">
        <v>112</v>
      </c>
      <c r="E1928" t="s">
        <v>395</v>
      </c>
      <c r="F1928" s="174" t="n">
        <v>2047</v>
      </c>
      <c r="G1928" s="175" t="n">
        <v>36</v>
      </c>
      <c r="H1928" s="176" t="n">
        <v>1932.67919011053</v>
      </c>
      <c r="I1928" s="177" t="n">
        <v>4847989.32686471</v>
      </c>
      <c r="J1928" s="178" t="str">
        <f>IF(I1928&gt;0,H1928/I1928,0)</f>
      </c>
      <c r="K1928" s="179" t="str">
        <f>1-EXP(-J1928)</f>
      </c>
      <c r="L1928" s="180" t="str">
        <f>IF(G1928=30,1,M1927)</f>
      </c>
      <c r="M1928" s="181" t="str">
        <f>L1928*(1-K1928)</f>
      </c>
    </row>
    <row r="1929">
      <c r="A1929" t="s">
        <v>164</v>
      </c>
      <c r="B1929" t="s">
        <v>112</v>
      </c>
      <c r="C1929" s="32" t="s">
        <v>297</v>
      </c>
      <c r="D1929" t="s">
        <v>112</v>
      </c>
      <c r="E1929" t="s">
        <v>395</v>
      </c>
      <c r="F1929" s="174" t="n">
        <v>2047</v>
      </c>
      <c r="G1929" s="175" t="n">
        <v>37</v>
      </c>
      <c r="H1929" s="176" t="n">
        <v>2018.64647941206</v>
      </c>
      <c r="I1929" s="177" t="n">
        <v>4713437.51873189</v>
      </c>
      <c r="J1929" s="178" t="str">
        <f>IF(I1929&gt;0,H1929/I1929,0)</f>
      </c>
      <c r="K1929" s="179" t="str">
        <f>1-EXP(-J1929)</f>
      </c>
      <c r="L1929" s="180" t="str">
        <f>IF(G1929=30,1,M1928)</f>
      </c>
      <c r="M1929" s="181" t="str">
        <f>L1929*(1-K1929)</f>
      </c>
    </row>
    <row r="1930">
      <c r="A1930" t="s">
        <v>164</v>
      </c>
      <c r="B1930" t="s">
        <v>112</v>
      </c>
      <c r="C1930" s="32" t="s">
        <v>297</v>
      </c>
      <c r="D1930" t="s">
        <v>112</v>
      </c>
      <c r="E1930" t="s">
        <v>395</v>
      </c>
      <c r="F1930" s="174" t="n">
        <v>2047</v>
      </c>
      <c r="G1930" s="175" t="n">
        <v>38</v>
      </c>
      <c r="H1930" s="176" t="n">
        <v>2143.19857631378</v>
      </c>
      <c r="I1930" s="177" t="n">
        <v>4641180.67577534</v>
      </c>
      <c r="J1930" s="178" t="str">
        <f>IF(I1930&gt;0,H1930/I1930,0)</f>
      </c>
      <c r="K1930" s="179" t="str">
        <f>1-EXP(-J1930)</f>
      </c>
      <c r="L1930" s="180" t="str">
        <f>IF(G1930=30,1,M1929)</f>
      </c>
      <c r="M1930" s="181" t="str">
        <f>L1930*(1-K1930)</f>
      </c>
    </row>
    <row r="1931">
      <c r="A1931" t="s">
        <v>164</v>
      </c>
      <c r="B1931" t="s">
        <v>112</v>
      </c>
      <c r="C1931" s="32" t="s">
        <v>297</v>
      </c>
      <c r="D1931" t="s">
        <v>112</v>
      </c>
      <c r="E1931" t="s">
        <v>395</v>
      </c>
      <c r="F1931" s="174" t="n">
        <v>2047</v>
      </c>
      <c r="G1931" s="175" t="n">
        <v>39</v>
      </c>
      <c r="H1931" s="176" t="n">
        <v>2295.47974144544</v>
      </c>
      <c r="I1931" s="177" t="n">
        <v>4596445.82150417</v>
      </c>
      <c r="J1931" s="178" t="str">
        <f>IF(I1931&gt;0,H1931/I1931,0)</f>
      </c>
      <c r="K1931" s="179" t="str">
        <f>1-EXP(-J1931)</f>
      </c>
      <c r="L1931" s="180" t="str">
        <f>IF(G1931=30,1,M1930)</f>
      </c>
      <c r="M1931" s="181" t="str">
        <f>L1931*(1-K1931)</f>
      </c>
    </row>
    <row r="1932">
      <c r="A1932" t="s">
        <v>164</v>
      </c>
      <c r="B1932" t="s">
        <v>112</v>
      </c>
      <c r="C1932" s="32" t="s">
        <v>297</v>
      </c>
      <c r="D1932" t="s">
        <v>112</v>
      </c>
      <c r="E1932" t="s">
        <v>395</v>
      </c>
      <c r="F1932" s="174" t="n">
        <v>2047</v>
      </c>
      <c r="G1932" s="175" t="n">
        <v>40</v>
      </c>
      <c r="H1932" s="176" t="n">
        <v>3175.22074202544</v>
      </c>
      <c r="I1932" s="177" t="n">
        <v>4618807.09760394</v>
      </c>
      <c r="J1932" s="178" t="str">
        <f>IF(I1932&gt;0,H1932/I1932,0)</f>
      </c>
      <c r="K1932" s="179" t="str">
        <f>1-EXP(-J1932)</f>
      </c>
      <c r="L1932" s="180" t="str">
        <f>IF(G1932=30,1,M1931)</f>
      </c>
      <c r="M1932" s="181" t="str">
        <f>L1932*(1-K1932)</f>
      </c>
    </row>
    <row r="1933">
      <c r="A1933" t="s">
        <v>164</v>
      </c>
      <c r="B1933" t="s">
        <v>112</v>
      </c>
      <c r="C1933" s="32" t="s">
        <v>297</v>
      </c>
      <c r="D1933" t="s">
        <v>112</v>
      </c>
      <c r="E1933" t="s">
        <v>395</v>
      </c>
      <c r="F1933" s="174" t="n">
        <v>2047</v>
      </c>
      <c r="G1933" s="175" t="n">
        <v>41</v>
      </c>
      <c r="H1933" s="176" t="n">
        <v>3512.62163782425</v>
      </c>
      <c r="I1933" s="177" t="n">
        <v>4532495.1092283</v>
      </c>
      <c r="J1933" s="178" t="str">
        <f>IF(I1933&gt;0,H1933/I1933,0)</f>
      </c>
      <c r="K1933" s="179" t="str">
        <f>1-EXP(-J1933)</f>
      </c>
      <c r="L1933" s="180" t="str">
        <f>IF(G1933=30,1,M1932)</f>
      </c>
      <c r="M1933" s="181" t="str">
        <f>L1933*(1-K1933)</f>
      </c>
    </row>
    <row r="1934">
      <c r="A1934" t="s">
        <v>164</v>
      </c>
      <c r="B1934" t="s">
        <v>112</v>
      </c>
      <c r="C1934" s="32" t="s">
        <v>297</v>
      </c>
      <c r="D1934" t="s">
        <v>112</v>
      </c>
      <c r="E1934" t="s">
        <v>395</v>
      </c>
      <c r="F1934" s="174" t="n">
        <v>2047</v>
      </c>
      <c r="G1934" s="175" t="n">
        <v>42</v>
      </c>
      <c r="H1934" s="176" t="n">
        <v>3755.08556228004</v>
      </c>
      <c r="I1934" s="177" t="n">
        <v>4467950.13305113</v>
      </c>
      <c r="J1934" s="178" t="str">
        <f>IF(I1934&gt;0,H1934/I1934,0)</f>
      </c>
      <c r="K1934" s="179" t="str">
        <f>1-EXP(-J1934)</f>
      </c>
      <c r="L1934" s="180" t="str">
        <f>IF(G1934=30,1,M1933)</f>
      </c>
      <c r="M1934" s="181" t="str">
        <f>L1934*(1-K1934)</f>
      </c>
    </row>
    <row r="1935">
      <c r="A1935" t="s">
        <v>164</v>
      </c>
      <c r="B1935" t="s">
        <v>112</v>
      </c>
      <c r="C1935" s="32" t="s">
        <v>297</v>
      </c>
      <c r="D1935" t="s">
        <v>112</v>
      </c>
      <c r="E1935" t="s">
        <v>395</v>
      </c>
      <c r="F1935" s="174" t="n">
        <v>2047</v>
      </c>
      <c r="G1935" s="175" t="n">
        <v>43</v>
      </c>
      <c r="H1935" s="176" t="n">
        <v>3961.22151452174</v>
      </c>
      <c r="I1935" s="177" t="n">
        <v>4336371.03690285</v>
      </c>
      <c r="J1935" s="178" t="str">
        <f>IF(I1935&gt;0,H1935/I1935,0)</f>
      </c>
      <c r="K1935" s="179" t="str">
        <f>1-EXP(-J1935)</f>
      </c>
      <c r="L1935" s="180" t="str">
        <f>IF(G1935=30,1,M1934)</f>
      </c>
      <c r="M1935" s="181" t="str">
        <f>L1935*(1-K1935)</f>
      </c>
    </row>
    <row r="1936">
      <c r="A1936" t="s">
        <v>164</v>
      </c>
      <c r="B1936" t="s">
        <v>112</v>
      </c>
      <c r="C1936" s="32" t="s">
        <v>297</v>
      </c>
      <c r="D1936" t="s">
        <v>112</v>
      </c>
      <c r="E1936" t="s">
        <v>395</v>
      </c>
      <c r="F1936" s="174" t="n">
        <v>2047</v>
      </c>
      <c r="G1936" s="175" t="n">
        <v>44</v>
      </c>
      <c r="H1936" s="176" t="n">
        <v>4246.01417474954</v>
      </c>
      <c r="I1936" s="177" t="n">
        <v>4266329.78094124</v>
      </c>
      <c r="J1936" s="178" t="str">
        <f>IF(I1936&gt;0,H1936/I1936,0)</f>
      </c>
      <c r="K1936" s="179" t="str">
        <f>1-EXP(-J1936)</f>
      </c>
      <c r="L1936" s="180" t="str">
        <f>IF(G1936=30,1,M1935)</f>
      </c>
      <c r="M1936" s="181" t="str">
        <f>L1936*(1-K1936)</f>
      </c>
    </row>
    <row r="1937">
      <c r="A1937" t="s">
        <v>164</v>
      </c>
      <c r="B1937" t="s">
        <v>112</v>
      </c>
      <c r="C1937" s="32" t="s">
        <v>297</v>
      </c>
      <c r="D1937" t="s">
        <v>112</v>
      </c>
      <c r="E1937" t="s">
        <v>395</v>
      </c>
      <c r="F1937" s="174" t="n">
        <v>2047</v>
      </c>
      <c r="G1937" s="175" t="n">
        <v>45</v>
      </c>
      <c r="H1937" s="176" t="n">
        <v>5598.55894493508</v>
      </c>
      <c r="I1937" s="177" t="n">
        <v>4236614.00301468</v>
      </c>
      <c r="J1937" s="178" t="str">
        <f>IF(I1937&gt;0,H1937/I1937,0)</f>
      </c>
      <c r="K1937" s="179" t="str">
        <f>1-EXP(-J1937)</f>
      </c>
      <c r="L1937" s="180" t="str">
        <f>IF(G1937=30,1,M1936)</f>
      </c>
      <c r="M1937" s="181" t="str">
        <f>L1937*(1-K1937)</f>
      </c>
    </row>
    <row r="1938">
      <c r="A1938" t="s">
        <v>164</v>
      </c>
      <c r="B1938" t="s">
        <v>112</v>
      </c>
      <c r="C1938" s="32" t="s">
        <v>297</v>
      </c>
      <c r="D1938" t="s">
        <v>112</v>
      </c>
      <c r="E1938" t="s">
        <v>395</v>
      </c>
      <c r="F1938" s="174" t="n">
        <v>2047</v>
      </c>
      <c r="G1938" s="175" t="n">
        <v>46</v>
      </c>
      <c r="H1938" s="176" t="n">
        <v>6154.73624447649</v>
      </c>
      <c r="I1938" s="177" t="n">
        <v>4208548.45559328</v>
      </c>
      <c r="J1938" s="178" t="str">
        <f>IF(I1938&gt;0,H1938/I1938,0)</f>
      </c>
      <c r="K1938" s="179" t="str">
        <f>1-EXP(-J1938)</f>
      </c>
      <c r="L1938" s="180" t="str">
        <f>IF(G1938=30,1,M1937)</f>
      </c>
      <c r="M1938" s="181" t="str">
        <f>L1938*(1-K1938)</f>
      </c>
    </row>
    <row r="1939">
      <c r="A1939" t="s">
        <v>164</v>
      </c>
      <c r="B1939" t="s">
        <v>112</v>
      </c>
      <c r="C1939" s="32" t="s">
        <v>297</v>
      </c>
      <c r="D1939" t="s">
        <v>112</v>
      </c>
      <c r="E1939" t="s">
        <v>395</v>
      </c>
      <c r="F1939" s="174" t="n">
        <v>2047</v>
      </c>
      <c r="G1939" s="175" t="n">
        <v>47</v>
      </c>
      <c r="H1939" s="176" t="n">
        <v>6693.82881579461</v>
      </c>
      <c r="I1939" s="177" t="n">
        <v>4180057.59398168</v>
      </c>
      <c r="J1939" s="178" t="str">
        <f>IF(I1939&gt;0,H1939/I1939,0)</f>
      </c>
      <c r="K1939" s="179" t="str">
        <f>1-EXP(-J1939)</f>
      </c>
      <c r="L1939" s="180" t="str">
        <f>IF(G1939=30,1,M1938)</f>
      </c>
      <c r="M1939" s="181" t="str">
        <f>L1939*(1-K1939)</f>
      </c>
    </row>
    <row r="1940">
      <c r="A1940" t="s">
        <v>164</v>
      </c>
      <c r="B1940" t="s">
        <v>112</v>
      </c>
      <c r="C1940" s="32" t="s">
        <v>297</v>
      </c>
      <c r="D1940" t="s">
        <v>112</v>
      </c>
      <c r="E1940" t="s">
        <v>395</v>
      </c>
      <c r="F1940" s="174" t="n">
        <v>2047</v>
      </c>
      <c r="G1940" s="175" t="n">
        <v>48</v>
      </c>
      <c r="H1940" s="176" t="n">
        <v>7357.89908233388</v>
      </c>
      <c r="I1940" s="177" t="n">
        <v>4189014.06287786</v>
      </c>
      <c r="J1940" s="178" t="str">
        <f>IF(I1940&gt;0,H1940/I1940,0)</f>
      </c>
      <c r="K1940" s="179" t="str">
        <f>1-EXP(-J1940)</f>
      </c>
      <c r="L1940" s="180" t="str">
        <f>IF(G1940=30,1,M1939)</f>
      </c>
      <c r="M1940" s="181" t="str">
        <f>L1940*(1-K1940)</f>
      </c>
    </row>
    <row r="1941">
      <c r="A1941" t="s">
        <v>164</v>
      </c>
      <c r="B1941" t="s">
        <v>112</v>
      </c>
      <c r="C1941" s="32" t="s">
        <v>297</v>
      </c>
      <c r="D1941" t="s">
        <v>112</v>
      </c>
      <c r="E1941" t="s">
        <v>395</v>
      </c>
      <c r="F1941" s="174" t="n">
        <v>2047</v>
      </c>
      <c r="G1941" s="175" t="n">
        <v>49</v>
      </c>
      <c r="H1941" s="176" t="n">
        <v>8166.03076339032</v>
      </c>
      <c r="I1941" s="177" t="n">
        <v>4234453.89538522</v>
      </c>
      <c r="J1941" s="178" t="str">
        <f>IF(I1941&gt;0,H1941/I1941,0)</f>
      </c>
      <c r="K1941" s="179" t="str">
        <f>1-EXP(-J1941)</f>
      </c>
      <c r="L1941" s="180" t="str">
        <f>IF(G1941=30,1,M1940)</f>
      </c>
      <c r="M1941" s="181" t="str">
        <f>L1941*(1-K1941)</f>
      </c>
    </row>
    <row r="1942">
      <c r="A1942" t="s">
        <v>164</v>
      </c>
      <c r="B1942" t="s">
        <v>112</v>
      </c>
      <c r="C1942" s="32" t="s">
        <v>297</v>
      </c>
      <c r="D1942" t="s">
        <v>112</v>
      </c>
      <c r="E1942" t="s">
        <v>395</v>
      </c>
      <c r="F1942" s="174" t="n">
        <v>2047</v>
      </c>
      <c r="G1942" s="175" t="n">
        <v>50</v>
      </c>
      <c r="H1942" s="176" t="n">
        <v>9786.11269343719</v>
      </c>
      <c r="I1942" s="177" t="n">
        <v>4351203.29988205</v>
      </c>
      <c r="J1942" s="178" t="str">
        <f>IF(I1942&gt;0,H1942/I1942,0)</f>
      </c>
      <c r="K1942" s="179" t="str">
        <f>1-EXP(-J1942)</f>
      </c>
      <c r="L1942" s="180" t="str">
        <f>IF(G1942=30,1,M1941)</f>
      </c>
      <c r="M1942" s="181" t="str">
        <f>L1942*(1-K1942)</f>
      </c>
    </row>
    <row r="1943">
      <c r="A1943" t="s">
        <v>164</v>
      </c>
      <c r="B1943" t="s">
        <v>112</v>
      </c>
      <c r="C1943" s="32" t="s">
        <v>297</v>
      </c>
      <c r="D1943" t="s">
        <v>112</v>
      </c>
      <c r="E1943" t="s">
        <v>395</v>
      </c>
      <c r="F1943" s="174" t="n">
        <v>2047</v>
      </c>
      <c r="G1943" s="175" t="n">
        <v>51</v>
      </c>
      <c r="H1943" s="176" t="n">
        <v>10570.1331919916</v>
      </c>
      <c r="I1943" s="177" t="n">
        <v>4293560.00686269</v>
      </c>
      <c r="J1943" s="178" t="str">
        <f>IF(I1943&gt;0,H1943/I1943,0)</f>
      </c>
      <c r="K1943" s="179" t="str">
        <f>1-EXP(-J1943)</f>
      </c>
      <c r="L1943" s="180" t="str">
        <f>IF(G1943=30,1,M1942)</f>
      </c>
      <c r="M1943" s="181" t="str">
        <f>L1943*(1-K1943)</f>
      </c>
    </row>
    <row r="1944">
      <c r="A1944" t="s">
        <v>164</v>
      </c>
      <c r="B1944" t="s">
        <v>112</v>
      </c>
      <c r="C1944" s="32" t="s">
        <v>297</v>
      </c>
      <c r="D1944" t="s">
        <v>112</v>
      </c>
      <c r="E1944" t="s">
        <v>395</v>
      </c>
      <c r="F1944" s="174" t="n">
        <v>2047</v>
      </c>
      <c r="G1944" s="175" t="n">
        <v>52</v>
      </c>
      <c r="H1944" s="176" t="n">
        <v>11315.3456528678</v>
      </c>
      <c r="I1944" s="177" t="n">
        <v>4206420.88653945</v>
      </c>
      <c r="J1944" s="178" t="str">
        <f>IF(I1944&gt;0,H1944/I1944,0)</f>
      </c>
      <c r="K1944" s="179" t="str">
        <f>1-EXP(-J1944)</f>
      </c>
      <c r="L1944" s="180" t="str">
        <f>IF(G1944=30,1,M1943)</f>
      </c>
      <c r="M1944" s="181" t="str">
        <f>L1944*(1-K1944)</f>
      </c>
    </row>
    <row r="1945">
      <c r="A1945" t="s">
        <v>164</v>
      </c>
      <c r="B1945" t="s">
        <v>112</v>
      </c>
      <c r="C1945" s="32" t="s">
        <v>297</v>
      </c>
      <c r="D1945" t="s">
        <v>112</v>
      </c>
      <c r="E1945" t="s">
        <v>395</v>
      </c>
      <c r="F1945" s="174" t="n">
        <v>2047</v>
      </c>
      <c r="G1945" s="175" t="n">
        <v>53</v>
      </c>
      <c r="H1945" s="176" t="n">
        <v>12122.0424955019</v>
      </c>
      <c r="I1945" s="177" t="n">
        <v>4132987.56338282</v>
      </c>
      <c r="J1945" s="178" t="str">
        <f>IF(I1945&gt;0,H1945/I1945,0)</f>
      </c>
      <c r="K1945" s="179" t="str">
        <f>1-EXP(-J1945)</f>
      </c>
      <c r="L1945" s="180" t="str">
        <f>IF(G1945=30,1,M1944)</f>
      </c>
      <c r="M1945" s="181" t="str">
        <f>L1945*(1-K1945)</f>
      </c>
    </row>
    <row r="1946">
      <c r="A1946" t="s">
        <v>164</v>
      </c>
      <c r="B1946" t="s">
        <v>112</v>
      </c>
      <c r="C1946" s="32" t="s">
        <v>297</v>
      </c>
      <c r="D1946" t="s">
        <v>112</v>
      </c>
      <c r="E1946" t="s">
        <v>395</v>
      </c>
      <c r="F1946" s="174" t="n">
        <v>2047</v>
      </c>
      <c r="G1946" s="175" t="n">
        <v>54</v>
      </c>
      <c r="H1946" s="176" t="n">
        <v>12965.9119750035</v>
      </c>
      <c r="I1946" s="177" t="n">
        <v>4061611.80895901</v>
      </c>
      <c r="J1946" s="178" t="str">
        <f>IF(I1946&gt;0,H1946/I1946,0)</f>
      </c>
      <c r="K1946" s="179" t="str">
        <f>1-EXP(-J1946)</f>
      </c>
      <c r="L1946" s="180" t="str">
        <f>IF(G1946=30,1,M1945)</f>
      </c>
      <c r="M1946" s="181" t="str">
        <f>L1946*(1-K1946)</f>
      </c>
    </row>
    <row r="1947">
      <c r="A1947" t="s">
        <v>164</v>
      </c>
      <c r="B1947" t="s">
        <v>112</v>
      </c>
      <c r="C1947" s="32" t="s">
        <v>297</v>
      </c>
      <c r="D1947" t="s">
        <v>112</v>
      </c>
      <c r="E1947" t="s">
        <v>395</v>
      </c>
      <c r="F1947" s="174" t="n">
        <v>2047</v>
      </c>
      <c r="G1947" s="175" t="n">
        <v>55</v>
      </c>
      <c r="H1947" s="176" t="n">
        <v>13871.9985855735</v>
      </c>
      <c r="I1947" s="177" t="n">
        <v>4074560.37333503</v>
      </c>
      <c r="J1947" s="178" t="str">
        <f>IF(I1947&gt;0,H1947/I1947,0)</f>
      </c>
      <c r="K1947" s="179" t="str">
        <f>1-EXP(-J1947)</f>
      </c>
      <c r="L1947" s="180" t="str">
        <f>IF(G1947=30,1,M1946)</f>
      </c>
      <c r="M1947" s="181" t="str">
        <f>L1947*(1-K1947)</f>
      </c>
    </row>
    <row r="1948">
      <c r="A1948" t="s">
        <v>164</v>
      </c>
      <c r="B1948" t="s">
        <v>112</v>
      </c>
      <c r="C1948" s="32" t="s">
        <v>297</v>
      </c>
      <c r="D1948" t="s">
        <v>112</v>
      </c>
      <c r="E1948" t="s">
        <v>395</v>
      </c>
      <c r="F1948" s="174" t="n">
        <v>2047</v>
      </c>
      <c r="G1948" s="175" t="n">
        <v>56</v>
      </c>
      <c r="H1948" s="176" t="n">
        <v>15062.0675883163</v>
      </c>
      <c r="I1948" s="177" t="n">
        <v>4066464.4984165</v>
      </c>
      <c r="J1948" s="178" t="str">
        <f>IF(I1948&gt;0,H1948/I1948,0)</f>
      </c>
      <c r="K1948" s="179" t="str">
        <f>1-EXP(-J1948)</f>
      </c>
      <c r="L1948" s="180" t="str">
        <f>IF(G1948=30,1,M1947)</f>
      </c>
      <c r="M1948" s="181" t="str">
        <f>L1948*(1-K1948)</f>
      </c>
    </row>
    <row r="1949">
      <c r="A1949" t="s">
        <v>164</v>
      </c>
      <c r="B1949" t="s">
        <v>112</v>
      </c>
      <c r="C1949" s="32" t="s">
        <v>297</v>
      </c>
      <c r="D1949" t="s">
        <v>112</v>
      </c>
      <c r="E1949" t="s">
        <v>395</v>
      </c>
      <c r="F1949" s="174" t="n">
        <v>2047</v>
      </c>
      <c r="G1949" s="175" t="n">
        <v>57</v>
      </c>
      <c r="H1949" s="176" t="n">
        <v>21899.4953562382</v>
      </c>
      <c r="I1949" s="177" t="n">
        <v>5978791.81517161</v>
      </c>
      <c r="J1949" s="178" t="str">
        <f>IF(I1949&gt;0,H1949/I1949,0)</f>
      </c>
      <c r="K1949" s="179" t="str">
        <f>1-EXP(-J1949)</f>
      </c>
      <c r="L1949" s="180" t="str">
        <f>IF(G1949=30,1,M1948)</f>
      </c>
      <c r="M1949" s="181" t="str">
        <f>L1949*(1-K1949)</f>
      </c>
    </row>
    <row r="1950">
      <c r="A1950" t="s">
        <v>164</v>
      </c>
      <c r="B1950" t="s">
        <v>112</v>
      </c>
      <c r="C1950" s="32" t="s">
        <v>297</v>
      </c>
      <c r="D1950" t="s">
        <v>112</v>
      </c>
      <c r="E1950" t="s">
        <v>395</v>
      </c>
      <c r="F1950" s="174" t="n">
        <v>2047</v>
      </c>
      <c r="G1950" s="175" t="n">
        <v>58</v>
      </c>
      <c r="H1950" s="176" t="n">
        <v>17497.8348828663</v>
      </c>
      <c r="I1950" s="177" t="n">
        <v>3972004.06034656</v>
      </c>
      <c r="J1950" s="178" t="str">
        <f>IF(I1950&gt;0,H1950/I1950,0)</f>
      </c>
      <c r="K1950" s="179" t="str">
        <f>1-EXP(-J1950)</f>
      </c>
      <c r="L1950" s="180" t="str">
        <f>IF(G1950=30,1,M1949)</f>
      </c>
      <c r="M1950" s="181" t="str">
        <f>L1950*(1-K1950)</f>
      </c>
    </row>
    <row r="1951">
      <c r="A1951" t="s">
        <v>164</v>
      </c>
      <c r="B1951" t="s">
        <v>112</v>
      </c>
      <c r="C1951" s="32" t="s">
        <v>297</v>
      </c>
      <c r="D1951" t="s">
        <v>112</v>
      </c>
      <c r="E1951" t="s">
        <v>395</v>
      </c>
      <c r="F1951" s="174" t="n">
        <v>2047</v>
      </c>
      <c r="G1951" s="175" t="n">
        <v>59</v>
      </c>
      <c r="H1951" s="176" t="n">
        <v>18914.0761799701</v>
      </c>
      <c r="I1951" s="177" t="n">
        <v>3925039.26634122</v>
      </c>
      <c r="J1951" s="178" t="str">
        <f>IF(I1951&gt;0,H1951/I1951,0)</f>
      </c>
      <c r="K1951" s="179" t="str">
        <f>1-EXP(-J1951)</f>
      </c>
      <c r="L1951" s="180" t="str">
        <f>IF(G1951=30,1,M1950)</f>
      </c>
      <c r="M1951" s="181" t="str">
        <f>L1951*(1-K1951)</f>
      </c>
    </row>
    <row r="1952">
      <c r="A1952" t="s">
        <v>164</v>
      </c>
      <c r="B1952" t="s">
        <v>112</v>
      </c>
      <c r="C1952" s="32" t="s">
        <v>297</v>
      </c>
      <c r="D1952" t="s">
        <v>112</v>
      </c>
      <c r="E1952" t="s">
        <v>395</v>
      </c>
      <c r="F1952" s="174" t="n">
        <v>2047</v>
      </c>
      <c r="G1952" s="175" t="n">
        <v>60</v>
      </c>
      <c r="H1952" s="176" t="n">
        <v>19615.2517717882</v>
      </c>
      <c r="I1952" s="177" t="n">
        <v>3771286.38736733</v>
      </c>
      <c r="J1952" s="178" t="str">
        <f>IF(I1952&gt;0,H1952/I1952,0)</f>
      </c>
      <c r="K1952" s="179" t="str">
        <f>1-EXP(-J1952)</f>
      </c>
      <c r="L1952" s="180" t="str">
        <f>IF(G1952=30,1,M1951)</f>
      </c>
      <c r="M1952" s="181" t="str">
        <f>L1952*(1-K1952)</f>
      </c>
    </row>
    <row r="1953">
      <c r="A1953" t="s">
        <v>164</v>
      </c>
      <c r="B1953" t="s">
        <v>112</v>
      </c>
      <c r="C1953" s="32" t="s">
        <v>297</v>
      </c>
      <c r="D1953" t="s">
        <v>112</v>
      </c>
      <c r="E1953" t="s">
        <v>395</v>
      </c>
      <c r="F1953" s="174" t="n">
        <v>2047</v>
      </c>
      <c r="G1953" s="175" t="n">
        <v>61</v>
      </c>
      <c r="H1953" s="176" t="n">
        <v>21135.9261883058</v>
      </c>
      <c r="I1953" s="177" t="n">
        <v>3703985.97355204</v>
      </c>
      <c r="J1953" s="178" t="str">
        <f>IF(I1953&gt;0,H1953/I1953,0)</f>
      </c>
      <c r="K1953" s="179" t="str">
        <f>1-EXP(-J1953)</f>
      </c>
      <c r="L1953" s="180" t="str">
        <f>IF(G1953=30,1,M1952)</f>
      </c>
      <c r="M1953" s="181" t="str">
        <f>L1953*(1-K1953)</f>
      </c>
    </row>
    <row r="1954">
      <c r="A1954" t="s">
        <v>164</v>
      </c>
      <c r="B1954" t="s">
        <v>112</v>
      </c>
      <c r="C1954" s="32" t="s">
        <v>297</v>
      </c>
      <c r="D1954" t="s">
        <v>112</v>
      </c>
      <c r="E1954" t="s">
        <v>395</v>
      </c>
      <c r="F1954" s="174" t="n">
        <v>2047</v>
      </c>
      <c r="G1954" s="175" t="n">
        <v>62</v>
      </c>
      <c r="H1954" s="176" t="n">
        <v>23282.5286443837</v>
      </c>
      <c r="I1954" s="177" t="n">
        <v>3716626.89034579</v>
      </c>
      <c r="J1954" s="178" t="str">
        <f>IF(I1954&gt;0,H1954/I1954,0)</f>
      </c>
      <c r="K1954" s="179" t="str">
        <f>1-EXP(-J1954)</f>
      </c>
      <c r="L1954" s="180" t="str">
        <f>IF(G1954=30,1,M1953)</f>
      </c>
      <c r="M1954" s="181" t="str">
        <f>L1954*(1-K1954)</f>
      </c>
    </row>
    <row r="1955">
      <c r="A1955" t="s">
        <v>164</v>
      </c>
      <c r="B1955" t="s">
        <v>112</v>
      </c>
      <c r="C1955" s="32" t="s">
        <v>297</v>
      </c>
      <c r="D1955" t="s">
        <v>112</v>
      </c>
      <c r="E1955" t="s">
        <v>395</v>
      </c>
      <c r="F1955" s="174" t="n">
        <v>2047</v>
      </c>
      <c r="G1955" s="175" t="n">
        <v>63</v>
      </c>
      <c r="H1955" s="176" t="n">
        <v>25762.2438425631</v>
      </c>
      <c r="I1955" s="177" t="n">
        <v>3746478.82445054</v>
      </c>
      <c r="J1955" s="178" t="str">
        <f>IF(I1955&gt;0,H1955/I1955,0)</f>
      </c>
      <c r="K1955" s="179" t="str">
        <f>1-EXP(-J1955)</f>
      </c>
      <c r="L1955" s="180" t="str">
        <f>IF(G1955=30,1,M1954)</f>
      </c>
      <c r="M1955" s="181" t="str">
        <f>L1955*(1-K1955)</f>
      </c>
    </row>
    <row r="1956">
      <c r="A1956" t="s">
        <v>164</v>
      </c>
      <c r="B1956" t="s">
        <v>112</v>
      </c>
      <c r="C1956" s="32" t="s">
        <v>297</v>
      </c>
      <c r="D1956" t="s">
        <v>112</v>
      </c>
      <c r="E1956" t="s">
        <v>395</v>
      </c>
      <c r="F1956" s="174" t="n">
        <v>2047</v>
      </c>
      <c r="G1956" s="175" t="n">
        <v>64</v>
      </c>
      <c r="H1956" s="176" t="n">
        <v>27743.4991944085</v>
      </c>
      <c r="I1956" s="177" t="n">
        <v>3676968.83731672</v>
      </c>
      <c r="J1956" s="178" t="str">
        <f>IF(I1956&gt;0,H1956/I1956,0)</f>
      </c>
      <c r="K1956" s="179" t="str">
        <f>1-EXP(-J1956)</f>
      </c>
      <c r="L1956" s="180" t="str">
        <f>IF(G1956=30,1,M1955)</f>
      </c>
      <c r="M1956" s="181" t="str">
        <f>L1956*(1-K1956)</f>
      </c>
    </row>
    <row r="1957">
      <c r="A1957" t="s">
        <v>164</v>
      </c>
      <c r="B1957" t="s">
        <v>112</v>
      </c>
      <c r="C1957" s="32" t="s">
        <v>297</v>
      </c>
      <c r="D1957" t="s">
        <v>112</v>
      </c>
      <c r="E1957" t="s">
        <v>395</v>
      </c>
      <c r="F1957" s="174" t="n">
        <v>2047</v>
      </c>
      <c r="G1957" s="175" t="n">
        <v>65</v>
      </c>
      <c r="H1957" s="176" t="n">
        <v>27654.0204852382</v>
      </c>
      <c r="I1957" s="177" t="n">
        <v>3508173.28769368</v>
      </c>
      <c r="J1957" s="178" t="str">
        <f>IF(I1957&gt;0,H1957/I1957,0)</f>
      </c>
      <c r="K1957" s="179" t="str">
        <f>1-EXP(-J1957)</f>
      </c>
      <c r="L1957" s="180" t="str">
        <f>IF(G1957=30,1,M1956)</f>
      </c>
      <c r="M1957" s="181" t="str">
        <f>L1957*(1-K1957)</f>
      </c>
    </row>
    <row r="1958">
      <c r="A1958" t="s">
        <v>164</v>
      </c>
      <c r="B1958" t="s">
        <v>112</v>
      </c>
      <c r="C1958" s="32" t="s">
        <v>297</v>
      </c>
      <c r="D1958" t="s">
        <v>112</v>
      </c>
      <c r="E1958" t="s">
        <v>395</v>
      </c>
      <c r="F1958" s="174" t="n">
        <v>2047</v>
      </c>
      <c r="G1958" s="175" t="n">
        <v>66</v>
      </c>
      <c r="H1958" s="176" t="n">
        <v>29362.1512299055</v>
      </c>
      <c r="I1958" s="177" t="n">
        <v>3391929.31677836</v>
      </c>
      <c r="J1958" s="178" t="str">
        <f>IF(I1958&gt;0,H1958/I1958,0)</f>
      </c>
      <c r="K1958" s="179" t="str">
        <f>1-EXP(-J1958)</f>
      </c>
      <c r="L1958" s="180" t="str">
        <f>IF(G1958=30,1,M1957)</f>
      </c>
      <c r="M1958" s="181" t="str">
        <f>L1958*(1-K1958)</f>
      </c>
    </row>
    <row r="1959">
      <c r="A1959" t="s">
        <v>164</v>
      </c>
      <c r="B1959" t="s">
        <v>112</v>
      </c>
      <c r="C1959" s="32" t="s">
        <v>297</v>
      </c>
      <c r="D1959" t="s">
        <v>112</v>
      </c>
      <c r="E1959" t="s">
        <v>395</v>
      </c>
      <c r="F1959" s="174" t="n">
        <v>2047</v>
      </c>
      <c r="G1959" s="175" t="n">
        <v>67</v>
      </c>
      <c r="H1959" s="176" t="n">
        <v>31242.5650324709</v>
      </c>
      <c r="I1959" s="177" t="n">
        <v>3285645.39817304</v>
      </c>
      <c r="J1959" s="178" t="str">
        <f>IF(I1959&gt;0,H1959/I1959,0)</f>
      </c>
      <c r="K1959" s="179" t="str">
        <f>1-EXP(-J1959)</f>
      </c>
      <c r="L1959" s="180" t="str">
        <f>IF(G1959=30,1,M1958)</f>
      </c>
      <c r="M1959" s="181" t="str">
        <f>L1959*(1-K1959)</f>
      </c>
    </row>
    <row r="1960">
      <c r="A1960" t="s">
        <v>164</v>
      </c>
      <c r="B1960" t="s">
        <v>112</v>
      </c>
      <c r="C1960" s="32" t="s">
        <v>297</v>
      </c>
      <c r="D1960" t="s">
        <v>112</v>
      </c>
      <c r="E1960" t="s">
        <v>395</v>
      </c>
      <c r="F1960" s="174" t="n">
        <v>2047</v>
      </c>
      <c r="G1960" s="175" t="n">
        <v>68</v>
      </c>
      <c r="H1960" s="176" t="n">
        <v>33155.3946733981</v>
      </c>
      <c r="I1960" s="177" t="n">
        <v>3172126.56509331</v>
      </c>
      <c r="J1960" s="178" t="str">
        <f>IF(I1960&gt;0,H1960/I1960,0)</f>
      </c>
      <c r="K1960" s="179" t="str">
        <f>1-EXP(-J1960)</f>
      </c>
      <c r="L1960" s="180" t="str">
        <f>IF(G1960=30,1,M1959)</f>
      </c>
      <c r="M1960" s="181" t="str">
        <f>L1960*(1-K1960)</f>
      </c>
    </row>
    <row r="1961">
      <c r="A1961" t="s">
        <v>164</v>
      </c>
      <c r="B1961" t="s">
        <v>112</v>
      </c>
      <c r="C1961" s="32" t="s">
        <v>297</v>
      </c>
      <c r="D1961" t="s">
        <v>112</v>
      </c>
      <c r="E1961" t="s">
        <v>395</v>
      </c>
      <c r="F1961" s="174" t="n">
        <v>2047</v>
      </c>
      <c r="G1961" s="175" t="n">
        <v>69</v>
      </c>
      <c r="H1961" s="176" t="n">
        <v>34965.5701919316</v>
      </c>
      <c r="I1961" s="177" t="n">
        <v>3040546.8297581</v>
      </c>
      <c r="J1961" s="178" t="str">
        <f>IF(I1961&gt;0,H1961/I1961,0)</f>
      </c>
      <c r="K1961" s="179" t="str">
        <f>1-EXP(-J1961)</f>
      </c>
      <c r="L1961" s="180" t="str">
        <f>IF(G1961=30,1,M1960)</f>
      </c>
      <c r="M1961" s="181" t="str">
        <f>L1961*(1-K1961)</f>
      </c>
    </row>
    <row r="1962">
      <c r="A1962" t="s">
        <v>164</v>
      </c>
      <c r="B1962" t="s">
        <v>112</v>
      </c>
      <c r="C1962" s="32" t="s">
        <v>297</v>
      </c>
      <c r="D1962" t="s">
        <v>112</v>
      </c>
      <c r="E1962" t="s">
        <v>395</v>
      </c>
      <c r="F1962" s="174" t="n">
        <v>2048</v>
      </c>
      <c r="G1962" s="175" t="n">
        <v>30</v>
      </c>
      <c r="H1962" s="176" t="n">
        <v>614.666398973392</v>
      </c>
      <c r="I1962" s="177" t="n">
        <v>4275283.87393158</v>
      </c>
      <c r="J1962" s="178" t="str">
        <f>IF(I1962&gt;0,H1962/I1962,0)</f>
      </c>
      <c r="K1962" s="179" t="str">
        <f>1-EXP(-J1962)</f>
      </c>
      <c r="L1962" s="180" t="str">
        <f>IF(G1962=30,1,M1961)</f>
      </c>
      <c r="M1962" s="181" t="str">
        <f>L1962*(1-K1962)</f>
      </c>
    </row>
    <row r="1963">
      <c r="A1963" t="s">
        <v>164</v>
      </c>
      <c r="B1963" t="s">
        <v>112</v>
      </c>
      <c r="C1963" s="32" t="s">
        <v>297</v>
      </c>
      <c r="D1963" t="s">
        <v>112</v>
      </c>
      <c r="E1963" t="s">
        <v>395</v>
      </c>
      <c r="F1963" s="174" t="n">
        <v>2048</v>
      </c>
      <c r="G1963" s="175" t="n">
        <v>31</v>
      </c>
      <c r="H1963" s="176" t="n">
        <v>853.938158410677</v>
      </c>
      <c r="I1963" s="177" t="n">
        <v>4315810.83305652</v>
      </c>
      <c r="J1963" s="178" t="str">
        <f>IF(I1963&gt;0,H1963/I1963,0)</f>
      </c>
      <c r="K1963" s="179" t="str">
        <f>1-EXP(-J1963)</f>
      </c>
      <c r="L1963" s="180" t="str">
        <f>IF(G1963=30,1,M1962)</f>
      </c>
      <c r="M1963" s="181" t="str">
        <f>L1963*(1-K1963)</f>
      </c>
    </row>
    <row r="1964">
      <c r="A1964" t="s">
        <v>164</v>
      </c>
      <c r="B1964" t="s">
        <v>112</v>
      </c>
      <c r="C1964" s="32" t="s">
        <v>297</v>
      </c>
      <c r="D1964" t="s">
        <v>112</v>
      </c>
      <c r="E1964" t="s">
        <v>395</v>
      </c>
      <c r="F1964" s="174" t="n">
        <v>2048</v>
      </c>
      <c r="G1964" s="175" t="n">
        <v>32</v>
      </c>
      <c r="H1964" s="176" t="n">
        <v>990.011791814883</v>
      </c>
      <c r="I1964" s="177" t="n">
        <v>4578301.5936362</v>
      </c>
      <c r="J1964" s="178" t="str">
        <f>IF(I1964&gt;0,H1964/I1964,0)</f>
      </c>
      <c r="K1964" s="179" t="str">
        <f>1-EXP(-J1964)</f>
      </c>
      <c r="L1964" s="180" t="str">
        <f>IF(G1964=30,1,M1963)</f>
      </c>
      <c r="M1964" s="181" t="str">
        <f>L1964*(1-K1964)</f>
      </c>
    </row>
    <row r="1965">
      <c r="A1965" t="s">
        <v>164</v>
      </c>
      <c r="B1965" t="s">
        <v>112</v>
      </c>
      <c r="C1965" s="32" t="s">
        <v>297</v>
      </c>
      <c r="D1965" t="s">
        <v>112</v>
      </c>
      <c r="E1965" t="s">
        <v>395</v>
      </c>
      <c r="F1965" s="174" t="n">
        <v>2048</v>
      </c>
      <c r="G1965" s="175" t="n">
        <v>33</v>
      </c>
      <c r="H1965" s="176" t="n">
        <v>1094.04593949701</v>
      </c>
      <c r="I1965" s="177" t="n">
        <v>4626788.33460351</v>
      </c>
      <c r="J1965" s="178" t="str">
        <f>IF(I1965&gt;0,H1965/I1965,0)</f>
      </c>
      <c r="K1965" s="179" t="str">
        <f>1-EXP(-J1965)</f>
      </c>
      <c r="L1965" s="180" t="str">
        <f>IF(G1965=30,1,M1964)</f>
      </c>
      <c r="M1965" s="181" t="str">
        <f>L1965*(1-K1965)</f>
      </c>
    </row>
    <row r="1966">
      <c r="A1966" t="s">
        <v>164</v>
      </c>
      <c r="B1966" t="s">
        <v>112</v>
      </c>
      <c r="C1966" s="32" t="s">
        <v>297</v>
      </c>
      <c r="D1966" t="s">
        <v>112</v>
      </c>
      <c r="E1966" t="s">
        <v>395</v>
      </c>
      <c r="F1966" s="174" t="n">
        <v>2048</v>
      </c>
      <c r="G1966" s="175" t="n">
        <v>34</v>
      </c>
      <c r="H1966" s="176" t="n">
        <v>1181.60303292474</v>
      </c>
      <c r="I1966" s="177" t="n">
        <v>4692694.73675505</v>
      </c>
      <c r="J1966" s="178" t="str">
        <f>IF(I1966&gt;0,H1966/I1966,0)</f>
      </c>
      <c r="K1966" s="179" t="str">
        <f>1-EXP(-J1966)</f>
      </c>
      <c r="L1966" s="180" t="str">
        <f>IF(G1966=30,1,M1965)</f>
      </c>
      <c r="M1966" s="181" t="str">
        <f>L1966*(1-K1966)</f>
      </c>
    </row>
    <row r="1967">
      <c r="A1967" t="s">
        <v>164</v>
      </c>
      <c r="B1967" t="s">
        <v>112</v>
      </c>
      <c r="C1967" s="32" t="s">
        <v>297</v>
      </c>
      <c r="D1967" t="s">
        <v>112</v>
      </c>
      <c r="E1967" t="s">
        <v>395</v>
      </c>
      <c r="F1967" s="174" t="n">
        <v>2048</v>
      </c>
      <c r="G1967" s="175" t="n">
        <v>35</v>
      </c>
      <c r="H1967" s="176" t="n">
        <v>1551.78360602196</v>
      </c>
      <c r="I1967" s="177" t="n">
        <v>4759860.35153237</v>
      </c>
      <c r="J1967" s="178" t="str">
        <f>IF(I1967&gt;0,H1967/I1967,0)</f>
      </c>
      <c r="K1967" s="179" t="str">
        <f>1-EXP(-J1967)</f>
      </c>
      <c r="L1967" s="180" t="str">
        <f>IF(G1967=30,1,M1966)</f>
      </c>
      <c r="M1967" s="181" t="str">
        <f>L1967*(1-K1967)</f>
      </c>
    </row>
    <row r="1968">
      <c r="A1968" t="s">
        <v>164</v>
      </c>
      <c r="B1968" t="s">
        <v>112</v>
      </c>
      <c r="C1968" s="32" t="s">
        <v>297</v>
      </c>
      <c r="D1968" t="s">
        <v>112</v>
      </c>
      <c r="E1968" t="s">
        <v>395</v>
      </c>
      <c r="F1968" s="174" t="n">
        <v>2048</v>
      </c>
      <c r="G1968" s="175" t="n">
        <v>36</v>
      </c>
      <c r="H1968" s="176" t="n">
        <v>1936.14570380002</v>
      </c>
      <c r="I1968" s="177" t="n">
        <v>4870578.67905216</v>
      </c>
      <c r="J1968" s="178" t="str">
        <f>IF(I1968&gt;0,H1968/I1968,0)</f>
      </c>
      <c r="K1968" s="179" t="str">
        <f>1-EXP(-J1968)</f>
      </c>
      <c r="L1968" s="180" t="str">
        <f>IF(G1968=30,1,M1967)</f>
      </c>
      <c r="M1968" s="181" t="str">
        <f>L1968*(1-K1968)</f>
      </c>
    </row>
    <row r="1969">
      <c r="A1969" t="s">
        <v>164</v>
      </c>
      <c r="B1969" t="s">
        <v>112</v>
      </c>
      <c r="C1969" s="32" t="s">
        <v>297</v>
      </c>
      <c r="D1969" t="s">
        <v>112</v>
      </c>
      <c r="E1969" t="s">
        <v>395</v>
      </c>
      <c r="F1969" s="174" t="n">
        <v>2048</v>
      </c>
      <c r="G1969" s="175" t="n">
        <v>37</v>
      </c>
      <c r="H1969" s="176" t="n">
        <v>2066.94747659279</v>
      </c>
      <c r="I1969" s="177" t="n">
        <v>4841054.2078956</v>
      </c>
      <c r="J1969" s="178" t="str">
        <f>IF(I1969&gt;0,H1969/I1969,0)</f>
      </c>
      <c r="K1969" s="179" t="str">
        <f>1-EXP(-J1969)</f>
      </c>
      <c r="L1969" s="180" t="str">
        <f>IF(G1969=30,1,M1968)</f>
      </c>
      <c r="M1969" s="181" t="str">
        <f>L1969*(1-K1969)</f>
      </c>
    </row>
    <row r="1970">
      <c r="A1970" t="s">
        <v>164</v>
      </c>
      <c r="B1970" t="s">
        <v>112</v>
      </c>
      <c r="C1970" s="32" t="s">
        <v>297</v>
      </c>
      <c r="D1970" t="s">
        <v>112</v>
      </c>
      <c r="E1970" t="s">
        <v>395</v>
      </c>
      <c r="F1970" s="174" t="n">
        <v>2048</v>
      </c>
      <c r="G1970" s="175" t="n">
        <v>38</v>
      </c>
      <c r="H1970" s="176" t="n">
        <v>2166.06448123729</v>
      </c>
      <c r="I1970" s="177" t="n">
        <v>4706243.46465363</v>
      </c>
      <c r="J1970" s="178" t="str">
        <f>IF(I1970&gt;0,H1970/I1970,0)</f>
      </c>
      <c r="K1970" s="179" t="str">
        <f>1-EXP(-J1970)</f>
      </c>
      <c r="L1970" s="180" t="str">
        <f>IF(G1970=30,1,M1969)</f>
      </c>
      <c r="M1970" s="181" t="str">
        <f>L1970*(1-K1970)</f>
      </c>
    </row>
    <row r="1971">
      <c r="A1971" t="s">
        <v>164</v>
      </c>
      <c r="B1971" t="s">
        <v>112</v>
      </c>
      <c r="C1971" s="32" t="s">
        <v>297</v>
      </c>
      <c r="D1971" t="s">
        <v>112</v>
      </c>
      <c r="E1971" t="s">
        <v>395</v>
      </c>
      <c r="F1971" s="174" t="n">
        <v>2048</v>
      </c>
      <c r="G1971" s="175" t="n">
        <v>39</v>
      </c>
      <c r="H1971" s="176" t="n">
        <v>2305.86951557402</v>
      </c>
      <c r="I1971" s="177" t="n">
        <v>4633592.54508612</v>
      </c>
      <c r="J1971" s="178" t="str">
        <f>IF(I1971&gt;0,H1971/I1971,0)</f>
      </c>
      <c r="K1971" s="179" t="str">
        <f>1-EXP(-J1971)</f>
      </c>
      <c r="L1971" s="180" t="str">
        <f>IF(G1971=30,1,M1970)</f>
      </c>
      <c r="M1971" s="181" t="str">
        <f>L1971*(1-K1971)</f>
      </c>
    </row>
    <row r="1972">
      <c r="A1972" t="s">
        <v>164</v>
      </c>
      <c r="B1972" t="s">
        <v>112</v>
      </c>
      <c r="C1972" s="32" t="s">
        <v>297</v>
      </c>
      <c r="D1972" t="s">
        <v>112</v>
      </c>
      <c r="E1972" t="s">
        <v>395</v>
      </c>
      <c r="F1972" s="174" t="n">
        <v>2048</v>
      </c>
      <c r="G1972" s="175" t="n">
        <v>40</v>
      </c>
      <c r="H1972" s="176" t="n">
        <v>3064.85773485711</v>
      </c>
      <c r="I1972" s="177" t="n">
        <v>4588369.3404433</v>
      </c>
      <c r="J1972" s="178" t="str">
        <f>IF(I1972&gt;0,H1972/I1972,0)</f>
      </c>
      <c r="K1972" s="179" t="str">
        <f>1-EXP(-J1972)</f>
      </c>
      <c r="L1972" s="180" t="str">
        <f>IF(G1972=30,1,M1971)</f>
      </c>
      <c r="M1972" s="181" t="str">
        <f>L1972*(1-K1972)</f>
      </c>
    </row>
    <row r="1973">
      <c r="A1973" t="s">
        <v>164</v>
      </c>
      <c r="B1973" t="s">
        <v>112</v>
      </c>
      <c r="C1973" s="32" t="s">
        <v>297</v>
      </c>
      <c r="D1973" t="s">
        <v>112</v>
      </c>
      <c r="E1973" t="s">
        <v>395</v>
      </c>
      <c r="F1973" s="174" t="n">
        <v>2048</v>
      </c>
      <c r="G1973" s="175" t="n">
        <v>41</v>
      </c>
      <c r="H1973" s="176" t="n">
        <v>3555.93737588014</v>
      </c>
      <c r="I1973" s="177" t="n">
        <v>4609316.31876382</v>
      </c>
      <c r="J1973" s="178" t="str">
        <f>IF(I1973&gt;0,H1973/I1973,0)</f>
      </c>
      <c r="K1973" s="179" t="str">
        <f>1-EXP(-J1973)</f>
      </c>
      <c r="L1973" s="180" t="str">
        <f>IF(G1973=30,1,M1972)</f>
      </c>
      <c r="M1973" s="181" t="str">
        <f>L1973*(1-K1973)</f>
      </c>
    </row>
    <row r="1974">
      <c r="A1974" t="s">
        <v>164</v>
      </c>
      <c r="B1974" t="s">
        <v>112</v>
      </c>
      <c r="C1974" s="32" t="s">
        <v>297</v>
      </c>
      <c r="D1974" t="s">
        <v>112</v>
      </c>
      <c r="E1974" t="s">
        <v>395</v>
      </c>
      <c r="F1974" s="174" t="n">
        <v>2048</v>
      </c>
      <c r="G1974" s="175" t="n">
        <v>42</v>
      </c>
      <c r="H1974" s="176" t="n">
        <v>3783.20360593281</v>
      </c>
      <c r="I1974" s="177" t="n">
        <v>4523047.06890784</v>
      </c>
      <c r="J1974" s="178" t="str">
        <f>IF(I1974&gt;0,H1974/I1974,0)</f>
      </c>
      <c r="K1974" s="179" t="str">
        <f>1-EXP(-J1974)</f>
      </c>
      <c r="L1974" s="180" t="str">
        <f>IF(G1974=30,1,M1973)</f>
      </c>
      <c r="M1974" s="181" t="str">
        <f>L1974*(1-K1974)</f>
      </c>
    </row>
    <row r="1975">
      <c r="A1975" t="s">
        <v>164</v>
      </c>
      <c r="B1975" t="s">
        <v>112</v>
      </c>
      <c r="C1975" s="32" t="s">
        <v>297</v>
      </c>
      <c r="D1975" t="s">
        <v>112</v>
      </c>
      <c r="E1975" t="s">
        <v>395</v>
      </c>
      <c r="F1975" s="174" t="n">
        <v>2048</v>
      </c>
      <c r="G1975" s="175" t="n">
        <v>43</v>
      </c>
      <c r="H1975" s="176" t="n">
        <v>4051.21563115539</v>
      </c>
      <c r="I1975" s="177" t="n">
        <v>4457883.53847012</v>
      </c>
      <c r="J1975" s="178" t="str">
        <f>IF(I1975&gt;0,H1975/I1975,0)</f>
      </c>
      <c r="K1975" s="179" t="str">
        <f>1-EXP(-J1975)</f>
      </c>
      <c r="L1975" s="180" t="str">
        <f>IF(G1975=30,1,M1974)</f>
      </c>
      <c r="M1975" s="181" t="str">
        <f>L1975*(1-K1975)</f>
      </c>
    </row>
    <row r="1976">
      <c r="A1976" t="s">
        <v>164</v>
      </c>
      <c r="B1976" t="s">
        <v>112</v>
      </c>
      <c r="C1976" s="32" t="s">
        <v>297</v>
      </c>
      <c r="D1976" t="s">
        <v>112</v>
      </c>
      <c r="E1976" t="s">
        <v>395</v>
      </c>
      <c r="F1976" s="174" t="n">
        <v>2048</v>
      </c>
      <c r="G1976" s="175" t="n">
        <v>44</v>
      </c>
      <c r="H1976" s="176" t="n">
        <v>4281.44492493827</v>
      </c>
      <c r="I1976" s="177" t="n">
        <v>4325789.65815907</v>
      </c>
      <c r="J1976" s="178" t="str">
        <f>IF(I1976&gt;0,H1976/I1976,0)</f>
      </c>
      <c r="K1976" s="179" t="str">
        <f>1-EXP(-J1976)</f>
      </c>
      <c r="L1976" s="180" t="str">
        <f>IF(G1976=30,1,M1975)</f>
      </c>
      <c r="M1976" s="181" t="str">
        <f>L1976*(1-K1976)</f>
      </c>
    </row>
    <row r="1977">
      <c r="A1977" t="s">
        <v>164</v>
      </c>
      <c r="B1977" t="s">
        <v>112</v>
      </c>
      <c r="C1977" s="32" t="s">
        <v>297</v>
      </c>
      <c r="D1977" t="s">
        <v>112</v>
      </c>
      <c r="E1977" t="s">
        <v>395</v>
      </c>
      <c r="F1977" s="174" t="n">
        <v>2048</v>
      </c>
      <c r="G1977" s="175" t="n">
        <v>45</v>
      </c>
      <c r="H1977" s="176" t="n">
        <v>5400.4566169322</v>
      </c>
      <c r="I1977" s="177" t="n">
        <v>4255030.74462451</v>
      </c>
      <c r="J1977" s="178" t="str">
        <f>IF(I1977&gt;0,H1977/I1977,0)</f>
      </c>
      <c r="K1977" s="179" t="str">
        <f>1-EXP(-J1977)</f>
      </c>
      <c r="L1977" s="180" t="str">
        <f>IF(G1977=30,1,M1976)</f>
      </c>
      <c r="M1977" s="181" t="str">
        <f>L1977*(1-K1977)</f>
      </c>
    </row>
    <row r="1978">
      <c r="A1978" t="s">
        <v>164</v>
      </c>
      <c r="B1978" t="s">
        <v>112</v>
      </c>
      <c r="C1978" s="32" t="s">
        <v>297</v>
      </c>
      <c r="D1978" t="s">
        <v>112</v>
      </c>
      <c r="E1978" t="s">
        <v>395</v>
      </c>
      <c r="F1978" s="174" t="n">
        <v>2048</v>
      </c>
      <c r="G1978" s="175" t="n">
        <v>46</v>
      </c>
      <c r="H1978" s="176" t="n">
        <v>6133.32975656565</v>
      </c>
      <c r="I1978" s="177" t="n">
        <v>4223345.77627748</v>
      </c>
      <c r="J1978" s="178" t="str">
        <f>IF(I1978&gt;0,H1978/I1978,0)</f>
      </c>
      <c r="K1978" s="179" t="str">
        <f>1-EXP(-J1978)</f>
      </c>
      <c r="L1978" s="180" t="str">
        <f>IF(G1978=30,1,M1977)</f>
      </c>
      <c r="M1978" s="181" t="str">
        <f>L1978*(1-K1978)</f>
      </c>
    </row>
    <row r="1979">
      <c r="A1979" t="s">
        <v>164</v>
      </c>
      <c r="B1979" t="s">
        <v>112</v>
      </c>
      <c r="C1979" s="32" t="s">
        <v>297</v>
      </c>
      <c r="D1979" t="s">
        <v>112</v>
      </c>
      <c r="E1979" t="s">
        <v>395</v>
      </c>
      <c r="F1979" s="174" t="n">
        <v>2048</v>
      </c>
      <c r="G1979" s="175" t="n">
        <v>47</v>
      </c>
      <c r="H1979" s="176" t="n">
        <v>6668.95486081723</v>
      </c>
      <c r="I1979" s="177" t="n">
        <v>4194977.12333706</v>
      </c>
      <c r="J1979" s="178" t="str">
        <f>IF(I1979&gt;0,H1979/I1979,0)</f>
      </c>
      <c r="K1979" s="179" t="str">
        <f>1-EXP(-J1979)</f>
      </c>
      <c r="L1979" s="180" t="str">
        <f>IF(G1979=30,1,M1978)</f>
      </c>
      <c r="M1979" s="181" t="str">
        <f>L1979*(1-K1979)</f>
      </c>
    </row>
    <row r="1980">
      <c r="A1980" t="s">
        <v>164</v>
      </c>
      <c r="B1980" t="s">
        <v>112</v>
      </c>
      <c r="C1980" s="32" t="s">
        <v>297</v>
      </c>
      <c r="D1980" t="s">
        <v>112</v>
      </c>
      <c r="E1980" t="s">
        <v>395</v>
      </c>
      <c r="F1980" s="174" t="n">
        <v>2048</v>
      </c>
      <c r="G1980" s="175" t="n">
        <v>48</v>
      </c>
      <c r="H1980" s="176" t="n">
        <v>7263.38144377333</v>
      </c>
      <c r="I1980" s="177" t="n">
        <v>4165334.70784088</v>
      </c>
      <c r="J1980" s="178" t="str">
        <f>IF(I1980&gt;0,H1980/I1980,0)</f>
      </c>
      <c r="K1980" s="179" t="str">
        <f>1-EXP(-J1980)</f>
      </c>
      <c r="L1980" s="180" t="str">
        <f>IF(G1980=30,1,M1979)</f>
      </c>
      <c r="M1980" s="181" t="str">
        <f>L1980*(1-K1980)</f>
      </c>
    </row>
    <row r="1981">
      <c r="A1981" t="s">
        <v>164</v>
      </c>
      <c r="B1981" t="s">
        <v>112</v>
      </c>
      <c r="C1981" s="32" t="s">
        <v>297</v>
      </c>
      <c r="D1981" t="s">
        <v>112</v>
      </c>
      <c r="E1981" t="s">
        <v>395</v>
      </c>
      <c r="F1981" s="174" t="n">
        <v>2048</v>
      </c>
      <c r="G1981" s="175" t="n">
        <v>49</v>
      </c>
      <c r="H1981" s="176" t="n">
        <v>7989.57529203508</v>
      </c>
      <c r="I1981" s="177" t="n">
        <v>4172867.13078129</v>
      </c>
      <c r="J1981" s="178" t="str">
        <f>IF(I1981&gt;0,H1981/I1981,0)</f>
      </c>
      <c r="K1981" s="179" t="str">
        <f>1-EXP(-J1981)</f>
      </c>
      <c r="L1981" s="180" t="str">
        <f>IF(G1981=30,1,M1980)</f>
      </c>
      <c r="M1981" s="181" t="str">
        <f>L1981*(1-K1981)</f>
      </c>
    </row>
    <row r="1982">
      <c r="A1982" t="s">
        <v>164</v>
      </c>
      <c r="B1982" t="s">
        <v>112</v>
      </c>
      <c r="C1982" s="32" t="s">
        <v>297</v>
      </c>
      <c r="D1982" t="s">
        <v>112</v>
      </c>
      <c r="E1982" t="s">
        <v>395</v>
      </c>
      <c r="F1982" s="174" t="n">
        <v>2048</v>
      </c>
      <c r="G1982" s="175" t="n">
        <v>50</v>
      </c>
      <c r="H1982" s="176" t="n">
        <v>9206.74468145734</v>
      </c>
      <c r="I1982" s="177" t="n">
        <v>4216568.04592198</v>
      </c>
      <c r="J1982" s="178" t="str">
        <f>IF(I1982&gt;0,H1982/I1982,0)</f>
      </c>
      <c r="K1982" s="179" t="str">
        <f>1-EXP(-J1982)</f>
      </c>
      <c r="L1982" s="180" t="str">
        <f>IF(G1982=30,1,M1981)</f>
      </c>
      <c r="M1982" s="181" t="str">
        <f>L1982*(1-K1982)</f>
      </c>
    </row>
    <row r="1983">
      <c r="A1983" t="s">
        <v>164</v>
      </c>
      <c r="B1983" t="s">
        <v>112</v>
      </c>
      <c r="C1983" s="32" t="s">
        <v>297</v>
      </c>
      <c r="D1983" t="s">
        <v>112</v>
      </c>
      <c r="E1983" t="s">
        <v>395</v>
      </c>
      <c r="F1983" s="174" t="n">
        <v>2048</v>
      </c>
      <c r="G1983" s="175" t="n">
        <v>51</v>
      </c>
      <c r="H1983" s="176" t="n">
        <v>10575.8023915509</v>
      </c>
      <c r="I1983" s="177" t="n">
        <v>4330175.97292944</v>
      </c>
      <c r="J1983" s="178" t="str">
        <f>IF(I1983&gt;0,H1983/I1983,0)</f>
      </c>
      <c r="K1983" s="179" t="str">
        <f>1-EXP(-J1983)</f>
      </c>
      <c r="L1983" s="180" t="str">
        <f>IF(G1983=30,1,M1982)</f>
      </c>
      <c r="M1983" s="181" t="str">
        <f>L1983*(1-K1983)</f>
      </c>
    </row>
    <row r="1984">
      <c r="A1984" t="s">
        <v>164</v>
      </c>
      <c r="B1984" t="s">
        <v>112</v>
      </c>
      <c r="C1984" s="32" t="s">
        <v>297</v>
      </c>
      <c r="D1984" t="s">
        <v>112</v>
      </c>
      <c r="E1984" t="s">
        <v>395</v>
      </c>
      <c r="F1984" s="174" t="n">
        <v>2048</v>
      </c>
      <c r="G1984" s="175" t="n">
        <v>52</v>
      </c>
      <c r="H1984" s="176" t="n">
        <v>11398.4998044639</v>
      </c>
      <c r="I1984" s="177" t="n">
        <v>4271466.76052617</v>
      </c>
      <c r="J1984" s="178" t="str">
        <f>IF(I1984&gt;0,H1984/I1984,0)</f>
      </c>
      <c r="K1984" s="179" t="str">
        <f>1-EXP(-J1984)</f>
      </c>
      <c r="L1984" s="180" t="str">
        <f>IF(G1984=30,1,M1983)</f>
      </c>
      <c r="M1984" s="181" t="str">
        <f>L1984*(1-K1984)</f>
      </c>
    </row>
    <row r="1985">
      <c r="A1985" t="s">
        <v>164</v>
      </c>
      <c r="B1985" t="s">
        <v>112</v>
      </c>
      <c r="C1985" s="32" t="s">
        <v>297</v>
      </c>
      <c r="D1985" t="s">
        <v>112</v>
      </c>
      <c r="E1985" t="s">
        <v>395</v>
      </c>
      <c r="F1985" s="174" t="n">
        <v>2048</v>
      </c>
      <c r="G1985" s="175" t="n">
        <v>53</v>
      </c>
      <c r="H1985" s="176" t="n">
        <v>12167.9932479341</v>
      </c>
      <c r="I1985" s="177" t="n">
        <v>4182761.67318596</v>
      </c>
      <c r="J1985" s="178" t="str">
        <f>IF(I1985&gt;0,H1985/I1985,0)</f>
      </c>
      <c r="K1985" s="179" t="str">
        <f>1-EXP(-J1985)</f>
      </c>
      <c r="L1985" s="180" t="str">
        <f>IF(G1985=30,1,M1984)</f>
      </c>
      <c r="M1985" s="181" t="str">
        <f>L1985*(1-K1985)</f>
      </c>
    </row>
    <row r="1986">
      <c r="A1986" t="s">
        <v>164</v>
      </c>
      <c r="B1986" t="s">
        <v>112</v>
      </c>
      <c r="C1986" s="32" t="s">
        <v>297</v>
      </c>
      <c r="D1986" t="s">
        <v>112</v>
      </c>
      <c r="E1986" t="s">
        <v>395</v>
      </c>
      <c r="F1986" s="174" t="n">
        <v>2048</v>
      </c>
      <c r="G1986" s="175" t="n">
        <v>54</v>
      </c>
      <c r="H1986" s="176" t="n">
        <v>13002.0591967032</v>
      </c>
      <c r="I1986" s="177" t="n">
        <v>4107627.67326344</v>
      </c>
      <c r="J1986" s="178" t="str">
        <f>IF(I1986&gt;0,H1986/I1986,0)</f>
      </c>
      <c r="K1986" s="179" t="str">
        <f>1-EXP(-J1986)</f>
      </c>
      <c r="L1986" s="180" t="str">
        <f>IF(G1986=30,1,M1985)</f>
      </c>
      <c r="M1986" s="181" t="str">
        <f>L1986*(1-K1986)</f>
      </c>
    </row>
    <row r="1987">
      <c r="A1987" t="s">
        <v>164</v>
      </c>
      <c r="B1987" t="s">
        <v>112</v>
      </c>
      <c r="C1987" s="32" t="s">
        <v>297</v>
      </c>
      <c r="D1987" t="s">
        <v>112</v>
      </c>
      <c r="E1987" t="s">
        <v>395</v>
      </c>
      <c r="F1987" s="174" t="n">
        <v>2048</v>
      </c>
      <c r="G1987" s="175" t="n">
        <v>55</v>
      </c>
      <c r="H1987" s="176" t="n">
        <v>13617.4223114797</v>
      </c>
      <c r="I1987" s="177" t="n">
        <v>4034474.85822568</v>
      </c>
      <c r="J1987" s="178" t="str">
        <f>IF(I1987&gt;0,H1987/I1987,0)</f>
      </c>
      <c r="K1987" s="179" t="str">
        <f>1-EXP(-J1987)</f>
      </c>
      <c r="L1987" s="180" t="str">
        <f>IF(G1987=30,1,M1986)</f>
      </c>
      <c r="M1987" s="181" t="str">
        <f>L1987*(1-K1987)</f>
      </c>
    </row>
    <row r="1988">
      <c r="A1988" t="s">
        <v>164</v>
      </c>
      <c r="B1988" t="s">
        <v>112</v>
      </c>
      <c r="C1988" s="32" t="s">
        <v>297</v>
      </c>
      <c r="D1988" t="s">
        <v>112</v>
      </c>
      <c r="E1988" t="s">
        <v>395</v>
      </c>
      <c r="F1988" s="174" t="n">
        <v>2048</v>
      </c>
      <c r="G1988" s="175" t="n">
        <v>56</v>
      </c>
      <c r="H1988" s="176" t="n">
        <v>14828.1943052232</v>
      </c>
      <c r="I1988" s="177" t="n">
        <v>4044946.32119365</v>
      </c>
      <c r="J1988" s="178" t="str">
        <f>IF(I1988&gt;0,H1988/I1988,0)</f>
      </c>
      <c r="K1988" s="179" t="str">
        <f>1-EXP(-J1988)</f>
      </c>
      <c r="L1988" s="180" t="str">
        <f>IF(G1988=30,1,M1987)</f>
      </c>
      <c r="M1988" s="181" t="str">
        <f>L1988*(1-K1988)</f>
      </c>
    </row>
    <row r="1989">
      <c r="A1989" t="s">
        <v>164</v>
      </c>
      <c r="B1989" t="s">
        <v>112</v>
      </c>
      <c r="C1989" s="32" t="s">
        <v>297</v>
      </c>
      <c r="D1989" t="s">
        <v>112</v>
      </c>
      <c r="E1989" t="s">
        <v>395</v>
      </c>
      <c r="F1989" s="174" t="n">
        <v>2048</v>
      </c>
      <c r="G1989" s="175" t="n">
        <v>57</v>
      </c>
      <c r="H1989" s="176" t="n">
        <v>16110.2885757984</v>
      </c>
      <c r="I1989" s="177" t="n">
        <v>4034369.29958653</v>
      </c>
      <c r="J1989" s="178" t="str">
        <f>IF(I1989&gt;0,H1989/I1989,0)</f>
      </c>
      <c r="K1989" s="179" t="str">
        <f>1-EXP(-J1989)</f>
      </c>
      <c r="L1989" s="180" t="str">
        <f>IF(G1989=30,1,M1988)</f>
      </c>
      <c r="M1989" s="181" t="str">
        <f>L1989*(1-K1989)</f>
      </c>
    </row>
    <row r="1990">
      <c r="A1990" t="s">
        <v>164</v>
      </c>
      <c r="B1990" t="s">
        <v>112</v>
      </c>
      <c r="C1990" s="32" t="s">
        <v>297</v>
      </c>
      <c r="D1990" t="s">
        <v>112</v>
      </c>
      <c r="E1990" t="s">
        <v>395</v>
      </c>
      <c r="F1990" s="174" t="n">
        <v>2048</v>
      </c>
      <c r="G1990" s="175" t="n">
        <v>58</v>
      </c>
      <c r="H1990" s="176" t="n">
        <v>23412.079338934</v>
      </c>
      <c r="I1990" s="177" t="n">
        <v>5931723.35366197</v>
      </c>
      <c r="J1990" s="178" t="str">
        <f>IF(I1990&gt;0,H1990/I1990,0)</f>
      </c>
      <c r="K1990" s="179" t="str">
        <f>1-EXP(-J1990)</f>
      </c>
      <c r="L1990" s="180" t="str">
        <f>IF(G1990=30,1,M1989)</f>
      </c>
      <c r="M1990" s="181" t="str">
        <f>L1990*(1-K1990)</f>
      </c>
    </row>
    <row r="1991">
      <c r="A1991" t="s">
        <v>164</v>
      </c>
      <c r="B1991" t="s">
        <v>112</v>
      </c>
      <c r="C1991" s="32" t="s">
        <v>297</v>
      </c>
      <c r="D1991" t="s">
        <v>112</v>
      </c>
      <c r="E1991" t="s">
        <v>395</v>
      </c>
      <c r="F1991" s="174" t="n">
        <v>2048</v>
      </c>
      <c r="G1991" s="175" t="n">
        <v>59</v>
      </c>
      <c r="H1991" s="176" t="n">
        <v>18758.6467801157</v>
      </c>
      <c r="I1991" s="177" t="n">
        <v>3934786.52001944</v>
      </c>
      <c r="J1991" s="178" t="str">
        <f>IF(I1991&gt;0,H1991/I1991,0)</f>
      </c>
      <c r="K1991" s="179" t="str">
        <f>1-EXP(-J1991)</f>
      </c>
      <c r="L1991" s="180" t="str">
        <f>IF(G1991=30,1,M1990)</f>
      </c>
      <c r="M1991" s="181" t="str">
        <f>L1991*(1-K1991)</f>
      </c>
    </row>
    <row r="1992">
      <c r="A1992" t="s">
        <v>164</v>
      </c>
      <c r="B1992" t="s">
        <v>112</v>
      </c>
      <c r="C1992" s="32" t="s">
        <v>297</v>
      </c>
      <c r="D1992" t="s">
        <v>112</v>
      </c>
      <c r="E1992" t="s">
        <v>395</v>
      </c>
      <c r="F1992" s="174" t="n">
        <v>2048</v>
      </c>
      <c r="G1992" s="175" t="n">
        <v>60</v>
      </c>
      <c r="H1992" s="176" t="n">
        <v>19952.5880456026</v>
      </c>
      <c r="I1992" s="177" t="n">
        <v>3884850.66945213</v>
      </c>
      <c r="J1992" s="178" t="str">
        <f>IF(I1992&gt;0,H1992/I1992,0)</f>
      </c>
      <c r="K1992" s="179" t="str">
        <f>1-EXP(-J1992)</f>
      </c>
      <c r="L1992" s="180" t="str">
        <f>IF(G1992=30,1,M1991)</f>
      </c>
      <c r="M1992" s="181" t="str">
        <f>L1992*(1-K1992)</f>
      </c>
    </row>
    <row r="1993">
      <c r="A1993" t="s">
        <v>164</v>
      </c>
      <c r="B1993" t="s">
        <v>112</v>
      </c>
      <c r="C1993" s="32" t="s">
        <v>297</v>
      </c>
      <c r="D1993" t="s">
        <v>112</v>
      </c>
      <c r="E1993" t="s">
        <v>395</v>
      </c>
      <c r="F1993" s="174" t="n">
        <v>2048</v>
      </c>
      <c r="G1993" s="175" t="n">
        <v>61</v>
      </c>
      <c r="H1993" s="176" t="n">
        <v>21026.8163978352</v>
      </c>
      <c r="I1993" s="177" t="n">
        <v>3728974.81041937</v>
      </c>
      <c r="J1993" s="178" t="str">
        <f>IF(I1993&gt;0,H1993/I1993,0)</f>
      </c>
      <c r="K1993" s="179" t="str">
        <f>1-EXP(-J1993)</f>
      </c>
      <c r="L1993" s="180" t="str">
        <f>IF(G1993=30,1,M1992)</f>
      </c>
      <c r="M1993" s="181" t="str">
        <f>L1993*(1-K1993)</f>
      </c>
    </row>
    <row r="1994">
      <c r="A1994" t="s">
        <v>164</v>
      </c>
      <c r="B1994" t="s">
        <v>112</v>
      </c>
      <c r="C1994" s="32" t="s">
        <v>297</v>
      </c>
      <c r="D1994" t="s">
        <v>112</v>
      </c>
      <c r="E1994" t="s">
        <v>395</v>
      </c>
      <c r="F1994" s="174" t="n">
        <v>2048</v>
      </c>
      <c r="G1994" s="175" t="n">
        <v>62</v>
      </c>
      <c r="H1994" s="176" t="n">
        <v>22647.1882765928</v>
      </c>
      <c r="I1994" s="177" t="n">
        <v>3658455.0516755</v>
      </c>
      <c r="J1994" s="178" t="str">
        <f>IF(I1994&gt;0,H1994/I1994,0)</f>
      </c>
      <c r="K1994" s="179" t="str">
        <f>1-EXP(-J1994)</f>
      </c>
      <c r="L1994" s="180" t="str">
        <f>IF(G1994=30,1,M1993)</f>
      </c>
      <c r="M1994" s="181" t="str">
        <f>L1994*(1-K1994)</f>
      </c>
    </row>
    <row r="1995">
      <c r="A1995" t="s">
        <v>164</v>
      </c>
      <c r="B1995" t="s">
        <v>112</v>
      </c>
      <c r="C1995" s="32" t="s">
        <v>297</v>
      </c>
      <c r="D1995" t="s">
        <v>112</v>
      </c>
      <c r="E1995" t="s">
        <v>395</v>
      </c>
      <c r="F1995" s="174" t="n">
        <v>2048</v>
      </c>
      <c r="G1995" s="175" t="n">
        <v>63</v>
      </c>
      <c r="H1995" s="176" t="n">
        <v>24921.2365521124</v>
      </c>
      <c r="I1995" s="177" t="n">
        <v>3666486.32355728</v>
      </c>
      <c r="J1995" s="178" t="str">
        <f>IF(I1995&gt;0,H1995/I1995,0)</f>
      </c>
      <c r="K1995" s="179" t="str">
        <f>1-EXP(-J1995)</f>
      </c>
      <c r="L1995" s="180" t="str">
        <f>IF(G1995=30,1,M1994)</f>
      </c>
      <c r="M1995" s="181" t="str">
        <f>L1995*(1-K1995)</f>
      </c>
    </row>
    <row r="1996">
      <c r="A1996" t="s">
        <v>164</v>
      </c>
      <c r="B1996" t="s">
        <v>112</v>
      </c>
      <c r="C1996" s="32" t="s">
        <v>297</v>
      </c>
      <c r="D1996" t="s">
        <v>112</v>
      </c>
      <c r="E1996" t="s">
        <v>395</v>
      </c>
      <c r="F1996" s="174" t="n">
        <v>2048</v>
      </c>
      <c r="G1996" s="175" t="n">
        <v>64</v>
      </c>
      <c r="H1996" s="176" t="n">
        <v>27533.3314228154</v>
      </c>
      <c r="I1996" s="177" t="n">
        <v>3691002.83487726</v>
      </c>
      <c r="J1996" s="178" t="str">
        <f>IF(I1996&gt;0,H1996/I1996,0)</f>
      </c>
      <c r="K1996" s="179" t="str">
        <f>1-EXP(-J1996)</f>
      </c>
      <c r="L1996" s="180" t="str">
        <f>IF(G1996=30,1,M1995)</f>
      </c>
      <c r="M1996" s="181" t="str">
        <f>L1996*(1-K1996)</f>
      </c>
    </row>
    <row r="1997">
      <c r="A1997" t="s">
        <v>164</v>
      </c>
      <c r="B1997" t="s">
        <v>112</v>
      </c>
      <c r="C1997" s="32" t="s">
        <v>297</v>
      </c>
      <c r="D1997" t="s">
        <v>112</v>
      </c>
      <c r="E1997" t="s">
        <v>395</v>
      </c>
      <c r="F1997" s="174" t="n">
        <v>2048</v>
      </c>
      <c r="G1997" s="175" t="n">
        <v>65</v>
      </c>
      <c r="H1997" s="176" t="n">
        <v>28142.5259683614</v>
      </c>
      <c r="I1997" s="177" t="n">
        <v>3617224.77455709</v>
      </c>
      <c r="J1997" s="178" t="str">
        <f>IF(I1997&gt;0,H1997/I1997,0)</f>
      </c>
      <c r="K1997" s="179" t="str">
        <f>1-EXP(-J1997)</f>
      </c>
      <c r="L1997" s="180" t="str">
        <f>IF(G1997=30,1,M1996)</f>
      </c>
      <c r="M1997" s="181" t="str">
        <f>L1997*(1-K1997)</f>
      </c>
    </row>
    <row r="1998">
      <c r="A1998" t="s">
        <v>164</v>
      </c>
      <c r="B1998" t="s">
        <v>112</v>
      </c>
      <c r="C1998" s="32" t="s">
        <v>297</v>
      </c>
      <c r="D1998" t="s">
        <v>112</v>
      </c>
      <c r="E1998" t="s">
        <v>395</v>
      </c>
      <c r="F1998" s="174" t="n">
        <v>2048</v>
      </c>
      <c r="G1998" s="175" t="n">
        <v>66</v>
      </c>
      <c r="H1998" s="176" t="n">
        <v>29471.9187976582</v>
      </c>
      <c r="I1998" s="177" t="n">
        <v>3446341.71245201</v>
      </c>
      <c r="J1998" s="178" t="str">
        <f>IF(I1998&gt;0,H1998/I1998,0)</f>
      </c>
      <c r="K1998" s="179" t="str">
        <f>1-EXP(-J1998)</f>
      </c>
      <c r="L1998" s="180" t="str">
        <f>IF(G1998=30,1,M1997)</f>
      </c>
      <c r="M1998" s="181" t="str">
        <f>L1998*(1-K1998)</f>
      </c>
    </row>
    <row r="1999">
      <c r="A1999" t="s">
        <v>164</v>
      </c>
      <c r="B1999" t="s">
        <v>112</v>
      </c>
      <c r="C1999" s="32" t="s">
        <v>297</v>
      </c>
      <c r="D1999" t="s">
        <v>112</v>
      </c>
      <c r="E1999" t="s">
        <v>395</v>
      </c>
      <c r="F1999" s="174" t="n">
        <v>2048</v>
      </c>
      <c r="G1999" s="175" t="n">
        <v>67</v>
      </c>
      <c r="H1999" s="176" t="n">
        <v>31242.5593654522</v>
      </c>
      <c r="I1999" s="177" t="n">
        <v>3325603.7558528</v>
      </c>
      <c r="J1999" s="178" t="str">
        <f>IF(I1999&gt;0,H1999/I1999,0)</f>
      </c>
      <c r="K1999" s="179" t="str">
        <f>1-EXP(-J1999)</f>
      </c>
      <c r="L1999" s="180" t="str">
        <f>IF(G1999=30,1,M1998)</f>
      </c>
      <c r="M1999" s="181" t="str">
        <f>L1999*(1-K1999)</f>
      </c>
    </row>
    <row r="2000">
      <c r="A2000" t="s">
        <v>164</v>
      </c>
      <c r="B2000" t="s">
        <v>112</v>
      </c>
      <c r="C2000" s="32" t="s">
        <v>297</v>
      </c>
      <c r="D2000" t="s">
        <v>112</v>
      </c>
      <c r="E2000" t="s">
        <v>395</v>
      </c>
      <c r="F2000" s="174" t="n">
        <v>2048</v>
      </c>
      <c r="G2000" s="175" t="n">
        <v>68</v>
      </c>
      <c r="H2000" s="176" t="n">
        <v>33204.7234507373</v>
      </c>
      <c r="I2000" s="177" t="n">
        <v>3215128.40590332</v>
      </c>
      <c r="J2000" s="178" t="str">
        <f>IF(I2000&gt;0,H2000/I2000,0)</f>
      </c>
      <c r="K2000" s="179" t="str">
        <f>1-EXP(-J2000)</f>
      </c>
      <c r="L2000" s="180" t="str">
        <f>IF(G2000=30,1,M1999)</f>
      </c>
      <c r="M2000" s="181" t="str">
        <f>L2000*(1-K2000)</f>
      </c>
    </row>
    <row r="2001">
      <c r="A2001" t="s">
        <v>164</v>
      </c>
      <c r="B2001" t="s">
        <v>112</v>
      </c>
      <c r="C2001" s="32" t="s">
        <v>297</v>
      </c>
      <c r="D2001" t="s">
        <v>112</v>
      </c>
      <c r="E2001" t="s">
        <v>395</v>
      </c>
      <c r="F2001" s="174" t="n">
        <v>2048</v>
      </c>
      <c r="G2001" s="175" t="n">
        <v>69</v>
      </c>
      <c r="H2001" s="176" t="n">
        <v>35198.847273392</v>
      </c>
      <c r="I2001" s="177" t="n">
        <v>3097370.22243509</v>
      </c>
      <c r="J2001" s="178" t="str">
        <f>IF(I2001&gt;0,H2001/I2001,0)</f>
      </c>
      <c r="K2001" s="179" t="str">
        <f>1-EXP(-J2001)</f>
      </c>
      <c r="L2001" s="180" t="str">
        <f>IF(G2001=30,1,M2000)</f>
      </c>
      <c r="M2001" s="181" t="str">
        <f>L2001*(1-K2001)</f>
      </c>
    </row>
    <row r="2002">
      <c r="A2002" t="s">
        <v>164</v>
      </c>
      <c r="B2002" t="s">
        <v>112</v>
      </c>
      <c r="C2002" s="32" t="s">
        <v>297</v>
      </c>
      <c r="D2002" t="s">
        <v>112</v>
      </c>
      <c r="E2002" t="s">
        <v>395</v>
      </c>
      <c r="F2002" s="174" t="n">
        <v>2049</v>
      </c>
      <c r="G2002" s="175" t="n">
        <v>30</v>
      </c>
      <c r="H2002" s="176" t="n">
        <v>613.95011455684</v>
      </c>
      <c r="I2002" s="177" t="n">
        <v>4266580.07827733</v>
      </c>
      <c r="J2002" s="178" t="str">
        <f>IF(I2002&gt;0,H2002/I2002,0)</f>
      </c>
      <c r="K2002" s="179" t="str">
        <f>1-EXP(-J2002)</f>
      </c>
      <c r="L2002" s="180" t="str">
        <f>IF(G2002=30,1,M2001)</f>
      </c>
      <c r="M2002" s="181" t="str">
        <f>L2002*(1-K2002)</f>
      </c>
    </row>
    <row r="2003">
      <c r="A2003" t="s">
        <v>164</v>
      </c>
      <c r="B2003" t="s">
        <v>112</v>
      </c>
      <c r="C2003" s="32" t="s">
        <v>297</v>
      </c>
      <c r="D2003" t="s">
        <v>112</v>
      </c>
      <c r="E2003" t="s">
        <v>395</v>
      </c>
      <c r="F2003" s="174" t="n">
        <v>2049</v>
      </c>
      <c r="G2003" s="175" t="n">
        <v>31</v>
      </c>
      <c r="H2003" s="176" t="n">
        <v>845.579739090264</v>
      </c>
      <c r="I2003" s="177" t="n">
        <v>4270683.54125705</v>
      </c>
      <c r="J2003" s="178" t="str">
        <f>IF(I2003&gt;0,H2003/I2003,0)</f>
      </c>
      <c r="K2003" s="179" t="str">
        <f>1-EXP(-J2003)</f>
      </c>
      <c r="L2003" s="180" t="str">
        <f>IF(G2003=30,1,M2002)</f>
      </c>
      <c r="M2003" s="181" t="str">
        <f>L2003*(1-K2003)</f>
      </c>
    </row>
    <row r="2004">
      <c r="A2004" t="s">
        <v>164</v>
      </c>
      <c r="B2004" t="s">
        <v>112</v>
      </c>
      <c r="C2004" s="32" t="s">
        <v>297</v>
      </c>
      <c r="D2004" t="s">
        <v>112</v>
      </c>
      <c r="E2004" t="s">
        <v>395</v>
      </c>
      <c r="F2004" s="174" t="n">
        <v>2049</v>
      </c>
      <c r="G2004" s="175" t="n">
        <v>32</v>
      </c>
      <c r="H2004" s="176" t="n">
        <v>900.579691900305</v>
      </c>
      <c r="I2004" s="177" t="n">
        <v>4311227.228898</v>
      </c>
      <c r="J2004" s="178" t="str">
        <f>IF(I2004&gt;0,H2004/I2004,0)</f>
      </c>
      <c r="K2004" s="179" t="str">
        <f>1-EXP(-J2004)</f>
      </c>
      <c r="L2004" s="180" t="str">
        <f>IF(G2004=30,1,M2003)</f>
      </c>
      <c r="M2004" s="181" t="str">
        <f>L2004*(1-K2004)</f>
      </c>
    </row>
    <row r="2005">
      <c r="A2005" t="s">
        <v>164</v>
      </c>
      <c r="B2005" t="s">
        <v>112</v>
      </c>
      <c r="C2005" s="32" t="s">
        <v>297</v>
      </c>
      <c r="D2005" t="s">
        <v>112</v>
      </c>
      <c r="E2005" t="s">
        <v>395</v>
      </c>
      <c r="F2005" s="174" t="n">
        <v>2049</v>
      </c>
      <c r="G2005" s="175" t="n">
        <v>33</v>
      </c>
      <c r="H2005" s="176" t="n">
        <v>1048.38045629983</v>
      </c>
      <c r="I2005" s="177" t="n">
        <v>4573201.96380427</v>
      </c>
      <c r="J2005" s="178" t="str">
        <f>IF(I2005&gt;0,H2005/I2005,0)</f>
      </c>
      <c r="K2005" s="179" t="str">
        <f>1-EXP(-J2005)</f>
      </c>
      <c r="L2005" s="180" t="str">
        <f>IF(G2005=30,1,M2004)</f>
      </c>
      <c r="M2005" s="181" t="str">
        <f>L2005*(1-K2005)</f>
      </c>
    </row>
    <row r="2006">
      <c r="A2006" t="s">
        <v>164</v>
      </c>
      <c r="B2006" t="s">
        <v>112</v>
      </c>
      <c r="C2006" s="32" t="s">
        <v>297</v>
      </c>
      <c r="D2006" t="s">
        <v>112</v>
      </c>
      <c r="E2006" t="s">
        <v>395</v>
      </c>
      <c r="F2006" s="174" t="n">
        <v>2049</v>
      </c>
      <c r="G2006" s="175" t="n">
        <v>34</v>
      </c>
      <c r="H2006" s="176" t="n">
        <v>1163.4684636594</v>
      </c>
      <c r="I2006" s="177" t="n">
        <v>4621364.85151093</v>
      </c>
      <c r="J2006" s="178" t="str">
        <f>IF(I2006&gt;0,H2006/I2006,0)</f>
      </c>
      <c r="K2006" s="179" t="str">
        <f>1-EXP(-J2006)</f>
      </c>
      <c r="L2006" s="180" t="str">
        <f>IF(G2006=30,1,M2005)</f>
      </c>
      <c r="M2006" s="181" t="str">
        <f>L2006*(1-K2006)</f>
      </c>
    </row>
    <row r="2007">
      <c r="A2007" t="s">
        <v>164</v>
      </c>
      <c r="B2007" t="s">
        <v>112</v>
      </c>
      <c r="C2007" s="32" t="s">
        <v>297</v>
      </c>
      <c r="D2007" t="s">
        <v>112</v>
      </c>
      <c r="E2007" t="s">
        <v>395</v>
      </c>
      <c r="F2007" s="174" t="n">
        <v>2049</v>
      </c>
      <c r="G2007" s="175" t="n">
        <v>35</v>
      </c>
      <c r="H2007" s="176" t="n">
        <v>1523.95109374215</v>
      </c>
      <c r="I2007" s="177" t="n">
        <v>4686911.47843519</v>
      </c>
      <c r="J2007" s="178" t="str">
        <f>IF(I2007&gt;0,H2007/I2007,0)</f>
      </c>
      <c r="K2007" s="179" t="str">
        <f>1-EXP(-J2007)</f>
      </c>
      <c r="L2007" s="180" t="str">
        <f>IF(G2007=30,1,M2006)</f>
      </c>
      <c r="M2007" s="181" t="str">
        <f>L2007*(1-K2007)</f>
      </c>
    </row>
    <row r="2008">
      <c r="A2008" t="s">
        <v>164</v>
      </c>
      <c r="B2008" t="s">
        <v>112</v>
      </c>
      <c r="C2008" s="32" t="s">
        <v>297</v>
      </c>
      <c r="D2008" t="s">
        <v>112</v>
      </c>
      <c r="E2008" t="s">
        <v>395</v>
      </c>
      <c r="F2008" s="174" t="n">
        <v>2049</v>
      </c>
      <c r="G2008" s="175" t="n">
        <v>36</v>
      </c>
      <c r="H2008" s="176" t="n">
        <v>1836.30501705735</v>
      </c>
      <c r="I2008" s="177" t="n">
        <v>4753355.56778896</v>
      </c>
      <c r="J2008" s="178" t="str">
        <f>IF(I2008&gt;0,H2008/I2008,0)</f>
      </c>
      <c r="K2008" s="179" t="str">
        <f>1-EXP(-J2008)</f>
      </c>
      <c r="L2008" s="180" t="str">
        <f>IF(G2008=30,1,M2007)</f>
      </c>
      <c r="M2008" s="181" t="str">
        <f>L2008*(1-K2008)</f>
      </c>
    </row>
    <row r="2009">
      <c r="A2009" t="s">
        <v>164</v>
      </c>
      <c r="B2009" t="s">
        <v>112</v>
      </c>
      <c r="C2009" s="32" t="s">
        <v>297</v>
      </c>
      <c r="D2009" t="s">
        <v>112</v>
      </c>
      <c r="E2009" t="s">
        <v>395</v>
      </c>
      <c r="F2009" s="174" t="n">
        <v>2049</v>
      </c>
      <c r="G2009" s="175" t="n">
        <v>37</v>
      </c>
      <c r="H2009" s="176" t="n">
        <v>2069.58111778437</v>
      </c>
      <c r="I2009" s="177" t="n">
        <v>4863681.33735698</v>
      </c>
      <c r="J2009" s="178" t="str">
        <f>IF(I2009&gt;0,H2009/I2009,0)</f>
      </c>
      <c r="K2009" s="179" t="str">
        <f>1-EXP(-J2009)</f>
      </c>
      <c r="L2009" s="180" t="str">
        <f>IF(G2009=30,1,M2008)</f>
      </c>
      <c r="M2009" s="181" t="str">
        <f>L2009*(1-K2009)</f>
      </c>
    </row>
    <row r="2010">
      <c r="A2010" t="s">
        <v>164</v>
      </c>
      <c r="B2010" t="s">
        <v>112</v>
      </c>
      <c r="C2010" s="32" t="s">
        <v>297</v>
      </c>
      <c r="D2010" t="s">
        <v>112</v>
      </c>
      <c r="E2010" t="s">
        <v>395</v>
      </c>
      <c r="F2010" s="174" t="n">
        <v>2049</v>
      </c>
      <c r="G2010" s="175" t="n">
        <v>38</v>
      </c>
      <c r="H2010" s="176" t="n">
        <v>2216.96795856754</v>
      </c>
      <c r="I2010" s="177" t="n">
        <v>4833741.493189</v>
      </c>
      <c r="J2010" s="178" t="str">
        <f>IF(I2010&gt;0,H2010/I2010,0)</f>
      </c>
      <c r="K2010" s="179" t="str">
        <f>1-EXP(-J2010)</f>
      </c>
      <c r="L2010" s="180" t="str">
        <f>IF(G2010=30,1,M2009)</f>
      </c>
      <c r="M2010" s="181" t="str">
        <f>L2010*(1-K2010)</f>
      </c>
    </row>
    <row r="2011">
      <c r="A2011" t="s">
        <v>164</v>
      </c>
      <c r="B2011" t="s">
        <v>112</v>
      </c>
      <c r="C2011" s="32" t="s">
        <v>297</v>
      </c>
      <c r="D2011" t="s">
        <v>112</v>
      </c>
      <c r="E2011" t="s">
        <v>395</v>
      </c>
      <c r="F2011" s="174" t="n">
        <v>2049</v>
      </c>
      <c r="G2011" s="175" t="n">
        <v>39</v>
      </c>
      <c r="H2011" s="176" t="n">
        <v>2329.70803582374</v>
      </c>
      <c r="I2011" s="177" t="n">
        <v>4698630.15079242</v>
      </c>
      <c r="J2011" s="178" t="str">
        <f>IF(I2011&gt;0,H2011/I2011,0)</f>
      </c>
      <c r="K2011" s="179" t="str">
        <f>1-EXP(-J2011)</f>
      </c>
      <c r="L2011" s="180" t="str">
        <f>IF(G2011=30,1,M2010)</f>
      </c>
      <c r="M2011" s="181" t="str">
        <f>L2011*(1-K2011)</f>
      </c>
    </row>
    <row r="2012">
      <c r="A2012" t="s">
        <v>164</v>
      </c>
      <c r="B2012" t="s">
        <v>112</v>
      </c>
      <c r="C2012" s="32" t="s">
        <v>297</v>
      </c>
      <c r="D2012" t="s">
        <v>112</v>
      </c>
      <c r="E2012" t="s">
        <v>395</v>
      </c>
      <c r="F2012" s="174" t="n">
        <v>2049</v>
      </c>
      <c r="G2012" s="175" t="n">
        <v>40</v>
      </c>
      <c r="H2012" s="176" t="n">
        <v>3076.33740399175</v>
      </c>
      <c r="I2012" s="177" t="n">
        <v>4625538.34944343</v>
      </c>
      <c r="J2012" s="178" t="str">
        <f>IF(I2012&gt;0,H2012/I2012,0)</f>
      </c>
      <c r="K2012" s="179" t="str">
        <f>1-EXP(-J2012)</f>
      </c>
      <c r="L2012" s="180" t="str">
        <f>IF(G2012=30,1,M2011)</f>
      </c>
      <c r="M2012" s="181" t="str">
        <f>L2012*(1-K2012)</f>
      </c>
    </row>
    <row r="2013">
      <c r="A2013" t="s">
        <v>164</v>
      </c>
      <c r="B2013" t="s">
        <v>112</v>
      </c>
      <c r="C2013" s="32" t="s">
        <v>297</v>
      </c>
      <c r="D2013" t="s">
        <v>112</v>
      </c>
      <c r="E2013" t="s">
        <v>395</v>
      </c>
      <c r="F2013" s="174" t="n">
        <v>2049</v>
      </c>
      <c r="G2013" s="175" t="n">
        <v>41</v>
      </c>
      <c r="H2013" s="176" t="n">
        <v>3457.80942911626</v>
      </c>
      <c r="I2013" s="177" t="n">
        <v>4579117.68495513</v>
      </c>
      <c r="J2013" s="178" t="str">
        <f>IF(I2013&gt;0,H2013/I2013,0)</f>
      </c>
      <c r="K2013" s="179" t="str">
        <f>1-EXP(-J2013)</f>
      </c>
      <c r="L2013" s="180" t="str">
        <f>IF(G2013=30,1,M2012)</f>
      </c>
      <c r="M2013" s="181" t="str">
        <f>L2013*(1-K2013)</f>
      </c>
    </row>
    <row r="2014">
      <c r="A2014" t="s">
        <v>164</v>
      </c>
      <c r="B2014" t="s">
        <v>112</v>
      </c>
      <c r="C2014" s="32" t="s">
        <v>297</v>
      </c>
      <c r="D2014" t="s">
        <v>112</v>
      </c>
      <c r="E2014" t="s">
        <v>395</v>
      </c>
      <c r="F2014" s="174" t="n">
        <v>2049</v>
      </c>
      <c r="G2014" s="175" t="n">
        <v>42</v>
      </c>
      <c r="H2014" s="176" t="n">
        <v>3828.64233859559</v>
      </c>
      <c r="I2014" s="177" t="n">
        <v>4599812.68498095</v>
      </c>
      <c r="J2014" s="178" t="str">
        <f>IF(I2014&gt;0,H2014/I2014,0)</f>
      </c>
      <c r="K2014" s="179" t="str">
        <f>1-EXP(-J2014)</f>
      </c>
      <c r="L2014" s="180" t="str">
        <f>IF(G2014=30,1,M2013)</f>
      </c>
      <c r="M2014" s="181" t="str">
        <f>L2014*(1-K2014)</f>
      </c>
    </row>
    <row r="2015">
      <c r="A2015" t="s">
        <v>164</v>
      </c>
      <c r="B2015" t="s">
        <v>112</v>
      </c>
      <c r="C2015" s="32" t="s">
        <v>297</v>
      </c>
      <c r="D2015" t="s">
        <v>112</v>
      </c>
      <c r="E2015" t="s">
        <v>395</v>
      </c>
      <c r="F2015" s="174" t="n">
        <v>2049</v>
      </c>
      <c r="G2015" s="175" t="n">
        <v>43</v>
      </c>
      <c r="H2015" s="176" t="n">
        <v>4080.1269802961</v>
      </c>
      <c r="I2015" s="177" t="n">
        <v>4512969.04899328</v>
      </c>
      <c r="J2015" s="178" t="str">
        <f>IF(I2015&gt;0,H2015/I2015,0)</f>
      </c>
      <c r="K2015" s="179" t="str">
        <f>1-EXP(-J2015)</f>
      </c>
      <c r="L2015" s="180" t="str">
        <f>IF(G2015=30,1,M2014)</f>
      </c>
      <c r="M2015" s="181" t="str">
        <f>L2015*(1-K2015)</f>
      </c>
    </row>
    <row r="2016">
      <c r="A2016" t="s">
        <v>164</v>
      </c>
      <c r="B2016" t="s">
        <v>112</v>
      </c>
      <c r="C2016" s="32" t="s">
        <v>297</v>
      </c>
      <c r="D2016" t="s">
        <v>112</v>
      </c>
      <c r="E2016" t="s">
        <v>395</v>
      </c>
      <c r="F2016" s="174" t="n">
        <v>2049</v>
      </c>
      <c r="G2016" s="175" t="n">
        <v>44</v>
      </c>
      <c r="H2016" s="176" t="n">
        <v>4377.19428203578</v>
      </c>
      <c r="I2016" s="177" t="n">
        <v>4447129.06071968</v>
      </c>
      <c r="J2016" s="178" t="str">
        <f>IF(I2016&gt;0,H2016/I2016,0)</f>
      </c>
      <c r="K2016" s="179" t="str">
        <f>1-EXP(-J2016)</f>
      </c>
      <c r="L2016" s="180" t="str">
        <f>IF(G2016=30,1,M2015)</f>
      </c>
      <c r="M2016" s="181" t="str">
        <f>L2016*(1-K2016)</f>
      </c>
    </row>
    <row r="2017">
      <c r="A2017" t="s">
        <v>164</v>
      </c>
      <c r="B2017" t="s">
        <v>112</v>
      </c>
      <c r="C2017" s="32" t="s">
        <v>297</v>
      </c>
      <c r="D2017" t="s">
        <v>112</v>
      </c>
      <c r="E2017" t="s">
        <v>395</v>
      </c>
      <c r="F2017" s="174" t="n">
        <v>2049</v>
      </c>
      <c r="G2017" s="175" t="n">
        <v>45</v>
      </c>
      <c r="H2017" s="176" t="n">
        <v>5441.31791126035</v>
      </c>
      <c r="I2017" s="177" t="n">
        <v>4314466.65263007</v>
      </c>
      <c r="J2017" s="178" t="str">
        <f>IF(I2017&gt;0,H2017/I2017,0)</f>
      </c>
      <c r="K2017" s="179" t="str">
        <f>1-EXP(-J2017)</f>
      </c>
      <c r="L2017" s="180" t="str">
        <f>IF(G2017=30,1,M2016)</f>
      </c>
      <c r="M2017" s="181" t="str">
        <f>L2017*(1-K2017)</f>
      </c>
    </row>
    <row r="2018">
      <c r="A2018" t="s">
        <v>164</v>
      </c>
      <c r="B2018" t="s">
        <v>112</v>
      </c>
      <c r="C2018" s="32" t="s">
        <v>297</v>
      </c>
      <c r="D2018" t="s">
        <v>112</v>
      </c>
      <c r="E2018" t="s">
        <v>395</v>
      </c>
      <c r="F2018" s="174" t="n">
        <v>2049</v>
      </c>
      <c r="G2018" s="175" t="n">
        <v>46</v>
      </c>
      <c r="H2018" s="176" t="n">
        <v>5981.38826990357</v>
      </c>
      <c r="I2018" s="177" t="n">
        <v>4242087.47709402</v>
      </c>
      <c r="J2018" s="178" t="str">
        <f>IF(I2018&gt;0,H2018/I2018,0)</f>
      </c>
      <c r="K2018" s="179" t="str">
        <f>1-EXP(-J2018)</f>
      </c>
      <c r="L2018" s="180" t="str">
        <f>IF(G2018=30,1,M2017)</f>
      </c>
      <c r="M2018" s="181" t="str">
        <f>L2018*(1-K2018)</f>
      </c>
    </row>
    <row r="2019">
      <c r="A2019" t="s">
        <v>164</v>
      </c>
      <c r="B2019" t="s">
        <v>112</v>
      </c>
      <c r="C2019" s="32" t="s">
        <v>297</v>
      </c>
      <c r="D2019" t="s">
        <v>112</v>
      </c>
      <c r="E2019" t="s">
        <v>395</v>
      </c>
      <c r="F2019" s="174" t="n">
        <v>2049</v>
      </c>
      <c r="G2019" s="175" t="n">
        <v>47</v>
      </c>
      <c r="H2019" s="176" t="n">
        <v>6645.90841448056</v>
      </c>
      <c r="I2019" s="177" t="n">
        <v>4209894.65804231</v>
      </c>
      <c r="J2019" s="178" t="str">
        <f>IF(I2019&gt;0,H2019/I2019,0)</f>
      </c>
      <c r="K2019" s="179" t="str">
        <f>1-EXP(-J2019)</f>
      </c>
      <c r="L2019" s="180" t="str">
        <f>IF(G2019=30,1,M2018)</f>
      </c>
      <c r="M2019" s="181" t="str">
        <f>L2019*(1-K2019)</f>
      </c>
    </row>
    <row r="2020">
      <c r="A2020" t="s">
        <v>164</v>
      </c>
      <c r="B2020" t="s">
        <v>112</v>
      </c>
      <c r="C2020" s="32" t="s">
        <v>297</v>
      </c>
      <c r="D2020" t="s">
        <v>112</v>
      </c>
      <c r="E2020" t="s">
        <v>395</v>
      </c>
      <c r="F2020" s="174" t="n">
        <v>2049</v>
      </c>
      <c r="G2020" s="175" t="n">
        <v>48</v>
      </c>
      <c r="H2020" s="176" t="n">
        <v>7237.74655167467</v>
      </c>
      <c r="I2020" s="177" t="n">
        <v>4180388.14382464</v>
      </c>
      <c r="J2020" s="178" t="str">
        <f>IF(I2020&gt;0,H2020/I2020,0)</f>
      </c>
      <c r="K2020" s="179" t="str">
        <f>1-EXP(-J2020)</f>
      </c>
      <c r="L2020" s="180" t="str">
        <f>IF(G2020=30,1,M2019)</f>
      </c>
      <c r="M2020" s="181" t="str">
        <f>L2020*(1-K2020)</f>
      </c>
    </row>
    <row r="2021">
      <c r="A2021" t="s">
        <v>164</v>
      </c>
      <c r="B2021" t="s">
        <v>112</v>
      </c>
      <c r="C2021" s="32" t="s">
        <v>297</v>
      </c>
      <c r="D2021" t="s">
        <v>112</v>
      </c>
      <c r="E2021" t="s">
        <v>395</v>
      </c>
      <c r="F2021" s="174" t="n">
        <v>2049</v>
      </c>
      <c r="G2021" s="175" t="n">
        <v>49</v>
      </c>
      <c r="H2021" s="176" t="n">
        <v>7889.34194869236</v>
      </c>
      <c r="I2021" s="177" t="n">
        <v>4149483.55461077</v>
      </c>
      <c r="J2021" s="178" t="str">
        <f>IF(I2021&gt;0,H2021/I2021,0)</f>
      </c>
      <c r="K2021" s="179" t="str">
        <f>1-EXP(-J2021)</f>
      </c>
      <c r="L2021" s="180" t="str">
        <f>IF(G2021=30,1,M2020)</f>
      </c>
      <c r="M2021" s="181" t="str">
        <f>L2021*(1-K2021)</f>
      </c>
    </row>
    <row r="2022">
      <c r="A2022" t="s">
        <v>164</v>
      </c>
      <c r="B2022" t="s">
        <v>112</v>
      </c>
      <c r="C2022" s="32" t="s">
        <v>297</v>
      </c>
      <c r="D2022" t="s">
        <v>112</v>
      </c>
      <c r="E2022" t="s">
        <v>395</v>
      </c>
      <c r="F2022" s="174" t="n">
        <v>2049</v>
      </c>
      <c r="G2022" s="175" t="n">
        <v>50</v>
      </c>
      <c r="H2022" s="176" t="n">
        <v>9001.24019436275</v>
      </c>
      <c r="I2022" s="177" t="n">
        <v>4155466.121433</v>
      </c>
      <c r="J2022" s="178" t="str">
        <f>IF(I2022&gt;0,H2022/I2022,0)</f>
      </c>
      <c r="K2022" s="179" t="str">
        <f>1-EXP(-J2022)</f>
      </c>
      <c r="L2022" s="180" t="str">
        <f>IF(G2022=30,1,M2021)</f>
      </c>
      <c r="M2022" s="181" t="str">
        <f>L2022*(1-K2022)</f>
      </c>
    </row>
    <row r="2023">
      <c r="A2023" t="s">
        <v>164</v>
      </c>
      <c r="B2023" t="s">
        <v>112</v>
      </c>
      <c r="C2023" s="32" t="s">
        <v>297</v>
      </c>
      <c r="D2023" t="s">
        <v>112</v>
      </c>
      <c r="E2023" t="s">
        <v>395</v>
      </c>
      <c r="F2023" s="174" t="n">
        <v>2049</v>
      </c>
      <c r="G2023" s="175" t="n">
        <v>51</v>
      </c>
      <c r="H2023" s="176" t="n">
        <v>10026.8901030276</v>
      </c>
      <c r="I2023" s="177" t="n">
        <v>4196720.60436745</v>
      </c>
      <c r="J2023" s="178" t="str">
        <f>IF(I2023&gt;0,H2023/I2023,0)</f>
      </c>
      <c r="K2023" s="179" t="str">
        <f>1-EXP(-J2023)</f>
      </c>
      <c r="L2023" s="180" t="str">
        <f>IF(G2023=30,1,M2022)</f>
      </c>
      <c r="M2023" s="181" t="str">
        <f>L2023*(1-K2023)</f>
      </c>
    </row>
    <row r="2024">
      <c r="A2024" t="s">
        <v>164</v>
      </c>
      <c r="B2024" t="s">
        <v>112</v>
      </c>
      <c r="C2024" s="32" t="s">
        <v>297</v>
      </c>
      <c r="D2024" t="s">
        <v>112</v>
      </c>
      <c r="E2024" t="s">
        <v>395</v>
      </c>
      <c r="F2024" s="174" t="n">
        <v>2049</v>
      </c>
      <c r="G2024" s="175" t="n">
        <v>52</v>
      </c>
      <c r="H2024" s="176" t="n">
        <v>11408.7739299824</v>
      </c>
      <c r="I2024" s="177" t="n">
        <v>4308171.62927641</v>
      </c>
      <c r="J2024" s="178" t="str">
        <f>IF(I2024&gt;0,H2024/I2024,0)</f>
      </c>
      <c r="K2024" s="179" t="str">
        <f>1-EXP(-J2024)</f>
      </c>
      <c r="L2024" s="180" t="str">
        <f>IF(G2024=30,1,M2023)</f>
      </c>
      <c r="M2024" s="181" t="str">
        <f>L2024*(1-K2024)</f>
      </c>
    </row>
    <row r="2025">
      <c r="A2025" t="s">
        <v>164</v>
      </c>
      <c r="B2025" t="s">
        <v>112</v>
      </c>
      <c r="C2025" s="32" t="s">
        <v>297</v>
      </c>
      <c r="D2025" t="s">
        <v>112</v>
      </c>
      <c r="E2025" t="s">
        <v>395</v>
      </c>
      <c r="F2025" s="174" t="n">
        <v>2049</v>
      </c>
      <c r="G2025" s="175" t="n">
        <v>53</v>
      </c>
      <c r="H2025" s="176" t="n">
        <v>12260.5627172628</v>
      </c>
      <c r="I2025" s="177" t="n">
        <v>4247741.22279673</v>
      </c>
      <c r="J2025" s="178" t="str">
        <f>IF(I2025&gt;0,H2025/I2025,0)</f>
      </c>
      <c r="K2025" s="179" t="str">
        <f>1-EXP(-J2025)</f>
      </c>
      <c r="L2025" s="180" t="str">
        <f>IF(G2025=30,1,M2024)</f>
      </c>
      <c r="M2025" s="181" t="str">
        <f>L2025*(1-K2025)</f>
      </c>
    </row>
    <row r="2026">
      <c r="A2026" t="s">
        <v>164</v>
      </c>
      <c r="B2026" t="s">
        <v>112</v>
      </c>
      <c r="C2026" s="32" t="s">
        <v>297</v>
      </c>
      <c r="D2026" t="s">
        <v>112</v>
      </c>
      <c r="E2026" t="s">
        <v>395</v>
      </c>
      <c r="F2026" s="174" t="n">
        <v>2049</v>
      </c>
      <c r="G2026" s="175" t="n">
        <v>54</v>
      </c>
      <c r="H2026" s="176" t="n">
        <v>13053.5100577737</v>
      </c>
      <c r="I2026" s="177" t="n">
        <v>4157419.10146581</v>
      </c>
      <c r="J2026" s="178" t="str">
        <f>IF(I2026&gt;0,H2026/I2026,0)</f>
      </c>
      <c r="K2026" s="179" t="str">
        <f>1-EXP(-J2026)</f>
      </c>
      <c r="L2026" s="180" t="str">
        <f>IF(G2026=30,1,M2025)</f>
      </c>
      <c r="M2026" s="181" t="str">
        <f>L2026*(1-K2026)</f>
      </c>
    </row>
    <row r="2027">
      <c r="A2027" t="s">
        <v>164</v>
      </c>
      <c r="B2027" t="s">
        <v>112</v>
      </c>
      <c r="C2027" s="32" t="s">
        <v>297</v>
      </c>
      <c r="D2027" t="s">
        <v>112</v>
      </c>
      <c r="E2027" t="s">
        <v>395</v>
      </c>
      <c r="F2027" s="174" t="n">
        <v>2049</v>
      </c>
      <c r="G2027" s="175" t="n">
        <v>55</v>
      </c>
      <c r="H2027" s="176" t="n">
        <v>13639.4674926428</v>
      </c>
      <c r="I2027" s="177" t="n">
        <v>4080534.91004966</v>
      </c>
      <c r="J2027" s="178" t="str">
        <f>IF(I2027&gt;0,H2027/I2027,0)</f>
      </c>
      <c r="K2027" s="179" t="str">
        <f>1-EXP(-J2027)</f>
      </c>
      <c r="L2027" s="180" t="str">
        <f>IF(G2027=30,1,M2026)</f>
      </c>
      <c r="M2027" s="181" t="str">
        <f>L2027*(1-K2027)</f>
      </c>
    </row>
    <row r="2028">
      <c r="A2028" t="s">
        <v>164</v>
      </c>
      <c r="B2028" t="s">
        <v>112</v>
      </c>
      <c r="C2028" s="32" t="s">
        <v>297</v>
      </c>
      <c r="D2028" t="s">
        <v>112</v>
      </c>
      <c r="E2028" t="s">
        <v>395</v>
      </c>
      <c r="F2028" s="174" t="n">
        <v>2049</v>
      </c>
      <c r="G2028" s="175" t="n">
        <v>56</v>
      </c>
      <c r="H2028" s="176" t="n">
        <v>14560.2026669772</v>
      </c>
      <c r="I2028" s="177" t="n">
        <v>4005517.48138039</v>
      </c>
      <c r="J2028" s="178" t="str">
        <f>IF(I2028&gt;0,H2028/I2028,0)</f>
      </c>
      <c r="K2028" s="179" t="str">
        <f>1-EXP(-J2028)</f>
      </c>
      <c r="L2028" s="180" t="str">
        <f>IF(G2028=30,1,M2027)</f>
      </c>
      <c r="M2028" s="181" t="str">
        <f>L2028*(1-K2028)</f>
      </c>
    </row>
    <row r="2029">
      <c r="A2029" t="s">
        <v>164</v>
      </c>
      <c r="B2029" t="s">
        <v>112</v>
      </c>
      <c r="C2029" s="32" t="s">
        <v>297</v>
      </c>
      <c r="D2029" t="s">
        <v>112</v>
      </c>
      <c r="E2029" t="s">
        <v>395</v>
      </c>
      <c r="F2029" s="174" t="n">
        <v>2049</v>
      </c>
      <c r="G2029" s="175" t="n">
        <v>57</v>
      </c>
      <c r="H2029" s="176" t="n">
        <v>15865.7483486297</v>
      </c>
      <c r="I2029" s="177" t="n">
        <v>4013448.31420821</v>
      </c>
      <c r="J2029" s="178" t="str">
        <f>IF(I2029&gt;0,H2029/I2029,0)</f>
      </c>
      <c r="K2029" s="179" t="str">
        <f>1-EXP(-J2029)</f>
      </c>
      <c r="L2029" s="180" t="str">
        <f>IF(G2029=30,1,M2028)</f>
      </c>
      <c r="M2029" s="181" t="str">
        <f>L2029*(1-K2029)</f>
      </c>
    </row>
    <row r="2030">
      <c r="A2030" t="s">
        <v>164</v>
      </c>
      <c r="B2030" t="s">
        <v>112</v>
      </c>
      <c r="C2030" s="32" t="s">
        <v>297</v>
      </c>
      <c r="D2030" t="s">
        <v>112</v>
      </c>
      <c r="E2030" t="s">
        <v>395</v>
      </c>
      <c r="F2030" s="174" t="n">
        <v>2049</v>
      </c>
      <c r="G2030" s="175" t="n">
        <v>58</v>
      </c>
      <c r="H2030" s="176" t="n">
        <v>17259.45814428</v>
      </c>
      <c r="I2030" s="177" t="n">
        <v>4000176.38811391</v>
      </c>
      <c r="J2030" s="178" t="str">
        <f>IF(I2030&gt;0,H2030/I2030,0)</f>
      </c>
      <c r="K2030" s="179" t="str">
        <f>1-EXP(-J2030)</f>
      </c>
      <c r="L2030" s="180" t="str">
        <f>IF(G2030=30,1,M2029)</f>
      </c>
      <c r="M2030" s="181" t="str">
        <f>L2030*(1-K2030)</f>
      </c>
    </row>
    <row r="2031">
      <c r="A2031" t="s">
        <v>164</v>
      </c>
      <c r="B2031" t="s">
        <v>112</v>
      </c>
      <c r="C2031" s="32" t="s">
        <v>297</v>
      </c>
      <c r="D2031" t="s">
        <v>112</v>
      </c>
      <c r="E2031" t="s">
        <v>395</v>
      </c>
      <c r="F2031" s="174" t="n">
        <v>2049</v>
      </c>
      <c r="G2031" s="175" t="n">
        <v>59</v>
      </c>
      <c r="H2031" s="176" t="n">
        <v>25077.5682533273</v>
      </c>
      <c r="I2031" s="177" t="n">
        <v>5881615.49412267</v>
      </c>
      <c r="J2031" s="178" t="str">
        <f>IF(I2031&gt;0,H2031/I2031,0)</f>
      </c>
      <c r="K2031" s="179" t="str">
        <f>1-EXP(-J2031)</f>
      </c>
      <c r="L2031" s="180" t="str">
        <f>IF(G2031=30,1,M2030)</f>
      </c>
      <c r="M2031" s="181" t="str">
        <f>L2031*(1-K2031)</f>
      </c>
    </row>
    <row r="2032">
      <c r="A2032" t="s">
        <v>164</v>
      </c>
      <c r="B2032" t="s">
        <v>112</v>
      </c>
      <c r="C2032" s="32" t="s">
        <v>297</v>
      </c>
      <c r="D2032" t="s">
        <v>112</v>
      </c>
      <c r="E2032" t="s">
        <v>395</v>
      </c>
      <c r="F2032" s="174" t="n">
        <v>2049</v>
      </c>
      <c r="G2032" s="175" t="n">
        <v>60</v>
      </c>
      <c r="H2032" s="176" t="n">
        <v>19771.2546271369</v>
      </c>
      <c r="I2032" s="177" t="n">
        <v>3895057.48616602</v>
      </c>
      <c r="J2032" s="178" t="str">
        <f>IF(I2032&gt;0,H2032/I2032,0)</f>
      </c>
      <c r="K2032" s="179" t="str">
        <f>1-EXP(-J2032)</f>
      </c>
      <c r="L2032" s="180" t="str">
        <f>IF(G2032=30,1,M2031)</f>
      </c>
      <c r="M2032" s="181" t="str">
        <f>L2032*(1-K2032)</f>
      </c>
    </row>
    <row r="2033">
      <c r="A2033" t="s">
        <v>164</v>
      </c>
      <c r="B2033" t="s">
        <v>112</v>
      </c>
      <c r="C2033" s="32" t="s">
        <v>297</v>
      </c>
      <c r="D2033" t="s">
        <v>112</v>
      </c>
      <c r="E2033" t="s">
        <v>395</v>
      </c>
      <c r="F2033" s="174" t="n">
        <v>2049</v>
      </c>
      <c r="G2033" s="175" t="n">
        <v>61</v>
      </c>
      <c r="H2033" s="176" t="n">
        <v>21407.50451418</v>
      </c>
      <c r="I2033" s="177" t="n">
        <v>3841909.46743367</v>
      </c>
      <c r="J2033" s="178" t="str">
        <f>IF(I2033&gt;0,H2033/I2033,0)</f>
      </c>
      <c r="K2033" s="179" t="str">
        <f>1-EXP(-J2033)</f>
      </c>
      <c r="L2033" s="180" t="str">
        <f>IF(G2033=30,1,M2032)</f>
      </c>
      <c r="M2033" s="181" t="str">
        <f>L2033*(1-K2033)</f>
      </c>
    </row>
    <row r="2034">
      <c r="A2034" t="s">
        <v>164</v>
      </c>
      <c r="B2034" t="s">
        <v>112</v>
      </c>
      <c r="C2034" s="32" t="s">
        <v>297</v>
      </c>
      <c r="D2034" t="s">
        <v>112</v>
      </c>
      <c r="E2034" t="s">
        <v>395</v>
      </c>
      <c r="F2034" s="174" t="n">
        <v>2049</v>
      </c>
      <c r="G2034" s="175" t="n">
        <v>62</v>
      </c>
      <c r="H2034" s="176" t="n">
        <v>22550.8312092734</v>
      </c>
      <c r="I2034" s="177" t="n">
        <v>3683757.71287798</v>
      </c>
      <c r="J2034" s="178" t="str">
        <f>IF(I2034&gt;0,H2034/I2034,0)</f>
      </c>
      <c r="K2034" s="179" t="str">
        <f>1-EXP(-J2034)</f>
      </c>
      <c r="L2034" s="180" t="str">
        <f>IF(G2034=30,1,M2033)</f>
      </c>
      <c r="M2034" s="181" t="str">
        <f>L2034*(1-K2034)</f>
      </c>
    </row>
    <row r="2035">
      <c r="A2035" t="s">
        <v>164</v>
      </c>
      <c r="B2035" t="s">
        <v>112</v>
      </c>
      <c r="C2035" s="32" t="s">
        <v>297</v>
      </c>
      <c r="D2035" t="s">
        <v>112</v>
      </c>
      <c r="E2035" t="s">
        <v>395</v>
      </c>
      <c r="F2035" s="174" t="n">
        <v>2049</v>
      </c>
      <c r="G2035" s="175" t="n">
        <v>63</v>
      </c>
      <c r="H2035" s="176" t="n">
        <v>24263.1485902785</v>
      </c>
      <c r="I2035" s="177" t="n">
        <v>3609768.08774154</v>
      </c>
      <c r="J2035" s="178" t="str">
        <f>IF(I2035&gt;0,H2035/I2035,0)</f>
      </c>
      <c r="K2035" s="179" t="str">
        <f>1-EXP(-J2035)</f>
      </c>
      <c r="L2035" s="180" t="str">
        <f>IF(G2035=30,1,M2034)</f>
      </c>
      <c r="M2035" s="181" t="str">
        <f>L2035*(1-K2035)</f>
      </c>
    </row>
    <row r="2036">
      <c r="A2036" t="s">
        <v>164</v>
      </c>
      <c r="B2036" t="s">
        <v>112</v>
      </c>
      <c r="C2036" s="32" t="s">
        <v>297</v>
      </c>
      <c r="D2036" t="s">
        <v>112</v>
      </c>
      <c r="E2036" t="s">
        <v>395</v>
      </c>
      <c r="F2036" s="174" t="n">
        <v>2049</v>
      </c>
      <c r="G2036" s="175" t="n">
        <v>64</v>
      </c>
      <c r="H2036" s="176" t="n">
        <v>26657.9709023711</v>
      </c>
      <c r="I2036" s="177" t="n">
        <v>3612914.36543724</v>
      </c>
      <c r="J2036" s="178" t="str">
        <f>IF(I2036&gt;0,H2036/I2036,0)</f>
      </c>
      <c r="K2036" s="179" t="str">
        <f>1-EXP(-J2036)</f>
      </c>
      <c r="L2036" s="180" t="str">
        <f>IF(G2036=30,1,M2035)</f>
      </c>
      <c r="M2036" s="181" t="str">
        <f>L2036*(1-K2036)</f>
      </c>
    </row>
    <row r="2037">
      <c r="A2037" t="s">
        <v>164</v>
      </c>
      <c r="B2037" t="s">
        <v>112</v>
      </c>
      <c r="C2037" s="32" t="s">
        <v>297</v>
      </c>
      <c r="D2037" t="s">
        <v>112</v>
      </c>
      <c r="E2037" t="s">
        <v>395</v>
      </c>
      <c r="F2037" s="174" t="n">
        <v>2049</v>
      </c>
      <c r="G2037" s="175" t="n">
        <v>65</v>
      </c>
      <c r="H2037" s="176" t="n">
        <v>27925.5410964758</v>
      </c>
      <c r="I2037" s="177" t="n">
        <v>3631812.84475413</v>
      </c>
      <c r="J2037" s="178" t="str">
        <f>IF(I2037&gt;0,H2037/I2037,0)</f>
      </c>
      <c r="K2037" s="179" t="str">
        <f>1-EXP(-J2037)</f>
      </c>
      <c r="L2037" s="180" t="str">
        <f>IF(G2037=30,1,M2036)</f>
      </c>
      <c r="M2037" s="181" t="str">
        <f>L2037*(1-K2037)</f>
      </c>
    </row>
    <row r="2038">
      <c r="A2038" t="s">
        <v>164</v>
      </c>
      <c r="B2038" t="s">
        <v>112</v>
      </c>
      <c r="C2038" s="32" t="s">
        <v>297</v>
      </c>
      <c r="D2038" t="s">
        <v>112</v>
      </c>
      <c r="E2038" t="s">
        <v>395</v>
      </c>
      <c r="F2038" s="174" t="n">
        <v>2049</v>
      </c>
      <c r="G2038" s="175" t="n">
        <v>66</v>
      </c>
      <c r="H2038" s="176" t="n">
        <v>30021.4270893869</v>
      </c>
      <c r="I2038" s="177" t="n">
        <v>3554376.36343961</v>
      </c>
      <c r="J2038" s="178" t="str">
        <f>IF(I2038&gt;0,H2038/I2038,0)</f>
      </c>
      <c r="K2038" s="179" t="str">
        <f>1-EXP(-J2038)</f>
      </c>
      <c r="L2038" s="180" t="str">
        <f>IF(G2038=30,1,M2037)</f>
      </c>
      <c r="M2038" s="181" t="str">
        <f>L2038*(1-K2038)</f>
      </c>
    </row>
    <row r="2039">
      <c r="A2039" t="s">
        <v>164</v>
      </c>
      <c r="B2039" t="s">
        <v>112</v>
      </c>
      <c r="C2039" s="32" t="s">
        <v>297</v>
      </c>
      <c r="D2039" t="s">
        <v>112</v>
      </c>
      <c r="E2039" t="s">
        <v>395</v>
      </c>
      <c r="F2039" s="174" t="n">
        <v>2049</v>
      </c>
      <c r="G2039" s="175" t="n">
        <v>67</v>
      </c>
      <c r="H2039" s="176" t="n">
        <v>31388.6092691524</v>
      </c>
      <c r="I2039" s="177" t="n">
        <v>3379816.48053064</v>
      </c>
      <c r="J2039" s="178" t="str">
        <f>IF(I2039&gt;0,H2039/I2039,0)</f>
      </c>
      <c r="K2039" s="179" t="str">
        <f>1-EXP(-J2039)</f>
      </c>
      <c r="L2039" s="180" t="str">
        <f>IF(G2039=30,1,M2038)</f>
      </c>
      <c r="M2039" s="181" t="str">
        <f>L2039*(1-K2039)</f>
      </c>
    </row>
    <row r="2040">
      <c r="A2040" t="s">
        <v>164</v>
      </c>
      <c r="B2040" t="s">
        <v>112</v>
      </c>
      <c r="C2040" s="32" t="s">
        <v>297</v>
      </c>
      <c r="D2040" t="s">
        <v>112</v>
      </c>
      <c r="E2040" t="s">
        <v>395</v>
      </c>
      <c r="F2040" s="174" t="n">
        <v>2049</v>
      </c>
      <c r="G2040" s="175" t="n">
        <v>68</v>
      </c>
      <c r="H2040" s="176" t="n">
        <v>33236.3959053416</v>
      </c>
      <c r="I2040" s="177" t="n">
        <v>3255138.20971211</v>
      </c>
      <c r="J2040" s="178" t="str">
        <f>IF(I2040&gt;0,H2040/I2040,0)</f>
      </c>
      <c r="K2040" s="179" t="str">
        <f>1-EXP(-J2040)</f>
      </c>
      <c r="L2040" s="180" t="str">
        <f>IF(G2040=30,1,M2039)</f>
      </c>
      <c r="M2040" s="181" t="str">
        <f>L2040*(1-K2040)</f>
      </c>
    </row>
    <row r="2041">
      <c r="A2041" t="s">
        <v>164</v>
      </c>
      <c r="B2041" t="s">
        <v>112</v>
      </c>
      <c r="C2041" s="32" t="s">
        <v>297</v>
      </c>
      <c r="D2041" t="s">
        <v>112</v>
      </c>
      <c r="E2041" t="s">
        <v>395</v>
      </c>
      <c r="F2041" s="174" t="n">
        <v>2049</v>
      </c>
      <c r="G2041" s="175" t="n">
        <v>69</v>
      </c>
      <c r="H2041" s="176" t="n">
        <v>35285.8696681457</v>
      </c>
      <c r="I2041" s="177" t="n">
        <v>3140316.18428582</v>
      </c>
      <c r="J2041" s="178" t="str">
        <f>IF(I2041&gt;0,H2041/I2041,0)</f>
      </c>
      <c r="K2041" s="179" t="str">
        <f>1-EXP(-J2041)</f>
      </c>
      <c r="L2041" s="180" t="str">
        <f>IF(G2041=30,1,M2040)</f>
      </c>
      <c r="M2041" s="181" t="str">
        <f>L2041*(1-K2041)</f>
      </c>
    </row>
    <row r="2042">
      <c r="A2042" t="s">
        <v>164</v>
      </c>
      <c r="B2042" t="s">
        <v>112</v>
      </c>
      <c r="C2042" s="32" t="s">
        <v>297</v>
      </c>
      <c r="D2042" t="s">
        <v>112</v>
      </c>
      <c r="E2042" t="s">
        <v>395</v>
      </c>
      <c r="F2042" s="174" t="n">
        <v>2050</v>
      </c>
      <c r="G2042" s="175" t="n">
        <v>30</v>
      </c>
      <c r="H2042" s="176" t="n">
        <v>612.445799566593</v>
      </c>
      <c r="I2042" s="177" t="n">
        <v>4253315.10160259</v>
      </c>
      <c r="J2042" s="178" t="str">
        <f>IF(I2042&gt;0,H2042/I2042,0)</f>
      </c>
      <c r="K2042" s="179" t="str">
        <f>1-EXP(-J2042)</f>
      </c>
      <c r="L2042" s="180" t="str">
        <f>IF(G2042=30,1,M2041)</f>
      </c>
      <c r="M2042" s="181" t="str">
        <f>L2042*(1-K2042)</f>
      </c>
    </row>
    <row r="2043">
      <c r="A2043" t="s">
        <v>164</v>
      </c>
      <c r="B2043" t="s">
        <v>112</v>
      </c>
      <c r="C2043" s="32" t="s">
        <v>297</v>
      </c>
      <c r="D2043" t="s">
        <v>112</v>
      </c>
      <c r="E2043" t="s">
        <v>395</v>
      </c>
      <c r="F2043" s="174" t="n">
        <v>2050</v>
      </c>
      <c r="G2043" s="175" t="n">
        <v>31</v>
      </c>
      <c r="H2043" s="176" t="n">
        <v>844.333236007691</v>
      </c>
      <c r="I2043" s="177" t="n">
        <v>4262032.09169324</v>
      </c>
      <c r="J2043" s="178" t="str">
        <f>IF(I2043&gt;0,H2043/I2043,0)</f>
      </c>
      <c r="K2043" s="179" t="str">
        <f>1-EXP(-J2043)</f>
      </c>
      <c r="L2043" s="180" t="str">
        <f>IF(G2043=30,1,M2042)</f>
      </c>
      <c r="M2043" s="181" t="str">
        <f>L2043*(1-K2043)</f>
      </c>
    </row>
    <row r="2044">
      <c r="A2044" t="s">
        <v>164</v>
      </c>
      <c r="B2044" t="s">
        <v>112</v>
      </c>
      <c r="C2044" s="32" t="s">
        <v>297</v>
      </c>
      <c r="D2044" t="s">
        <v>112</v>
      </c>
      <c r="E2044" t="s">
        <v>395</v>
      </c>
      <c r="F2044" s="174" t="n">
        <v>2050</v>
      </c>
      <c r="G2044" s="175" t="n">
        <v>32</v>
      </c>
      <c r="H2044" s="176" t="n">
        <v>891.539520474358</v>
      </c>
      <c r="I2044" s="177" t="n">
        <v>4266191.70021429</v>
      </c>
      <c r="J2044" s="178" t="str">
        <f>IF(I2044&gt;0,H2044/I2044,0)</f>
      </c>
      <c r="K2044" s="179" t="str">
        <f>1-EXP(-J2044)</f>
      </c>
      <c r="L2044" s="180" t="str">
        <f>IF(G2044=30,1,M2043)</f>
      </c>
      <c r="M2044" s="181" t="str">
        <f>L2044*(1-K2044)</f>
      </c>
    </row>
    <row r="2045">
      <c r="A2045" t="s">
        <v>164</v>
      </c>
      <c r="B2045" t="s">
        <v>112</v>
      </c>
      <c r="C2045" s="32" t="s">
        <v>297</v>
      </c>
      <c r="D2045" t="s">
        <v>112</v>
      </c>
      <c r="E2045" t="s">
        <v>395</v>
      </c>
      <c r="F2045" s="174" t="n">
        <v>2050</v>
      </c>
      <c r="G2045" s="175" t="n">
        <v>33</v>
      </c>
      <c r="H2045" s="176" t="n">
        <v>954.220259782347</v>
      </c>
      <c r="I2045" s="177" t="n">
        <v>4306507.16007758</v>
      </c>
      <c r="J2045" s="178" t="str">
        <f>IF(I2045&gt;0,H2045/I2045,0)</f>
      </c>
      <c r="K2045" s="179" t="str">
        <f>1-EXP(-J2045)</f>
      </c>
      <c r="L2045" s="180" t="str">
        <f>IF(G2045=30,1,M2044)</f>
      </c>
      <c r="M2045" s="181" t="str">
        <f>L2045*(1-K2045)</f>
      </c>
    </row>
    <row r="2046">
      <c r="A2046" t="s">
        <v>164</v>
      </c>
      <c r="B2046" t="s">
        <v>112</v>
      </c>
      <c r="C2046" s="32" t="s">
        <v>297</v>
      </c>
      <c r="D2046" t="s">
        <v>112</v>
      </c>
      <c r="E2046" t="s">
        <v>395</v>
      </c>
      <c r="F2046" s="174" t="n">
        <v>2050</v>
      </c>
      <c r="G2046" s="175" t="n">
        <v>34</v>
      </c>
      <c r="H2046" s="176" t="n">
        <v>1115.81714148359</v>
      </c>
      <c r="I2046" s="177" t="n">
        <v>4567927.154114</v>
      </c>
      <c r="J2046" s="178" t="str">
        <f>IF(I2046&gt;0,H2046/I2046,0)</f>
      </c>
      <c r="K2046" s="179" t="str">
        <f>1-EXP(-J2046)</f>
      </c>
      <c r="L2046" s="180" t="str">
        <f>IF(G2046=30,1,M2045)</f>
      </c>
      <c r="M2046" s="181" t="str">
        <f>L2046*(1-K2046)</f>
      </c>
    </row>
    <row r="2047">
      <c r="A2047" t="s">
        <v>164</v>
      </c>
      <c r="B2047" t="s">
        <v>112</v>
      </c>
      <c r="C2047" s="32" t="s">
        <v>297</v>
      </c>
      <c r="D2047" t="s">
        <v>112</v>
      </c>
      <c r="E2047" t="s">
        <v>395</v>
      </c>
      <c r="F2047" s="174" t="n">
        <v>2050</v>
      </c>
      <c r="G2047" s="175" t="n">
        <v>35</v>
      </c>
      <c r="H2047" s="176" t="n">
        <v>1496.66067410074</v>
      </c>
      <c r="I2047" s="177" t="n">
        <v>4615726.96024828</v>
      </c>
      <c r="J2047" s="178" t="str">
        <f>IF(I2047&gt;0,H2047/I2047,0)</f>
      </c>
      <c r="K2047" s="179" t="str">
        <f>1-EXP(-J2047)</f>
      </c>
      <c r="L2047" s="180" t="str">
        <f>IF(G2047=30,1,M2046)</f>
      </c>
      <c r="M2047" s="181" t="str">
        <f>L2047*(1-K2047)</f>
      </c>
    </row>
    <row r="2048">
      <c r="A2048" t="s">
        <v>164</v>
      </c>
      <c r="B2048" t="s">
        <v>112</v>
      </c>
      <c r="C2048" s="32" t="s">
        <v>297</v>
      </c>
      <c r="D2048" t="s">
        <v>112</v>
      </c>
      <c r="E2048" t="s">
        <v>395</v>
      </c>
      <c r="F2048" s="174" t="n">
        <v>2050</v>
      </c>
      <c r="G2048" s="175" t="n">
        <v>36</v>
      </c>
      <c r="H2048" s="176" t="n">
        <v>1802.42298322371</v>
      </c>
      <c r="I2048" s="177" t="n">
        <v>4680572.96713584</v>
      </c>
      <c r="J2048" s="178" t="str">
        <f>IF(I2048&gt;0,H2048/I2048,0)</f>
      </c>
      <c r="K2048" s="179" t="str">
        <f>1-EXP(-J2048)</f>
      </c>
      <c r="L2048" s="180" t="str">
        <f>IF(G2048=30,1,M2047)</f>
      </c>
      <c r="M2048" s="181" t="str">
        <f>L2048*(1-K2048)</f>
      </c>
    </row>
    <row r="2049">
      <c r="A2049" t="s">
        <v>164</v>
      </c>
      <c r="B2049" t="s">
        <v>112</v>
      </c>
      <c r="C2049" s="32" t="s">
        <v>297</v>
      </c>
      <c r="D2049" t="s">
        <v>112</v>
      </c>
      <c r="E2049" t="s">
        <v>395</v>
      </c>
      <c r="F2049" s="174" t="n">
        <v>2050</v>
      </c>
      <c r="G2049" s="175" t="n">
        <v>37</v>
      </c>
      <c r="H2049" s="176" t="n">
        <v>1964.24909121214</v>
      </c>
      <c r="I2049" s="177" t="n">
        <v>4746740.68127619</v>
      </c>
      <c r="J2049" s="178" t="str">
        <f>IF(I2049&gt;0,H2049/I2049,0)</f>
      </c>
      <c r="K2049" s="179" t="str">
        <f>1-EXP(-J2049)</f>
      </c>
      <c r="L2049" s="180" t="str">
        <f>IF(G2049=30,1,M2048)</f>
      </c>
      <c r="M2049" s="181" t="str">
        <f>L2049*(1-K2049)</f>
      </c>
    </row>
    <row r="2050">
      <c r="A2050" t="s">
        <v>164</v>
      </c>
      <c r="B2050" t="s">
        <v>112</v>
      </c>
      <c r="C2050" s="32" t="s">
        <v>297</v>
      </c>
      <c r="D2050" t="s">
        <v>112</v>
      </c>
      <c r="E2050" t="s">
        <v>395</v>
      </c>
      <c r="F2050" s="174" t="n">
        <v>2050</v>
      </c>
      <c r="G2050" s="175" t="n">
        <v>38</v>
      </c>
      <c r="H2050" s="176" t="n">
        <v>2219.31019442238</v>
      </c>
      <c r="I2050" s="177" t="n">
        <v>4856411.23181509</v>
      </c>
      <c r="J2050" s="178" t="str">
        <f>IF(I2050&gt;0,H2050/I2050,0)</f>
      </c>
      <c r="K2050" s="179" t="str">
        <f>1-EXP(-J2050)</f>
      </c>
      <c r="L2050" s="180" t="str">
        <f>IF(G2050=30,1,M2049)</f>
      </c>
      <c r="M2050" s="181" t="str">
        <f>L2050*(1-K2050)</f>
      </c>
    </row>
    <row r="2051">
      <c r="A2051" t="s">
        <v>164</v>
      </c>
      <c r="B2051" t="s">
        <v>112</v>
      </c>
      <c r="C2051" s="32" t="s">
        <v>297</v>
      </c>
      <c r="D2051" t="s">
        <v>112</v>
      </c>
      <c r="E2051" t="s">
        <v>395</v>
      </c>
      <c r="F2051" s="174" t="n">
        <v>2050</v>
      </c>
      <c r="G2051" s="175" t="n">
        <v>39</v>
      </c>
      <c r="H2051" s="176" t="n">
        <v>2384.06359799789</v>
      </c>
      <c r="I2051" s="177" t="n">
        <v>4826004.70973748</v>
      </c>
      <c r="J2051" s="178" t="str">
        <f>IF(I2051&gt;0,H2051/I2051,0)</f>
      </c>
      <c r="K2051" s="179" t="str">
        <f>1-EXP(-J2051)</f>
      </c>
      <c r="L2051" s="180" t="str">
        <f>IF(G2051=30,1,M2050)</f>
      </c>
      <c r="M2051" s="181" t="str">
        <f>L2051*(1-K2051)</f>
      </c>
    </row>
    <row r="2052">
      <c r="A2052" t="s">
        <v>164</v>
      </c>
      <c r="B2052" t="s">
        <v>112</v>
      </c>
      <c r="C2052" s="32" t="s">
        <v>297</v>
      </c>
      <c r="D2052" t="s">
        <v>112</v>
      </c>
      <c r="E2052" t="s">
        <v>395</v>
      </c>
      <c r="F2052" s="174" t="n">
        <v>2050</v>
      </c>
      <c r="G2052" s="175" t="n">
        <v>40</v>
      </c>
      <c r="H2052" s="176" t="n">
        <v>3106.19920362976</v>
      </c>
      <c r="I2052" s="177" t="n">
        <v>4690550.61665944</v>
      </c>
      <c r="J2052" s="178" t="str">
        <f>IF(I2052&gt;0,H2052/I2052,0)</f>
      </c>
      <c r="K2052" s="179" t="str">
        <f>1-EXP(-J2052)</f>
      </c>
      <c r="L2052" s="180" t="str">
        <f>IF(G2052=30,1,M2051)</f>
      </c>
      <c r="M2052" s="181" t="str">
        <f>L2052*(1-K2052)</f>
      </c>
    </row>
    <row r="2053">
      <c r="A2053" t="s">
        <v>164</v>
      </c>
      <c r="B2053" t="s">
        <v>112</v>
      </c>
      <c r="C2053" s="32" t="s">
        <v>297</v>
      </c>
      <c r="D2053" t="s">
        <v>112</v>
      </c>
      <c r="E2053" t="s">
        <v>395</v>
      </c>
      <c r="F2053" s="174" t="n">
        <v>2050</v>
      </c>
      <c r="G2053" s="175" t="n">
        <v>41</v>
      </c>
      <c r="H2053" s="176" t="n">
        <v>3469.79556109071</v>
      </c>
      <c r="I2053" s="177" t="n">
        <v>4616310.43710544</v>
      </c>
      <c r="J2053" s="178" t="str">
        <f>IF(I2053&gt;0,H2053/I2053,0)</f>
      </c>
      <c r="K2053" s="179" t="str">
        <f>1-EXP(-J2053)</f>
      </c>
      <c r="L2053" s="180" t="str">
        <f>IF(G2053=30,1,M2052)</f>
      </c>
      <c r="M2053" s="181" t="str">
        <f>L2053*(1-K2053)</f>
      </c>
    </row>
    <row r="2054">
      <c r="A2054" t="s">
        <v>164</v>
      </c>
      <c r="B2054" t="s">
        <v>112</v>
      </c>
      <c r="C2054" s="32" t="s">
        <v>297</v>
      </c>
      <c r="D2054" t="s">
        <v>112</v>
      </c>
      <c r="E2054" t="s">
        <v>395</v>
      </c>
      <c r="F2054" s="174" t="n">
        <v>2050</v>
      </c>
      <c r="G2054" s="175" t="n">
        <v>42</v>
      </c>
      <c r="H2054" s="176" t="n">
        <v>3725.42436194617</v>
      </c>
      <c r="I2054" s="177" t="n">
        <v>4569838.0015835</v>
      </c>
      <c r="J2054" s="178" t="str">
        <f>IF(I2054&gt;0,H2054/I2054,0)</f>
      </c>
      <c r="K2054" s="179" t="str">
        <f>1-EXP(-J2054)</f>
      </c>
      <c r="L2054" s="180" t="str">
        <f>IF(G2054=30,1,M2053)</f>
      </c>
      <c r="M2054" s="181" t="str">
        <f>L2054*(1-K2054)</f>
      </c>
    </row>
    <row r="2055">
      <c r="A2055" t="s">
        <v>164</v>
      </c>
      <c r="B2055" t="s">
        <v>112</v>
      </c>
      <c r="C2055" s="32" t="s">
        <v>297</v>
      </c>
      <c r="D2055" t="s">
        <v>112</v>
      </c>
      <c r="E2055" t="s">
        <v>395</v>
      </c>
      <c r="F2055" s="174" t="n">
        <v>2050</v>
      </c>
      <c r="G2055" s="175" t="n">
        <v>43</v>
      </c>
      <c r="H2055" s="176" t="n">
        <v>4127.81014003623</v>
      </c>
      <c r="I2055" s="177" t="n">
        <v>4589676.5026562</v>
      </c>
      <c r="J2055" s="178" t="str">
        <f>IF(I2055&gt;0,H2055/I2055,0)</f>
      </c>
      <c r="K2055" s="179" t="str">
        <f>1-EXP(-J2055)</f>
      </c>
      <c r="L2055" s="180" t="str">
        <f>IF(G2055=30,1,M2054)</f>
      </c>
      <c r="M2055" s="181" t="str">
        <f>L2055*(1-K2055)</f>
      </c>
    </row>
    <row r="2056">
      <c r="A2056" t="s">
        <v>164</v>
      </c>
      <c r="B2056" t="s">
        <v>112</v>
      </c>
      <c r="C2056" s="32" t="s">
        <v>297</v>
      </c>
      <c r="D2056" t="s">
        <v>112</v>
      </c>
      <c r="E2056" t="s">
        <v>395</v>
      </c>
      <c r="F2056" s="174" t="n">
        <v>2050</v>
      </c>
      <c r="G2056" s="175" t="n">
        <v>44</v>
      </c>
      <c r="H2056" s="176" t="n">
        <v>4406.8133024678</v>
      </c>
      <c r="I2056" s="177" t="n">
        <v>4502203.91622468</v>
      </c>
      <c r="J2056" s="178" t="str">
        <f>IF(I2056&gt;0,H2056/I2056,0)</f>
      </c>
      <c r="K2056" s="179" t="str">
        <f>1-EXP(-J2056)</f>
      </c>
      <c r="L2056" s="180" t="str">
        <f>IF(G2056=30,1,M2055)</f>
      </c>
      <c r="M2056" s="181" t="str">
        <f>L2056*(1-K2056)</f>
      </c>
    </row>
    <row r="2057">
      <c r="A2057" t="s">
        <v>164</v>
      </c>
      <c r="B2057" t="s">
        <v>112</v>
      </c>
      <c r="C2057" s="32" t="s">
        <v>297</v>
      </c>
      <c r="D2057" t="s">
        <v>112</v>
      </c>
      <c r="E2057" t="s">
        <v>395</v>
      </c>
      <c r="F2057" s="174" t="n">
        <v>2050</v>
      </c>
      <c r="G2057" s="175" t="n">
        <v>45</v>
      </c>
      <c r="H2057" s="176" t="n">
        <v>5558.39544350913</v>
      </c>
      <c r="I2057" s="177" t="n">
        <v>4435622.7423258</v>
      </c>
      <c r="J2057" s="178" t="str">
        <f>IF(I2057&gt;0,H2057/I2057,0)</f>
      </c>
      <c r="K2057" s="179" t="str">
        <f>1-EXP(-J2057)</f>
      </c>
      <c r="L2057" s="180" t="str">
        <f>IF(G2057=30,1,M2056)</f>
      </c>
      <c r="M2057" s="181" t="str">
        <f>L2057*(1-K2057)</f>
      </c>
    </row>
    <row r="2058">
      <c r="A2058" t="s">
        <v>164</v>
      </c>
      <c r="B2058" t="s">
        <v>112</v>
      </c>
      <c r="C2058" s="32" t="s">
        <v>297</v>
      </c>
      <c r="D2058" t="s">
        <v>112</v>
      </c>
      <c r="E2058" t="s">
        <v>395</v>
      </c>
      <c r="F2058" s="174" t="n">
        <v>2050</v>
      </c>
      <c r="G2058" s="175" t="n">
        <v>46</v>
      </c>
      <c r="H2058" s="176" t="n">
        <v>6024.92652361743</v>
      </c>
      <c r="I2058" s="177" t="n">
        <v>4301496.23842215</v>
      </c>
      <c r="J2058" s="178" t="str">
        <f>IF(I2058&gt;0,H2058/I2058,0)</f>
      </c>
      <c r="K2058" s="179" t="str">
        <f>1-EXP(-J2058)</f>
      </c>
      <c r="L2058" s="180" t="str">
        <f>IF(G2058=30,1,M2057)</f>
      </c>
      <c r="M2058" s="181" t="str">
        <f>L2058*(1-K2058)</f>
      </c>
    </row>
    <row r="2059">
      <c r="A2059" t="s">
        <v>164</v>
      </c>
      <c r="B2059" t="s">
        <v>112</v>
      </c>
      <c r="C2059" s="32" t="s">
        <v>297</v>
      </c>
      <c r="D2059" t="s">
        <v>112</v>
      </c>
      <c r="E2059" t="s">
        <v>395</v>
      </c>
      <c r="F2059" s="174" t="n">
        <v>2050</v>
      </c>
      <c r="G2059" s="175" t="n">
        <v>47</v>
      </c>
      <c r="H2059" s="176" t="n">
        <v>6488.25291831655</v>
      </c>
      <c r="I2059" s="177" t="n">
        <v>4228908.41208098</v>
      </c>
      <c r="J2059" s="178" t="str">
        <f>IF(I2059&gt;0,H2059/I2059,0)</f>
      </c>
      <c r="K2059" s="179" t="str">
        <f>1-EXP(-J2059)</f>
      </c>
      <c r="L2059" s="180" t="str">
        <f>IF(G2059=30,1,M2058)</f>
      </c>
      <c r="M2059" s="181" t="str">
        <f>L2059*(1-K2059)</f>
      </c>
    </row>
    <row r="2060">
      <c r="A2060" t="s">
        <v>164</v>
      </c>
      <c r="B2060" t="s">
        <v>112</v>
      </c>
      <c r="C2060" s="32" t="s">
        <v>297</v>
      </c>
      <c r="D2060" t="s">
        <v>112</v>
      </c>
      <c r="E2060" t="s">
        <v>395</v>
      </c>
      <c r="F2060" s="174" t="n">
        <v>2050</v>
      </c>
      <c r="G2060" s="175" t="n">
        <v>48</v>
      </c>
      <c r="H2060" s="176" t="n">
        <v>7212.6039638396</v>
      </c>
      <c r="I2060" s="177" t="n">
        <v>4195433.79279948</v>
      </c>
      <c r="J2060" s="178" t="str">
        <f>IF(I2060&gt;0,H2060/I2060,0)</f>
      </c>
      <c r="K2060" s="179" t="str">
        <f>1-EXP(-J2060)</f>
      </c>
      <c r="L2060" s="180" t="str">
        <f>IF(G2060=30,1,M2059)</f>
      </c>
      <c r="M2060" s="181" t="str">
        <f>L2060*(1-K2060)</f>
      </c>
    </row>
    <row r="2061">
      <c r="A2061" t="s">
        <v>164</v>
      </c>
      <c r="B2061" t="s">
        <v>112</v>
      </c>
      <c r="C2061" s="32" t="s">
        <v>297</v>
      </c>
      <c r="D2061" t="s">
        <v>112</v>
      </c>
      <c r="E2061" t="s">
        <v>395</v>
      </c>
      <c r="F2061" s="174" t="n">
        <v>2050</v>
      </c>
      <c r="G2061" s="175" t="n">
        <v>49</v>
      </c>
      <c r="H2061" s="176" t="n">
        <v>7862.17124741128</v>
      </c>
      <c r="I2061" s="177" t="n">
        <v>4164677.5470901</v>
      </c>
      <c r="J2061" s="178" t="str">
        <f>IF(I2061&gt;0,H2061/I2061,0)</f>
      </c>
      <c r="K2061" s="179" t="str">
        <f>1-EXP(-J2061)</f>
      </c>
      <c r="L2061" s="180" t="str">
        <f>IF(G2061=30,1,M2060)</f>
      </c>
      <c r="M2061" s="181" t="str">
        <f>L2061*(1-K2061)</f>
      </c>
    </row>
    <row r="2062">
      <c r="A2062" t="s">
        <v>164</v>
      </c>
      <c r="B2062" t="s">
        <v>112</v>
      </c>
      <c r="C2062" s="32" t="s">
        <v>297</v>
      </c>
      <c r="D2062" t="s">
        <v>112</v>
      </c>
      <c r="E2062" t="s">
        <v>395</v>
      </c>
      <c r="F2062" s="174" t="n">
        <v>2050</v>
      </c>
      <c r="G2062" s="175" t="n">
        <v>50</v>
      </c>
      <c r="H2062" s="176" t="n">
        <v>8879.69204722848</v>
      </c>
      <c r="I2062" s="177" t="n">
        <v>4132395.07403566</v>
      </c>
      <c r="J2062" s="178" t="str">
        <f>IF(I2062&gt;0,H2062/I2062,0)</f>
      </c>
      <c r="K2062" s="179" t="str">
        <f>1-EXP(-J2062)</f>
      </c>
      <c r="L2062" s="180" t="str">
        <f>IF(G2062=30,1,M2061)</f>
      </c>
      <c r="M2062" s="181" t="str">
        <f>L2062*(1-K2062)</f>
      </c>
    </row>
    <row r="2063">
      <c r="A2063" t="s">
        <v>164</v>
      </c>
      <c r="B2063" t="s">
        <v>112</v>
      </c>
      <c r="C2063" s="32" t="s">
        <v>297</v>
      </c>
      <c r="D2063" t="s">
        <v>112</v>
      </c>
      <c r="E2063" t="s">
        <v>395</v>
      </c>
      <c r="F2063" s="174" t="n">
        <v>2050</v>
      </c>
      <c r="G2063" s="175" t="n">
        <v>51</v>
      </c>
      <c r="H2063" s="176" t="n">
        <v>9805.55521240284</v>
      </c>
      <c r="I2063" s="177" t="n">
        <v>4136155.25947989</v>
      </c>
      <c r="J2063" s="178" t="str">
        <f>IF(I2063&gt;0,H2063/I2063,0)</f>
      </c>
      <c r="K2063" s="179" t="str">
        <f>1-EXP(-J2063)</f>
      </c>
      <c r="L2063" s="180" t="str">
        <f>IF(G2063=30,1,M2062)</f>
      </c>
      <c r="M2063" s="181" t="str">
        <f>L2063*(1-K2063)</f>
      </c>
    </row>
    <row r="2064">
      <c r="A2064" t="s">
        <v>164</v>
      </c>
      <c r="B2064" t="s">
        <v>112</v>
      </c>
      <c r="C2064" s="32" t="s">
        <v>297</v>
      </c>
      <c r="D2064" t="s">
        <v>112</v>
      </c>
      <c r="E2064" t="s">
        <v>395</v>
      </c>
      <c r="F2064" s="174" t="n">
        <v>2050</v>
      </c>
      <c r="G2064" s="175" t="n">
        <v>52</v>
      </c>
      <c r="H2064" s="176" t="n">
        <v>10827.746993483</v>
      </c>
      <c r="I2064" s="177" t="n">
        <v>4175848.99687503</v>
      </c>
      <c r="J2064" s="178" t="str">
        <f>IF(I2064&gt;0,H2064/I2064,0)</f>
      </c>
      <c r="K2064" s="179" t="str">
        <f>1-EXP(-J2064)</f>
      </c>
      <c r="L2064" s="180" t="str">
        <f>IF(G2064=30,1,M2063)</f>
      </c>
      <c r="M2064" s="181" t="str">
        <f>L2064*(1-K2064)</f>
      </c>
    </row>
    <row r="2065">
      <c r="A2065" t="s">
        <v>164</v>
      </c>
      <c r="B2065" t="s">
        <v>112</v>
      </c>
      <c r="C2065" s="32" t="s">
        <v>297</v>
      </c>
      <c r="D2065" t="s">
        <v>112</v>
      </c>
      <c r="E2065" t="s">
        <v>395</v>
      </c>
      <c r="F2065" s="174" t="n">
        <v>2050</v>
      </c>
      <c r="G2065" s="175" t="n">
        <v>53</v>
      </c>
      <c r="H2065" s="176" t="n">
        <v>12270.4880781031</v>
      </c>
      <c r="I2065" s="177" t="n">
        <v>4284530.09872405</v>
      </c>
      <c r="J2065" s="178" t="str">
        <f>IF(I2065&gt;0,H2065/I2065,0)</f>
      </c>
      <c r="K2065" s="179" t="str">
        <f>1-EXP(-J2065)</f>
      </c>
      <c r="L2065" s="180" t="str">
        <f>IF(G2065=30,1,M2064)</f>
      </c>
      <c r="M2065" s="181" t="str">
        <f>L2065*(1-K2065)</f>
      </c>
    </row>
    <row r="2066">
      <c r="A2066" t="s">
        <v>164</v>
      </c>
      <c r="B2066" t="s">
        <v>112</v>
      </c>
      <c r="C2066" s="32" t="s">
        <v>297</v>
      </c>
      <c r="D2066" t="s">
        <v>112</v>
      </c>
      <c r="E2066" t="s">
        <v>395</v>
      </c>
      <c r="F2066" s="174" t="n">
        <v>2050</v>
      </c>
      <c r="G2066" s="175" t="n">
        <v>54</v>
      </c>
      <c r="H2066" s="176" t="n">
        <v>13150.0187837471</v>
      </c>
      <c r="I2066" s="177" t="n">
        <v>4222317.61453178</v>
      </c>
      <c r="J2066" s="178" t="str">
        <f>IF(I2066&gt;0,H2066/I2066,0)</f>
      </c>
      <c r="K2066" s="179" t="str">
        <f>1-EXP(-J2066)</f>
      </c>
      <c r="L2066" s="180" t="str">
        <f>IF(G2066=30,1,M2065)</f>
      </c>
      <c r="M2066" s="181" t="str">
        <f>L2066*(1-K2066)</f>
      </c>
    </row>
    <row r="2067">
      <c r="A2067" t="s">
        <v>164</v>
      </c>
      <c r="B2067" t="s">
        <v>112</v>
      </c>
      <c r="C2067" s="32" t="s">
        <v>297</v>
      </c>
      <c r="D2067" t="s">
        <v>112</v>
      </c>
      <c r="E2067" t="s">
        <v>395</v>
      </c>
      <c r="F2067" s="174" t="n">
        <v>2050</v>
      </c>
      <c r="G2067" s="175" t="n">
        <v>55</v>
      </c>
      <c r="H2067" s="176" t="n">
        <v>13672.2690218975</v>
      </c>
      <c r="I2067" s="177" t="n">
        <v>4130336.79110226</v>
      </c>
      <c r="J2067" s="178" t="str">
        <f>IF(I2067&gt;0,H2067/I2067,0)</f>
      </c>
      <c r="K2067" s="179" t="str">
        <f>1-EXP(-J2067)</f>
      </c>
      <c r="L2067" s="180" t="str">
        <f>IF(G2067=30,1,M2066)</f>
      </c>
      <c r="M2067" s="181" t="str">
        <f>L2067*(1-K2067)</f>
      </c>
    </row>
    <row r="2068">
      <c r="A2068" t="s">
        <v>164</v>
      </c>
      <c r="B2068" t="s">
        <v>112</v>
      </c>
      <c r="C2068" s="32" t="s">
        <v>297</v>
      </c>
      <c r="D2068" t="s">
        <v>112</v>
      </c>
      <c r="E2068" t="s">
        <v>395</v>
      </c>
      <c r="F2068" s="174" t="n">
        <v>2050</v>
      </c>
      <c r="G2068" s="175" t="n">
        <v>56</v>
      </c>
      <c r="H2068" s="176" t="n">
        <v>14581.0423169867</v>
      </c>
      <c r="I2068" s="177" t="n">
        <v>4051635.04589651</v>
      </c>
      <c r="J2068" s="178" t="str">
        <f>IF(I2068&gt;0,H2068/I2068,0)</f>
      </c>
      <c r="K2068" s="179" t="str">
        <f>1-EXP(-J2068)</f>
      </c>
      <c r="L2068" s="180" t="str">
        <f>IF(G2068=30,1,M2067)</f>
      </c>
      <c r="M2068" s="181" t="str">
        <f>L2068*(1-K2068)</f>
      </c>
    </row>
    <row r="2069">
      <c r="A2069" t="s">
        <v>164</v>
      </c>
      <c r="B2069" t="s">
        <v>112</v>
      </c>
      <c r="C2069" s="32" t="s">
        <v>297</v>
      </c>
      <c r="D2069" t="s">
        <v>112</v>
      </c>
      <c r="E2069" t="s">
        <v>395</v>
      </c>
      <c r="F2069" s="174" t="n">
        <v>2050</v>
      </c>
      <c r="G2069" s="175" t="n">
        <v>57</v>
      </c>
      <c r="H2069" s="176" t="n">
        <v>15577.6537120316</v>
      </c>
      <c r="I2069" s="177" t="n">
        <v>3974688.19132462</v>
      </c>
      <c r="J2069" s="178" t="str">
        <f>IF(I2069&gt;0,H2069/I2069,0)</f>
      </c>
      <c r="K2069" s="179" t="str">
        <f>1-EXP(-J2069)</f>
      </c>
      <c r="L2069" s="180" t="str">
        <f>IF(G2069=30,1,M2068)</f>
      </c>
      <c r="M2069" s="181" t="str">
        <f>L2069*(1-K2069)</f>
      </c>
    </row>
    <row r="2070">
      <c r="A2070" t="s">
        <v>164</v>
      </c>
      <c r="B2070" t="s">
        <v>112</v>
      </c>
      <c r="C2070" s="32" t="s">
        <v>297</v>
      </c>
      <c r="D2070" t="s">
        <v>112</v>
      </c>
      <c r="E2070" t="s">
        <v>395</v>
      </c>
      <c r="F2070" s="174" t="n">
        <v>2050</v>
      </c>
      <c r="G2070" s="175" t="n">
        <v>58</v>
      </c>
      <c r="H2070" s="176" t="n">
        <v>16997.4644202502</v>
      </c>
      <c r="I2070" s="177" t="n">
        <v>3979879.01536685</v>
      </c>
      <c r="J2070" s="178" t="str">
        <f>IF(I2070&gt;0,H2070/I2070,0)</f>
      </c>
      <c r="K2070" s="179" t="str">
        <f>1-EXP(-J2070)</f>
      </c>
      <c r="L2070" s="180" t="str">
        <f>IF(G2070=30,1,M2069)</f>
      </c>
      <c r="M2070" s="181" t="str">
        <f>L2070*(1-K2070)</f>
      </c>
    </row>
    <row r="2071">
      <c r="A2071" t="s">
        <v>164</v>
      </c>
      <c r="B2071" t="s">
        <v>112</v>
      </c>
      <c r="C2071" s="32" t="s">
        <v>297</v>
      </c>
      <c r="D2071" t="s">
        <v>112</v>
      </c>
      <c r="E2071" t="s">
        <v>395</v>
      </c>
      <c r="F2071" s="174" t="n">
        <v>2050</v>
      </c>
      <c r="G2071" s="175" t="n">
        <v>59</v>
      </c>
      <c r="H2071" s="176" t="n">
        <v>18516.6682650674</v>
      </c>
      <c r="I2071" s="177" t="n">
        <v>3963698.95468014</v>
      </c>
      <c r="J2071" s="178" t="str">
        <f>IF(I2071&gt;0,H2071/I2071,0)</f>
      </c>
      <c r="K2071" s="179" t="str">
        <f>1-EXP(-J2071)</f>
      </c>
      <c r="L2071" s="180" t="str">
        <f>IF(G2071=30,1,M2070)</f>
      </c>
      <c r="M2071" s="181" t="str">
        <f>L2071*(1-K2071)</f>
      </c>
    </row>
    <row r="2072">
      <c r="A2072" t="s">
        <v>164</v>
      </c>
      <c r="B2072" t="s">
        <v>112</v>
      </c>
      <c r="C2072" s="32" t="s">
        <v>297</v>
      </c>
      <c r="D2072" t="s">
        <v>112</v>
      </c>
      <c r="E2072" t="s">
        <v>395</v>
      </c>
      <c r="F2072" s="174" t="n">
        <v>2050</v>
      </c>
      <c r="G2072" s="175" t="n">
        <v>60</v>
      </c>
      <c r="H2072" s="176" t="n">
        <v>26743.3882603861</v>
      </c>
      <c r="I2072" s="177" t="n">
        <v>5828171.29141963</v>
      </c>
      <c r="J2072" s="178" t="str">
        <f>IF(I2072&gt;0,H2072/I2072,0)</f>
      </c>
      <c r="K2072" s="179" t="str">
        <f>1-EXP(-J2072)</f>
      </c>
      <c r="L2072" s="180" t="str">
        <f>IF(G2072=30,1,M2071)</f>
      </c>
      <c r="M2072" s="181" t="str">
        <f>L2072*(1-K2072)</f>
      </c>
    </row>
    <row r="2073">
      <c r="A2073" t="s">
        <v>164</v>
      </c>
      <c r="B2073" t="s">
        <v>112</v>
      </c>
      <c r="C2073" s="32" t="s">
        <v>297</v>
      </c>
      <c r="D2073" t="s">
        <v>112</v>
      </c>
      <c r="E2073" t="s">
        <v>395</v>
      </c>
      <c r="F2073" s="174" t="n">
        <v>2050</v>
      </c>
      <c r="G2073" s="175" t="n">
        <v>61</v>
      </c>
      <c r="H2073" s="176" t="n">
        <v>21220.5297534267</v>
      </c>
      <c r="I2073" s="177" t="n">
        <v>3852602.49834771</v>
      </c>
      <c r="J2073" s="178" t="str">
        <f>IF(I2073&gt;0,H2073/I2073,0)</f>
      </c>
      <c r="K2073" s="179" t="str">
        <f>1-EXP(-J2073)</f>
      </c>
      <c r="L2073" s="180" t="str">
        <f>IF(G2073=30,1,M2072)</f>
      </c>
      <c r="M2073" s="181" t="str">
        <f>L2073*(1-K2073)</f>
      </c>
    </row>
    <row r="2074">
      <c r="A2074" t="s">
        <v>164</v>
      </c>
      <c r="B2074" t="s">
        <v>112</v>
      </c>
      <c r="C2074" s="32" t="s">
        <v>297</v>
      </c>
      <c r="D2074" t="s">
        <v>112</v>
      </c>
      <c r="E2074" t="s">
        <v>395</v>
      </c>
      <c r="F2074" s="174" t="n">
        <v>2050</v>
      </c>
      <c r="G2074" s="175" t="n">
        <v>62</v>
      </c>
      <c r="H2074" s="176" t="n">
        <v>22967.6502486488</v>
      </c>
      <c r="I2074" s="177" t="n">
        <v>3795953.63299816</v>
      </c>
      <c r="J2074" s="178" t="str">
        <f>IF(I2074&gt;0,H2074/I2074,0)</f>
      </c>
      <c r="K2074" s="179" t="str">
        <f>1-EXP(-J2074)</f>
      </c>
      <c r="L2074" s="180" t="str">
        <f>IF(G2074=30,1,M2073)</f>
      </c>
      <c r="M2074" s="181" t="str">
        <f>L2074*(1-K2074)</f>
      </c>
    </row>
    <row r="2075">
      <c r="A2075" t="s">
        <v>164</v>
      </c>
      <c r="B2075" t="s">
        <v>112</v>
      </c>
      <c r="C2075" s="32" t="s">
        <v>297</v>
      </c>
      <c r="D2075" t="s">
        <v>112</v>
      </c>
      <c r="E2075" t="s">
        <v>395</v>
      </c>
      <c r="F2075" s="174" t="n">
        <v>2050</v>
      </c>
      <c r="G2075" s="175" t="n">
        <v>63</v>
      </c>
      <c r="H2075" s="176" t="n">
        <v>24168.5581361971</v>
      </c>
      <c r="I2075" s="177" t="n">
        <v>3635361.02615935</v>
      </c>
      <c r="J2075" s="178" t="str">
        <f>IF(I2075&gt;0,H2075/I2075,0)</f>
      </c>
      <c r="K2075" s="179" t="str">
        <f>1-EXP(-J2075)</f>
      </c>
      <c r="L2075" s="180" t="str">
        <f>IF(G2075=30,1,M2074)</f>
      </c>
      <c r="M2075" s="181" t="str">
        <f>L2075*(1-K2075)</f>
      </c>
    </row>
    <row r="2076">
      <c r="A2076" t="s">
        <v>164</v>
      </c>
      <c r="B2076" t="s">
        <v>112</v>
      </c>
      <c r="C2076" s="32" t="s">
        <v>297</v>
      </c>
      <c r="D2076" t="s">
        <v>112</v>
      </c>
      <c r="E2076" t="s">
        <v>395</v>
      </c>
      <c r="F2076" s="174" t="n">
        <v>2050</v>
      </c>
      <c r="G2076" s="175" t="n">
        <v>64</v>
      </c>
      <c r="H2076" s="176" t="n">
        <v>25962.571948759</v>
      </c>
      <c r="I2076" s="177" t="n">
        <v>3557700.12788186</v>
      </c>
      <c r="J2076" s="178" t="str">
        <f>IF(I2076&gt;0,H2076/I2076,0)</f>
      </c>
      <c r="K2076" s="179" t="str">
        <f>1-EXP(-J2076)</f>
      </c>
      <c r="L2076" s="180" t="str">
        <f>IF(G2076=30,1,M2075)</f>
      </c>
      <c r="M2076" s="181" t="str">
        <f>L2076*(1-K2076)</f>
      </c>
    </row>
    <row r="2077">
      <c r="A2077" t="s">
        <v>164</v>
      </c>
      <c r="B2077" t="s">
        <v>112</v>
      </c>
      <c r="C2077" s="32" t="s">
        <v>297</v>
      </c>
      <c r="D2077" t="s">
        <v>112</v>
      </c>
      <c r="E2077" t="s">
        <v>395</v>
      </c>
      <c r="F2077" s="174" t="n">
        <v>2050</v>
      </c>
      <c r="G2077" s="175" t="n">
        <v>65</v>
      </c>
      <c r="H2077" s="176" t="n">
        <v>27019.6871749699</v>
      </c>
      <c r="I2077" s="177" t="n">
        <v>3555702.97000628</v>
      </c>
      <c r="J2077" s="178" t="str">
        <f>IF(I2077&gt;0,H2077/I2077,0)</f>
      </c>
      <c r="K2077" s="179" t="str">
        <f>1-EXP(-J2077)</f>
      </c>
      <c r="L2077" s="180" t="str">
        <f>IF(G2077=30,1,M2076)</f>
      </c>
      <c r="M2077" s="181" t="str">
        <f>L2077*(1-K2077)</f>
      </c>
    </row>
    <row r="2078">
      <c r="A2078" t="s">
        <v>164</v>
      </c>
      <c r="B2078" t="s">
        <v>112</v>
      </c>
      <c r="C2078" s="32" t="s">
        <v>297</v>
      </c>
      <c r="D2078" t="s">
        <v>112</v>
      </c>
      <c r="E2078" t="s">
        <v>395</v>
      </c>
      <c r="F2078" s="174" t="n">
        <v>2050</v>
      </c>
      <c r="G2078" s="175" t="n">
        <v>66</v>
      </c>
      <c r="H2078" s="176" t="n">
        <v>29800.802264171</v>
      </c>
      <c r="I2078" s="177" t="n">
        <v>3569514.45734289</v>
      </c>
      <c r="J2078" s="178" t="str">
        <f>IF(I2078&gt;0,H2078/I2078,0)</f>
      </c>
      <c r="K2078" s="179" t="str">
        <f>1-EXP(-J2078)</f>
      </c>
      <c r="L2078" s="180" t="str">
        <f>IF(G2078=30,1,M2077)</f>
      </c>
      <c r="M2078" s="181" t="str">
        <f>L2078*(1-K2078)</f>
      </c>
    </row>
    <row r="2079">
      <c r="A2079" t="s">
        <v>164</v>
      </c>
      <c r="B2079" t="s">
        <v>112</v>
      </c>
      <c r="C2079" s="32" t="s">
        <v>297</v>
      </c>
      <c r="D2079" t="s">
        <v>112</v>
      </c>
      <c r="E2079" t="s">
        <v>395</v>
      </c>
      <c r="F2079" s="174" t="n">
        <v>2050</v>
      </c>
      <c r="G2079" s="175" t="n">
        <v>67</v>
      </c>
      <c r="H2079" s="176" t="n">
        <v>31986.7937253248</v>
      </c>
      <c r="I2079" s="177" t="n">
        <v>3486672.90325925</v>
      </c>
      <c r="J2079" s="178" t="str">
        <f>IF(I2079&gt;0,H2079/I2079,0)</f>
      </c>
      <c r="K2079" s="179" t="str">
        <f>1-EXP(-J2079)</f>
      </c>
      <c r="L2079" s="180" t="str">
        <f>IF(G2079=30,1,M2078)</f>
      </c>
      <c r="M2079" s="181" t="str">
        <f>L2079*(1-K2079)</f>
      </c>
    </row>
    <row r="2080">
      <c r="A2080" t="s">
        <v>164</v>
      </c>
      <c r="B2080" t="s">
        <v>112</v>
      </c>
      <c r="C2080" s="32" t="s">
        <v>297</v>
      </c>
      <c r="D2080" t="s">
        <v>112</v>
      </c>
      <c r="E2080" t="s">
        <v>395</v>
      </c>
      <c r="F2080" s="174" t="n">
        <v>2050</v>
      </c>
      <c r="G2080" s="175" t="n">
        <v>68</v>
      </c>
      <c r="H2080" s="176" t="n">
        <v>33404.7712267034</v>
      </c>
      <c r="I2080" s="177" t="n">
        <v>3309071.99723459</v>
      </c>
      <c r="J2080" s="178" t="str">
        <f>IF(I2080&gt;0,H2080/I2080,0)</f>
      </c>
      <c r="K2080" s="179" t="str">
        <f>1-EXP(-J2080)</f>
      </c>
      <c r="L2080" s="180" t="str">
        <f>IF(G2080=30,1,M2079)</f>
      </c>
      <c r="M2080" s="181" t="str">
        <f>L2080*(1-K2080)</f>
      </c>
    </row>
    <row r="2081">
      <c r="A2081" t="s">
        <v>164</v>
      </c>
      <c r="B2081" t="s">
        <v>112</v>
      </c>
      <c r="C2081" s="32" t="s">
        <v>297</v>
      </c>
      <c r="D2081" t="s">
        <v>112</v>
      </c>
      <c r="E2081" t="s">
        <v>395</v>
      </c>
      <c r="F2081" s="174" t="n">
        <v>2050</v>
      </c>
      <c r="G2081" s="175" t="n">
        <v>69</v>
      </c>
      <c r="H2081" s="176" t="n">
        <v>35334.4673836199</v>
      </c>
      <c r="I2081" s="177" t="n">
        <v>3180308.89407865</v>
      </c>
      <c r="J2081" s="178" t="str">
        <f>IF(I2081&gt;0,H2081/I2081,0)</f>
      </c>
      <c r="K2081" s="179" t="str">
        <f>1-EXP(-J2081)</f>
      </c>
      <c r="L2081" s="180" t="str">
        <f>IF(G2081=30,1,M2080)</f>
      </c>
      <c r="M2081" s="181" t="str">
        <f>L2081*(1-K2081)</f>
      </c>
    </row>
  </sheetData>
  <autoFilter ref="A1:M1"/>
  <pageMargins left="0.7" right="0.7" top="0.75" bottom="0.75" header="0.3" footer="0.3"/>
  <pageSetup paperSize="9" orientation="portrait" horizontalDpi="300" verticalDpi="300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2.71" hidden="0" customWidth="1"/>
    <col min="2" max="2" width="12.71" hidden="0" customWidth="1"/>
    <col min="3" max="3" width="16.71" hidden="0" customWidth="1"/>
    <col min="4" max="4" width="21.71" hidden="0" customWidth="1"/>
    <col min="5" max="5" width="15.71" hidden="0" customWidth="1"/>
    <col min="6" max="6" width="19.71" hidden="0" customWidth="1"/>
    <col min="7" max="7" width="21.71" hidden="0" customWidth="1"/>
    <col min="8" max="8" width="12.71" hidden="0" customWidth="1"/>
    <col min="9" max="9" width="12.71" hidden="0" customWidth="1"/>
    <col min="10" max="10" width="20.71" hidden="0" customWidth="1"/>
    <col min="11" max="11" width="23.71" hidden="0" customWidth="1"/>
    <col min="12" max="12" width="19.71" hidden="0" customWidth="1"/>
    <col min="13" max="13" width="13.71" hidden="0" customWidth="1"/>
    <col min="14" max="14" width="14.71" hidden="0" customWidth="1"/>
  </cols>
  <sheetData>
    <row r="1" ht="28" customHeight="1">
      <c r="A1" s="1" t="s">
        <v>387</v>
      </c>
      <c r="B1" s="1" t="s">
        <v>285</v>
      </c>
      <c r="C1" s="1" t="s">
        <v>286</v>
      </c>
      <c r="D1" s="1" t="s">
        <v>367</v>
      </c>
      <c r="E1" s="1" t="s">
        <v>396</v>
      </c>
      <c r="F1" s="1" t="s">
        <v>397</v>
      </c>
      <c r="G1" s="1" t="s">
        <v>388</v>
      </c>
      <c r="H1" s="1" t="s">
        <v>42</v>
      </c>
      <c r="I1" s="1" t="s">
        <v>398</v>
      </c>
      <c r="J1" s="1" t="s">
        <v>399</v>
      </c>
      <c r="K1" s="1" t="s">
        <v>400</v>
      </c>
      <c r="L1" s="1" t="s">
        <v>401</v>
      </c>
      <c r="M1" s="1" t="s">
        <v>402</v>
      </c>
      <c r="N1" s="1" t="s">
        <v>403</v>
      </c>
    </row>
    <row r="2">
      <c r="A2" t="s">
        <v>164</v>
      </c>
      <c r="B2" t="s">
        <v>115</v>
      </c>
      <c r="C2" s="32" t="s">
        <v>294</v>
      </c>
      <c r="D2" t="s">
        <v>378</v>
      </c>
      <c r="E2" t="s">
        <v>379</v>
      </c>
      <c r="F2"/>
      <c r="G2" t="s">
        <v>395</v>
      </c>
      <c r="H2" s="182" t="n">
        <v>2025</v>
      </c>
      <c r="I2" s="183" t="str">
        <f>100*(1-(SUMIFS('CVD_40q30_Age'!$M$2:$M$2081,'CVD_40q30_Age'!$A$2:$A$2081,A2,'CVD_40q30_Age'!$B$2:$B$2081,B2,'CVD_40q30_Age'!$E$2:$E$2081,G2,'CVD_40q30_Age'!$F$2:$F$2081,H2,'CVD_40q30_Age'!$G$2:$G$2081,69))/(SUMIFS('CVD_40q30_Age'!$L$2:$L$2081,'CVD_40q30_Age'!$A$2:$A$2081,A2,'CVD_40q30_Age'!$B$2:$B$2081,B2,'CVD_40q30_Age'!$E$2:$E$2081,G2,'CVD_40q30_Age'!$F$2:$F$2081,H2,'CVD_40q30_Age'!$G$2:$G$2081,30)))</f>
      </c>
      <c r="J2" s="184" t="str">
        <f>SUMIFS($I$2:$I$53,$A$2:$A$53,A2,$G$2:$G$53,G2,$H$2:$H$53,H2,$B$2:$B$53,"baseline")</f>
      </c>
      <c r="K2" s="185" t="str">
        <f>J2-I2</f>
      </c>
      <c r="L2" s="186" t="str">
        <f>IF(J2=0,"",100*(J2-I2)/J2)</f>
      </c>
      <c r="M2" s="187" t="n">
        <v>14.5948626930222</v>
      </c>
      <c r="N2" s="34" t="str">
        <f>IF(ABS(I2-M2)&lt;=0.001,"match","mismatch")</f>
      </c>
    </row>
    <row r="3">
      <c r="A3" t="s">
        <v>164</v>
      </c>
      <c r="B3" t="s">
        <v>115</v>
      </c>
      <c r="C3" s="32" t="s">
        <v>294</v>
      </c>
      <c r="D3" t="s">
        <v>378</v>
      </c>
      <c r="E3" t="s">
        <v>379</v>
      </c>
      <c r="F3"/>
      <c r="G3" t="s">
        <v>395</v>
      </c>
      <c r="H3" s="182" t="n">
        <v>2026</v>
      </c>
      <c r="I3" s="183" t="str">
        <f>100*(1-(SUMIFS('CVD_40q30_Age'!$M$2:$M$2081,'CVD_40q30_Age'!$A$2:$A$2081,A3,'CVD_40q30_Age'!$B$2:$B$2081,B3,'CVD_40q30_Age'!$E$2:$E$2081,G3,'CVD_40q30_Age'!$F$2:$F$2081,H3,'CVD_40q30_Age'!$G$2:$G$2081,69))/(SUMIFS('CVD_40q30_Age'!$L$2:$L$2081,'CVD_40q30_Age'!$A$2:$A$2081,A3,'CVD_40q30_Age'!$B$2:$B$2081,B3,'CVD_40q30_Age'!$E$2:$E$2081,G3,'CVD_40q30_Age'!$F$2:$F$2081,H3,'CVD_40q30_Age'!$G$2:$G$2081,30)))</f>
      </c>
      <c r="J3" s="184" t="str">
        <f>SUMIFS($I$2:$I$53,$A$2:$A$53,A3,$G$2:$G$53,G3,$H$2:$H$53,H3,$B$2:$B$53,"baseline")</f>
      </c>
      <c r="K3" s="185" t="str">
        <f>J3-I3</f>
      </c>
      <c r="L3" s="186" t="str">
        <f>IF(J3=0,"",100*(J3-I3)/J3)</f>
      </c>
      <c r="M3" s="187" t="n">
        <v>14.5199429743748</v>
      </c>
      <c r="N3" s="34" t="str">
        <f>IF(ABS(I3-M3)&lt;=0.001,"match","mismatch")</f>
      </c>
    </row>
    <row r="4">
      <c r="A4" t="s">
        <v>164</v>
      </c>
      <c r="B4" t="s">
        <v>115</v>
      </c>
      <c r="C4" s="32" t="s">
        <v>294</v>
      </c>
      <c r="D4" t="s">
        <v>378</v>
      </c>
      <c r="E4" t="s">
        <v>379</v>
      </c>
      <c r="F4"/>
      <c r="G4" t="s">
        <v>395</v>
      </c>
      <c r="H4" s="182" t="n">
        <v>2027</v>
      </c>
      <c r="I4" s="183" t="str">
        <f>100*(1-(SUMIFS('CVD_40q30_Age'!$M$2:$M$2081,'CVD_40q30_Age'!$A$2:$A$2081,A4,'CVD_40q30_Age'!$B$2:$B$2081,B4,'CVD_40q30_Age'!$E$2:$E$2081,G4,'CVD_40q30_Age'!$F$2:$F$2081,H4,'CVD_40q30_Age'!$G$2:$G$2081,69))/(SUMIFS('CVD_40q30_Age'!$L$2:$L$2081,'CVD_40q30_Age'!$A$2:$A$2081,A4,'CVD_40q30_Age'!$B$2:$B$2081,B4,'CVD_40q30_Age'!$E$2:$E$2081,G4,'CVD_40q30_Age'!$F$2:$F$2081,H4,'CVD_40q30_Age'!$G$2:$G$2081,30)))</f>
      </c>
      <c r="J4" s="184" t="str">
        <f>SUMIFS($I$2:$I$53,$A$2:$A$53,A4,$G$2:$G$53,G4,$H$2:$H$53,H4,$B$2:$B$53,"baseline")</f>
      </c>
      <c r="K4" s="185" t="str">
        <f>J4-I4</f>
      </c>
      <c r="L4" s="186" t="str">
        <f>IF(J4=0,"",100*(J4-I4)/J4)</f>
      </c>
      <c r="M4" s="187" t="n">
        <v>14.4296233029507</v>
      </c>
      <c r="N4" s="34" t="str">
        <f>IF(ABS(I4-M4)&lt;=0.001,"match","mismatch")</f>
      </c>
    </row>
    <row r="5">
      <c r="A5" t="s">
        <v>164</v>
      </c>
      <c r="B5" t="s">
        <v>115</v>
      </c>
      <c r="C5" s="32" t="s">
        <v>294</v>
      </c>
      <c r="D5" t="s">
        <v>378</v>
      </c>
      <c r="E5" t="s">
        <v>379</v>
      </c>
      <c r="F5"/>
      <c r="G5" t="s">
        <v>395</v>
      </c>
      <c r="H5" s="182" t="n">
        <v>2028</v>
      </c>
      <c r="I5" s="183" t="str">
        <f>100*(1-(SUMIFS('CVD_40q30_Age'!$M$2:$M$2081,'CVD_40q30_Age'!$A$2:$A$2081,A5,'CVD_40q30_Age'!$B$2:$B$2081,B5,'CVD_40q30_Age'!$E$2:$E$2081,G5,'CVD_40q30_Age'!$F$2:$F$2081,H5,'CVD_40q30_Age'!$G$2:$G$2081,69))/(SUMIFS('CVD_40q30_Age'!$L$2:$L$2081,'CVD_40q30_Age'!$A$2:$A$2081,A5,'CVD_40q30_Age'!$B$2:$B$2081,B5,'CVD_40q30_Age'!$E$2:$E$2081,G5,'CVD_40q30_Age'!$F$2:$F$2081,H5,'CVD_40q30_Age'!$G$2:$G$2081,30)))</f>
      </c>
      <c r="J5" s="184" t="str">
        <f>SUMIFS($I$2:$I$53,$A$2:$A$53,A5,$G$2:$G$53,G5,$H$2:$H$53,H5,$B$2:$B$53,"baseline")</f>
      </c>
      <c r="K5" s="185" t="str">
        <f>J5-I5</f>
      </c>
      <c r="L5" s="186" t="str">
        <f>IF(J5=0,"",100*(J5-I5)/J5)</f>
      </c>
      <c r="M5" s="187" t="n">
        <v>14.3353915032835</v>
      </c>
      <c r="N5" s="34" t="str">
        <f>IF(ABS(I5-M5)&lt;=0.001,"match","mismatch")</f>
      </c>
    </row>
    <row r="6">
      <c r="A6" t="s">
        <v>164</v>
      </c>
      <c r="B6" t="s">
        <v>115</v>
      </c>
      <c r="C6" s="32" t="s">
        <v>294</v>
      </c>
      <c r="D6" t="s">
        <v>378</v>
      </c>
      <c r="E6" t="s">
        <v>379</v>
      </c>
      <c r="F6"/>
      <c r="G6" t="s">
        <v>395</v>
      </c>
      <c r="H6" s="182" t="n">
        <v>2029</v>
      </c>
      <c r="I6" s="183" t="str">
        <f>100*(1-(SUMIFS('CVD_40q30_Age'!$M$2:$M$2081,'CVD_40q30_Age'!$A$2:$A$2081,A6,'CVD_40q30_Age'!$B$2:$B$2081,B6,'CVD_40q30_Age'!$E$2:$E$2081,G6,'CVD_40q30_Age'!$F$2:$F$2081,H6,'CVD_40q30_Age'!$G$2:$G$2081,69))/(SUMIFS('CVD_40q30_Age'!$L$2:$L$2081,'CVD_40q30_Age'!$A$2:$A$2081,A6,'CVD_40q30_Age'!$B$2:$B$2081,B6,'CVD_40q30_Age'!$E$2:$E$2081,G6,'CVD_40q30_Age'!$F$2:$F$2081,H6,'CVD_40q30_Age'!$G$2:$G$2081,30)))</f>
      </c>
      <c r="J6" s="184" t="str">
        <f>SUMIFS($I$2:$I$53,$A$2:$A$53,A6,$G$2:$G$53,G6,$H$2:$H$53,H6,$B$2:$B$53,"baseline")</f>
      </c>
      <c r="K6" s="185" t="str">
        <f>J6-I6</f>
      </c>
      <c r="L6" s="186" t="str">
        <f>IF(J6=0,"",100*(J6-I6)/J6)</f>
      </c>
      <c r="M6" s="187" t="n">
        <v>14.2467577478904</v>
      </c>
      <c r="N6" s="34" t="str">
        <f>IF(ABS(I6-M6)&lt;=0.001,"match","mismatch")</f>
      </c>
    </row>
    <row r="7">
      <c r="A7" t="s">
        <v>164</v>
      </c>
      <c r="B7" t="s">
        <v>115</v>
      </c>
      <c r="C7" s="32" t="s">
        <v>294</v>
      </c>
      <c r="D7" t="s">
        <v>378</v>
      </c>
      <c r="E7" t="s">
        <v>379</v>
      </c>
      <c r="F7"/>
      <c r="G7" t="s">
        <v>395</v>
      </c>
      <c r="H7" s="182" t="n">
        <v>2030</v>
      </c>
      <c r="I7" s="183" t="str">
        <f>100*(1-(SUMIFS('CVD_40q30_Age'!$M$2:$M$2081,'CVD_40q30_Age'!$A$2:$A$2081,A7,'CVD_40q30_Age'!$B$2:$B$2081,B7,'CVD_40q30_Age'!$E$2:$E$2081,G7,'CVD_40q30_Age'!$F$2:$F$2081,H7,'CVD_40q30_Age'!$G$2:$G$2081,69))/(SUMIFS('CVD_40q30_Age'!$L$2:$L$2081,'CVD_40q30_Age'!$A$2:$A$2081,A7,'CVD_40q30_Age'!$B$2:$B$2081,B7,'CVD_40q30_Age'!$E$2:$E$2081,G7,'CVD_40q30_Age'!$F$2:$F$2081,H7,'CVD_40q30_Age'!$G$2:$G$2081,30)))</f>
      </c>
      <c r="J7" s="184" t="str">
        <f>SUMIFS($I$2:$I$53,$A$2:$A$53,A7,$G$2:$G$53,G7,$H$2:$H$53,H7,$B$2:$B$53,"baseline")</f>
      </c>
      <c r="K7" s="185" t="str">
        <f>J7-I7</f>
      </c>
      <c r="L7" s="186" t="str">
        <f>IF(J7=0,"",100*(J7-I7)/J7)</f>
      </c>
      <c r="M7" s="187" t="n">
        <v>14.1474388165392</v>
      </c>
      <c r="N7" s="34" t="str">
        <f>IF(ABS(I7-M7)&lt;=0.001,"match","mismatch")</f>
      </c>
    </row>
    <row r="8">
      <c r="A8" t="s">
        <v>164</v>
      </c>
      <c r="B8" t="s">
        <v>115</v>
      </c>
      <c r="C8" s="32" t="s">
        <v>294</v>
      </c>
      <c r="D8" t="s">
        <v>378</v>
      </c>
      <c r="E8" t="s">
        <v>379</v>
      </c>
      <c r="F8"/>
      <c r="G8" t="s">
        <v>395</v>
      </c>
      <c r="H8" s="182" t="n">
        <v>2031</v>
      </c>
      <c r="I8" s="183" t="str">
        <f>100*(1-(SUMIFS('CVD_40q30_Age'!$M$2:$M$2081,'CVD_40q30_Age'!$A$2:$A$2081,A8,'CVD_40q30_Age'!$B$2:$B$2081,B8,'CVD_40q30_Age'!$E$2:$E$2081,G8,'CVD_40q30_Age'!$F$2:$F$2081,H8,'CVD_40q30_Age'!$G$2:$G$2081,69))/(SUMIFS('CVD_40q30_Age'!$L$2:$L$2081,'CVD_40q30_Age'!$A$2:$A$2081,A8,'CVD_40q30_Age'!$B$2:$B$2081,B8,'CVD_40q30_Age'!$E$2:$E$2081,G8,'CVD_40q30_Age'!$F$2:$F$2081,H8,'CVD_40q30_Age'!$G$2:$G$2081,30)))</f>
      </c>
      <c r="J8" s="184" t="str">
        <f>SUMIFS($I$2:$I$53,$A$2:$A$53,A8,$G$2:$G$53,G8,$H$2:$H$53,H8,$B$2:$B$53,"baseline")</f>
      </c>
      <c r="K8" s="185" t="str">
        <f>J8-I8</f>
      </c>
      <c r="L8" s="186" t="str">
        <f>IF(J8=0,"",100*(J8-I8)/J8)</f>
      </c>
      <c r="M8" s="187" t="n">
        <v>14.019869928305</v>
      </c>
      <c r="N8" s="34" t="str">
        <f>IF(ABS(I8-M8)&lt;=0.001,"match","mismatch")</f>
      </c>
    </row>
    <row r="9">
      <c r="A9" t="s">
        <v>164</v>
      </c>
      <c r="B9" t="s">
        <v>115</v>
      </c>
      <c r="C9" s="32" t="s">
        <v>294</v>
      </c>
      <c r="D9" t="s">
        <v>378</v>
      </c>
      <c r="E9" t="s">
        <v>379</v>
      </c>
      <c r="F9"/>
      <c r="G9" t="s">
        <v>395</v>
      </c>
      <c r="H9" s="182" t="n">
        <v>2032</v>
      </c>
      <c r="I9" s="183" t="str">
        <f>100*(1-(SUMIFS('CVD_40q30_Age'!$M$2:$M$2081,'CVD_40q30_Age'!$A$2:$A$2081,A9,'CVD_40q30_Age'!$B$2:$B$2081,B9,'CVD_40q30_Age'!$E$2:$E$2081,G9,'CVD_40q30_Age'!$F$2:$F$2081,H9,'CVD_40q30_Age'!$G$2:$G$2081,69))/(SUMIFS('CVD_40q30_Age'!$L$2:$L$2081,'CVD_40q30_Age'!$A$2:$A$2081,A9,'CVD_40q30_Age'!$B$2:$B$2081,B9,'CVD_40q30_Age'!$E$2:$E$2081,G9,'CVD_40q30_Age'!$F$2:$F$2081,H9,'CVD_40q30_Age'!$G$2:$G$2081,30)))</f>
      </c>
      <c r="J9" s="184" t="str">
        <f>SUMIFS($I$2:$I$53,$A$2:$A$53,A9,$G$2:$G$53,G9,$H$2:$H$53,H9,$B$2:$B$53,"baseline")</f>
      </c>
      <c r="K9" s="185" t="str">
        <f>J9-I9</f>
      </c>
      <c r="L9" s="186" t="str">
        <f>IF(J9=0,"",100*(J9-I9)/J9)</f>
      </c>
      <c r="M9" s="187" t="n">
        <v>13.8610311131116</v>
      </c>
      <c r="N9" s="34" t="str">
        <f>IF(ABS(I9-M9)&lt;=0.001,"match","mismatch")</f>
      </c>
    </row>
    <row r="10">
      <c r="A10" t="s">
        <v>164</v>
      </c>
      <c r="B10" t="s">
        <v>115</v>
      </c>
      <c r="C10" s="32" t="s">
        <v>294</v>
      </c>
      <c r="D10" t="s">
        <v>378</v>
      </c>
      <c r="E10" t="s">
        <v>379</v>
      </c>
      <c r="F10"/>
      <c r="G10" t="s">
        <v>395</v>
      </c>
      <c r="H10" s="182" t="n">
        <v>2033</v>
      </c>
      <c r="I10" s="183" t="str">
        <f>100*(1-(SUMIFS('CVD_40q30_Age'!$M$2:$M$2081,'CVD_40q30_Age'!$A$2:$A$2081,A10,'CVD_40q30_Age'!$B$2:$B$2081,B10,'CVD_40q30_Age'!$E$2:$E$2081,G10,'CVD_40q30_Age'!$F$2:$F$2081,H10,'CVD_40q30_Age'!$G$2:$G$2081,69))/(SUMIFS('CVD_40q30_Age'!$L$2:$L$2081,'CVD_40q30_Age'!$A$2:$A$2081,A10,'CVD_40q30_Age'!$B$2:$B$2081,B10,'CVD_40q30_Age'!$E$2:$E$2081,G10,'CVD_40q30_Age'!$F$2:$F$2081,H10,'CVD_40q30_Age'!$G$2:$G$2081,30)))</f>
      </c>
      <c r="J10" s="184" t="str">
        <f>SUMIFS($I$2:$I$53,$A$2:$A$53,A10,$G$2:$G$53,G10,$H$2:$H$53,H10,$B$2:$B$53,"baseline")</f>
      </c>
      <c r="K10" s="185" t="str">
        <f>J10-I10</f>
      </c>
      <c r="L10" s="186" t="str">
        <f>IF(J10=0,"",100*(J10-I10)/J10)</f>
      </c>
      <c r="M10" s="187" t="n">
        <v>13.6740045013431</v>
      </c>
      <c r="N10" s="34" t="str">
        <f>IF(ABS(I10-M10)&lt;=0.001,"match","mismatch")</f>
      </c>
    </row>
    <row r="11">
      <c r="A11" t="s">
        <v>164</v>
      </c>
      <c r="B11" t="s">
        <v>115</v>
      </c>
      <c r="C11" s="32" t="s">
        <v>294</v>
      </c>
      <c r="D11" t="s">
        <v>378</v>
      </c>
      <c r="E11" t="s">
        <v>379</v>
      </c>
      <c r="F11"/>
      <c r="G11" t="s">
        <v>395</v>
      </c>
      <c r="H11" s="182" t="n">
        <v>2034</v>
      </c>
      <c r="I11" s="183" t="str">
        <f>100*(1-(SUMIFS('CVD_40q30_Age'!$M$2:$M$2081,'CVD_40q30_Age'!$A$2:$A$2081,A11,'CVD_40q30_Age'!$B$2:$B$2081,B11,'CVD_40q30_Age'!$E$2:$E$2081,G11,'CVD_40q30_Age'!$F$2:$F$2081,H11,'CVD_40q30_Age'!$G$2:$G$2081,69))/(SUMIFS('CVD_40q30_Age'!$L$2:$L$2081,'CVD_40q30_Age'!$A$2:$A$2081,A11,'CVD_40q30_Age'!$B$2:$B$2081,B11,'CVD_40q30_Age'!$E$2:$E$2081,G11,'CVD_40q30_Age'!$F$2:$F$2081,H11,'CVD_40q30_Age'!$G$2:$G$2081,30)))</f>
      </c>
      <c r="J11" s="184" t="str">
        <f>SUMIFS($I$2:$I$53,$A$2:$A$53,A11,$G$2:$G$53,G11,$H$2:$H$53,H11,$B$2:$B$53,"baseline")</f>
      </c>
      <c r="K11" s="185" t="str">
        <f>J11-I11</f>
      </c>
      <c r="L11" s="186" t="str">
        <f>IF(J11=0,"",100*(J11-I11)/J11)</f>
      </c>
      <c r="M11" s="187" t="n">
        <v>13.4800613707215</v>
      </c>
      <c r="N11" s="34" t="str">
        <f>IF(ABS(I11-M11)&lt;=0.001,"match","mismatch")</f>
      </c>
    </row>
    <row r="12">
      <c r="A12" t="s">
        <v>164</v>
      </c>
      <c r="B12" t="s">
        <v>115</v>
      </c>
      <c r="C12" s="32" t="s">
        <v>294</v>
      </c>
      <c r="D12" t="s">
        <v>378</v>
      </c>
      <c r="E12" t="s">
        <v>379</v>
      </c>
      <c r="F12"/>
      <c r="G12" t="s">
        <v>395</v>
      </c>
      <c r="H12" s="182" t="n">
        <v>2035</v>
      </c>
      <c r="I12" s="183" t="str">
        <f>100*(1-(SUMIFS('CVD_40q30_Age'!$M$2:$M$2081,'CVD_40q30_Age'!$A$2:$A$2081,A12,'CVD_40q30_Age'!$B$2:$B$2081,B12,'CVD_40q30_Age'!$E$2:$E$2081,G12,'CVD_40q30_Age'!$F$2:$F$2081,H12,'CVD_40q30_Age'!$G$2:$G$2081,69))/(SUMIFS('CVD_40q30_Age'!$L$2:$L$2081,'CVD_40q30_Age'!$A$2:$A$2081,A12,'CVD_40q30_Age'!$B$2:$B$2081,B12,'CVD_40q30_Age'!$E$2:$E$2081,G12,'CVD_40q30_Age'!$F$2:$F$2081,H12,'CVD_40q30_Age'!$G$2:$G$2081,30)))</f>
      </c>
      <c r="J12" s="184" t="str">
        <f>SUMIFS($I$2:$I$53,$A$2:$A$53,A12,$G$2:$G$53,G12,$H$2:$H$53,H12,$B$2:$B$53,"baseline")</f>
      </c>
      <c r="K12" s="185" t="str">
        <f>J12-I12</f>
      </c>
      <c r="L12" s="186" t="str">
        <f>IF(J12=0,"",100*(J12-I12)/J12)</f>
      </c>
      <c r="M12" s="187" t="n">
        <v>13.2682011927722</v>
      </c>
      <c r="N12" s="34" t="str">
        <f>IF(ABS(I12-M12)&lt;=0.001,"match","mismatch")</f>
      </c>
    </row>
    <row r="13">
      <c r="A13" t="s">
        <v>164</v>
      </c>
      <c r="B13" t="s">
        <v>115</v>
      </c>
      <c r="C13" s="32" t="s">
        <v>294</v>
      </c>
      <c r="D13" t="s">
        <v>378</v>
      </c>
      <c r="E13" t="s">
        <v>379</v>
      </c>
      <c r="F13"/>
      <c r="G13" t="s">
        <v>395</v>
      </c>
      <c r="H13" s="182" t="n">
        <v>2036</v>
      </c>
      <c r="I13" s="183" t="str">
        <f>100*(1-(SUMIFS('CVD_40q30_Age'!$M$2:$M$2081,'CVD_40q30_Age'!$A$2:$A$2081,A13,'CVD_40q30_Age'!$B$2:$B$2081,B13,'CVD_40q30_Age'!$E$2:$E$2081,G13,'CVD_40q30_Age'!$F$2:$F$2081,H13,'CVD_40q30_Age'!$G$2:$G$2081,69))/(SUMIFS('CVD_40q30_Age'!$L$2:$L$2081,'CVD_40q30_Age'!$A$2:$A$2081,A13,'CVD_40q30_Age'!$B$2:$B$2081,B13,'CVD_40q30_Age'!$E$2:$E$2081,G13,'CVD_40q30_Age'!$F$2:$F$2081,H13,'CVD_40q30_Age'!$G$2:$G$2081,30)))</f>
      </c>
      <c r="J13" s="184" t="str">
        <f>SUMIFS($I$2:$I$53,$A$2:$A$53,A13,$G$2:$G$53,G13,$H$2:$H$53,H13,$B$2:$B$53,"baseline")</f>
      </c>
      <c r="K13" s="185" t="str">
        <f>J13-I13</f>
      </c>
      <c r="L13" s="186" t="str">
        <f>IF(J13=0,"",100*(J13-I13)/J13)</f>
      </c>
      <c r="M13" s="187" t="n">
        <v>13.0553264589144</v>
      </c>
      <c r="N13" s="34" t="str">
        <f>IF(ABS(I13-M13)&lt;=0.001,"match","mismatch")</f>
      </c>
    </row>
    <row r="14">
      <c r="A14" t="s">
        <v>164</v>
      </c>
      <c r="B14" t="s">
        <v>115</v>
      </c>
      <c r="C14" s="32" t="s">
        <v>294</v>
      </c>
      <c r="D14" t="s">
        <v>378</v>
      </c>
      <c r="E14" t="s">
        <v>379</v>
      </c>
      <c r="F14"/>
      <c r="G14" t="s">
        <v>395</v>
      </c>
      <c r="H14" s="182" t="n">
        <v>2037</v>
      </c>
      <c r="I14" s="183" t="str">
        <f>100*(1-(SUMIFS('CVD_40q30_Age'!$M$2:$M$2081,'CVD_40q30_Age'!$A$2:$A$2081,A14,'CVD_40q30_Age'!$B$2:$B$2081,B14,'CVD_40q30_Age'!$E$2:$E$2081,G14,'CVD_40q30_Age'!$F$2:$F$2081,H14,'CVD_40q30_Age'!$G$2:$G$2081,69))/(SUMIFS('CVD_40q30_Age'!$L$2:$L$2081,'CVD_40q30_Age'!$A$2:$A$2081,A14,'CVD_40q30_Age'!$B$2:$B$2081,B14,'CVD_40q30_Age'!$E$2:$E$2081,G14,'CVD_40q30_Age'!$F$2:$F$2081,H14,'CVD_40q30_Age'!$G$2:$G$2081,30)))</f>
      </c>
      <c r="J14" s="184" t="str">
        <f>SUMIFS($I$2:$I$53,$A$2:$A$53,A14,$G$2:$G$53,G14,$H$2:$H$53,H14,$B$2:$B$53,"baseline")</f>
      </c>
      <c r="K14" s="185" t="str">
        <f>J14-I14</f>
      </c>
      <c r="L14" s="186" t="str">
        <f>IF(J14=0,"",100*(J14-I14)/J14)</f>
      </c>
      <c r="M14" s="187" t="n">
        <v>12.8337125241487</v>
      </c>
      <c r="N14" s="34" t="str">
        <f>IF(ABS(I14-M14)&lt;=0.001,"match","mismatch")</f>
      </c>
    </row>
    <row r="15">
      <c r="A15" t="s">
        <v>164</v>
      </c>
      <c r="B15" t="s">
        <v>115</v>
      </c>
      <c r="C15" s="32" t="s">
        <v>294</v>
      </c>
      <c r="D15" t="s">
        <v>378</v>
      </c>
      <c r="E15" t="s">
        <v>379</v>
      </c>
      <c r="F15"/>
      <c r="G15" t="s">
        <v>395</v>
      </c>
      <c r="H15" s="182" t="n">
        <v>2038</v>
      </c>
      <c r="I15" s="183" t="str">
        <f>100*(1-(SUMIFS('CVD_40q30_Age'!$M$2:$M$2081,'CVD_40q30_Age'!$A$2:$A$2081,A15,'CVD_40q30_Age'!$B$2:$B$2081,B15,'CVD_40q30_Age'!$E$2:$E$2081,G15,'CVD_40q30_Age'!$F$2:$F$2081,H15,'CVD_40q30_Age'!$G$2:$G$2081,69))/(SUMIFS('CVD_40q30_Age'!$L$2:$L$2081,'CVD_40q30_Age'!$A$2:$A$2081,A15,'CVD_40q30_Age'!$B$2:$B$2081,B15,'CVD_40q30_Age'!$E$2:$E$2081,G15,'CVD_40q30_Age'!$F$2:$F$2081,H15,'CVD_40q30_Age'!$G$2:$G$2081,30)))</f>
      </c>
      <c r="J15" s="184" t="str">
        <f>SUMIFS($I$2:$I$53,$A$2:$A$53,A15,$G$2:$G$53,G15,$H$2:$H$53,H15,$B$2:$B$53,"baseline")</f>
      </c>
      <c r="K15" s="185" t="str">
        <f>J15-I15</f>
      </c>
      <c r="L15" s="186" t="str">
        <f>IF(J15=0,"",100*(J15-I15)/J15)</f>
      </c>
      <c r="M15" s="187" t="n">
        <v>12.6035758797036</v>
      </c>
      <c r="N15" s="34" t="str">
        <f>IF(ABS(I15-M15)&lt;=0.001,"match","mismatch")</f>
      </c>
    </row>
    <row r="16">
      <c r="A16" t="s">
        <v>164</v>
      </c>
      <c r="B16" t="s">
        <v>115</v>
      </c>
      <c r="C16" s="32" t="s">
        <v>294</v>
      </c>
      <c r="D16" t="s">
        <v>378</v>
      </c>
      <c r="E16" t="s">
        <v>379</v>
      </c>
      <c r="F16"/>
      <c r="G16" t="s">
        <v>395</v>
      </c>
      <c r="H16" s="182" t="n">
        <v>2039</v>
      </c>
      <c r="I16" s="183" t="str">
        <f>100*(1-(SUMIFS('CVD_40q30_Age'!$M$2:$M$2081,'CVD_40q30_Age'!$A$2:$A$2081,A16,'CVD_40q30_Age'!$B$2:$B$2081,B16,'CVD_40q30_Age'!$E$2:$E$2081,G16,'CVD_40q30_Age'!$F$2:$F$2081,H16,'CVD_40q30_Age'!$G$2:$G$2081,69))/(SUMIFS('CVD_40q30_Age'!$L$2:$L$2081,'CVD_40q30_Age'!$A$2:$A$2081,A16,'CVD_40q30_Age'!$B$2:$B$2081,B16,'CVD_40q30_Age'!$E$2:$E$2081,G16,'CVD_40q30_Age'!$F$2:$F$2081,H16,'CVD_40q30_Age'!$G$2:$G$2081,30)))</f>
      </c>
      <c r="J16" s="184" t="str">
        <f>SUMIFS($I$2:$I$53,$A$2:$A$53,A16,$G$2:$G$53,G16,$H$2:$H$53,H16,$B$2:$B$53,"baseline")</f>
      </c>
      <c r="K16" s="185" t="str">
        <f>J16-I16</f>
      </c>
      <c r="L16" s="186" t="str">
        <f>IF(J16=0,"",100*(J16-I16)/J16)</f>
      </c>
      <c r="M16" s="187" t="n">
        <v>12.3768160909992</v>
      </c>
      <c r="N16" s="34" t="str">
        <f>IF(ABS(I16-M16)&lt;=0.001,"match","mismatch")</f>
      </c>
    </row>
    <row r="17">
      <c r="A17" t="s">
        <v>164</v>
      </c>
      <c r="B17" t="s">
        <v>115</v>
      </c>
      <c r="C17" s="32" t="s">
        <v>294</v>
      </c>
      <c r="D17" t="s">
        <v>378</v>
      </c>
      <c r="E17" t="s">
        <v>379</v>
      </c>
      <c r="F17"/>
      <c r="G17" t="s">
        <v>395</v>
      </c>
      <c r="H17" s="182" t="n">
        <v>2040</v>
      </c>
      <c r="I17" s="183" t="str">
        <f>100*(1-(SUMIFS('CVD_40q30_Age'!$M$2:$M$2081,'CVD_40q30_Age'!$A$2:$A$2081,A17,'CVD_40q30_Age'!$B$2:$B$2081,B17,'CVD_40q30_Age'!$E$2:$E$2081,G17,'CVD_40q30_Age'!$F$2:$F$2081,H17,'CVD_40q30_Age'!$G$2:$G$2081,69))/(SUMIFS('CVD_40q30_Age'!$L$2:$L$2081,'CVD_40q30_Age'!$A$2:$A$2081,A17,'CVD_40q30_Age'!$B$2:$B$2081,B17,'CVD_40q30_Age'!$E$2:$E$2081,G17,'CVD_40q30_Age'!$F$2:$F$2081,H17,'CVD_40q30_Age'!$G$2:$G$2081,30)))</f>
      </c>
      <c r="J17" s="184" t="str">
        <f>SUMIFS($I$2:$I$53,$A$2:$A$53,A17,$G$2:$G$53,G17,$H$2:$H$53,H17,$B$2:$B$53,"baseline")</f>
      </c>
      <c r="K17" s="185" t="str">
        <f>J17-I17</f>
      </c>
      <c r="L17" s="186" t="str">
        <f>IF(J17=0,"",100*(J17-I17)/J17)</f>
      </c>
      <c r="M17" s="187" t="n">
        <v>12.1396959766533</v>
      </c>
      <c r="N17" s="34" t="str">
        <f>IF(ABS(I17-M17)&lt;=0.001,"match","mismatch")</f>
      </c>
    </row>
    <row r="18">
      <c r="A18" t="s">
        <v>164</v>
      </c>
      <c r="B18" t="s">
        <v>115</v>
      </c>
      <c r="C18" s="32" t="s">
        <v>294</v>
      </c>
      <c r="D18" t="s">
        <v>378</v>
      </c>
      <c r="E18" t="s">
        <v>379</v>
      </c>
      <c r="F18"/>
      <c r="G18" t="s">
        <v>395</v>
      </c>
      <c r="H18" s="182" t="n">
        <v>2041</v>
      </c>
      <c r="I18" s="183" t="str">
        <f>100*(1-(SUMIFS('CVD_40q30_Age'!$M$2:$M$2081,'CVD_40q30_Age'!$A$2:$A$2081,A18,'CVD_40q30_Age'!$B$2:$B$2081,B18,'CVD_40q30_Age'!$E$2:$E$2081,G18,'CVD_40q30_Age'!$F$2:$F$2081,H18,'CVD_40q30_Age'!$G$2:$G$2081,69))/(SUMIFS('CVD_40q30_Age'!$L$2:$L$2081,'CVD_40q30_Age'!$A$2:$A$2081,A18,'CVD_40q30_Age'!$B$2:$B$2081,B18,'CVD_40q30_Age'!$E$2:$E$2081,G18,'CVD_40q30_Age'!$F$2:$F$2081,H18,'CVD_40q30_Age'!$G$2:$G$2081,30)))</f>
      </c>
      <c r="J18" s="184" t="str">
        <f>SUMIFS($I$2:$I$53,$A$2:$A$53,A18,$G$2:$G$53,G18,$H$2:$H$53,H18,$B$2:$B$53,"baseline")</f>
      </c>
      <c r="K18" s="185" t="str">
        <f>J18-I18</f>
      </c>
      <c r="L18" s="186" t="str">
        <f>IF(J18=0,"",100*(J18-I18)/J18)</f>
      </c>
      <c r="M18" s="187" t="n">
        <v>11.9042344174069</v>
      </c>
      <c r="N18" s="34" t="str">
        <f>IF(ABS(I18-M18)&lt;=0.001,"match","mismatch")</f>
      </c>
    </row>
    <row r="19">
      <c r="A19" t="s">
        <v>164</v>
      </c>
      <c r="B19" t="s">
        <v>115</v>
      </c>
      <c r="C19" s="32" t="s">
        <v>294</v>
      </c>
      <c r="D19" t="s">
        <v>378</v>
      </c>
      <c r="E19" t="s">
        <v>379</v>
      </c>
      <c r="F19"/>
      <c r="G19" t="s">
        <v>395</v>
      </c>
      <c r="H19" s="182" t="n">
        <v>2042</v>
      </c>
      <c r="I19" s="183" t="str">
        <f>100*(1-(SUMIFS('CVD_40q30_Age'!$M$2:$M$2081,'CVD_40q30_Age'!$A$2:$A$2081,A19,'CVD_40q30_Age'!$B$2:$B$2081,B19,'CVD_40q30_Age'!$E$2:$E$2081,G19,'CVD_40q30_Age'!$F$2:$F$2081,H19,'CVD_40q30_Age'!$G$2:$G$2081,69))/(SUMIFS('CVD_40q30_Age'!$L$2:$L$2081,'CVD_40q30_Age'!$A$2:$A$2081,A19,'CVD_40q30_Age'!$B$2:$B$2081,B19,'CVD_40q30_Age'!$E$2:$E$2081,G19,'CVD_40q30_Age'!$F$2:$F$2081,H19,'CVD_40q30_Age'!$G$2:$G$2081,30)))</f>
      </c>
      <c r="J19" s="184" t="str">
        <f>SUMIFS($I$2:$I$53,$A$2:$A$53,A19,$G$2:$G$53,G19,$H$2:$H$53,H19,$B$2:$B$53,"baseline")</f>
      </c>
      <c r="K19" s="185" t="str">
        <f>J19-I19</f>
      </c>
      <c r="L19" s="186" t="str">
        <f>IF(J19=0,"",100*(J19-I19)/J19)</f>
      </c>
      <c r="M19" s="187" t="n">
        <v>11.6881863489008</v>
      </c>
      <c r="N19" s="34" t="str">
        <f>IF(ABS(I19-M19)&lt;=0.001,"match","mismatch")</f>
      </c>
    </row>
    <row r="20">
      <c r="A20" t="s">
        <v>164</v>
      </c>
      <c r="B20" t="s">
        <v>115</v>
      </c>
      <c r="C20" s="32" t="s">
        <v>294</v>
      </c>
      <c r="D20" t="s">
        <v>378</v>
      </c>
      <c r="E20" t="s">
        <v>379</v>
      </c>
      <c r="F20"/>
      <c r="G20" t="s">
        <v>395</v>
      </c>
      <c r="H20" s="182" t="n">
        <v>2043</v>
      </c>
      <c r="I20" s="183" t="str">
        <f>100*(1-(SUMIFS('CVD_40q30_Age'!$M$2:$M$2081,'CVD_40q30_Age'!$A$2:$A$2081,A20,'CVD_40q30_Age'!$B$2:$B$2081,B20,'CVD_40q30_Age'!$E$2:$E$2081,G20,'CVD_40q30_Age'!$F$2:$F$2081,H20,'CVD_40q30_Age'!$G$2:$G$2081,69))/(SUMIFS('CVD_40q30_Age'!$L$2:$L$2081,'CVD_40q30_Age'!$A$2:$A$2081,A20,'CVD_40q30_Age'!$B$2:$B$2081,B20,'CVD_40q30_Age'!$E$2:$E$2081,G20,'CVD_40q30_Age'!$F$2:$F$2081,H20,'CVD_40q30_Age'!$G$2:$G$2081,30)))</f>
      </c>
      <c r="J20" s="184" t="str">
        <f>SUMIFS($I$2:$I$53,$A$2:$A$53,A20,$G$2:$G$53,G20,$H$2:$H$53,H20,$B$2:$B$53,"baseline")</f>
      </c>
      <c r="K20" s="185" t="str">
        <f>J20-I20</f>
      </c>
      <c r="L20" s="186" t="str">
        <f>IF(J20=0,"",100*(J20-I20)/J20)</f>
      </c>
      <c r="M20" s="187" t="n">
        <v>11.4836087863177</v>
      </c>
      <c r="N20" s="34" t="str">
        <f>IF(ABS(I20-M20)&lt;=0.001,"match","mismatch")</f>
      </c>
    </row>
    <row r="21">
      <c r="A21" t="s">
        <v>164</v>
      </c>
      <c r="B21" t="s">
        <v>115</v>
      </c>
      <c r="C21" s="32" t="s">
        <v>294</v>
      </c>
      <c r="D21" t="s">
        <v>378</v>
      </c>
      <c r="E21" t="s">
        <v>379</v>
      </c>
      <c r="F21"/>
      <c r="G21" t="s">
        <v>395</v>
      </c>
      <c r="H21" s="182" t="n">
        <v>2044</v>
      </c>
      <c r="I21" s="183" t="str">
        <f>100*(1-(SUMIFS('CVD_40q30_Age'!$M$2:$M$2081,'CVD_40q30_Age'!$A$2:$A$2081,A21,'CVD_40q30_Age'!$B$2:$B$2081,B21,'CVD_40q30_Age'!$E$2:$E$2081,G21,'CVD_40q30_Age'!$F$2:$F$2081,H21,'CVD_40q30_Age'!$G$2:$G$2081,69))/(SUMIFS('CVD_40q30_Age'!$L$2:$L$2081,'CVD_40q30_Age'!$A$2:$A$2081,A21,'CVD_40q30_Age'!$B$2:$B$2081,B21,'CVD_40q30_Age'!$E$2:$E$2081,G21,'CVD_40q30_Age'!$F$2:$F$2081,H21,'CVD_40q30_Age'!$G$2:$G$2081,30)))</f>
      </c>
      <c r="J21" s="184" t="str">
        <f>SUMIFS($I$2:$I$53,$A$2:$A$53,A21,$G$2:$G$53,G21,$H$2:$H$53,H21,$B$2:$B$53,"baseline")</f>
      </c>
      <c r="K21" s="185" t="str">
        <f>J21-I21</f>
      </c>
      <c r="L21" s="186" t="str">
        <f>IF(J21=0,"",100*(J21-I21)/J21)</f>
      </c>
      <c r="M21" s="187" t="n">
        <v>11.2951144049259</v>
      </c>
      <c r="N21" s="34" t="str">
        <f>IF(ABS(I21-M21)&lt;=0.001,"match","mismatch")</f>
      </c>
    </row>
    <row r="22">
      <c r="A22" t="s">
        <v>164</v>
      </c>
      <c r="B22" t="s">
        <v>115</v>
      </c>
      <c r="C22" s="32" t="s">
        <v>294</v>
      </c>
      <c r="D22" t="s">
        <v>378</v>
      </c>
      <c r="E22" t="s">
        <v>379</v>
      </c>
      <c r="F22"/>
      <c r="G22" t="s">
        <v>395</v>
      </c>
      <c r="H22" s="182" t="n">
        <v>2045</v>
      </c>
      <c r="I22" s="183" t="str">
        <f>100*(1-(SUMIFS('CVD_40q30_Age'!$M$2:$M$2081,'CVD_40q30_Age'!$A$2:$A$2081,A22,'CVD_40q30_Age'!$B$2:$B$2081,B22,'CVD_40q30_Age'!$E$2:$E$2081,G22,'CVD_40q30_Age'!$F$2:$F$2081,H22,'CVD_40q30_Age'!$G$2:$G$2081,69))/(SUMIFS('CVD_40q30_Age'!$L$2:$L$2081,'CVD_40q30_Age'!$A$2:$A$2081,A22,'CVD_40q30_Age'!$B$2:$B$2081,B22,'CVD_40q30_Age'!$E$2:$E$2081,G22,'CVD_40q30_Age'!$F$2:$F$2081,H22,'CVD_40q30_Age'!$G$2:$G$2081,30)))</f>
      </c>
      <c r="J22" s="184" t="str">
        <f>SUMIFS($I$2:$I$53,$A$2:$A$53,A22,$G$2:$G$53,G22,$H$2:$H$53,H22,$B$2:$B$53,"baseline")</f>
      </c>
      <c r="K22" s="185" t="str">
        <f>J22-I22</f>
      </c>
      <c r="L22" s="186" t="str">
        <f>IF(J22=0,"",100*(J22-I22)/J22)</f>
      </c>
      <c r="M22" s="187" t="n">
        <v>11.1255216290066</v>
      </c>
      <c r="N22" s="34" t="str">
        <f>IF(ABS(I22-M22)&lt;=0.001,"match","mismatch")</f>
      </c>
    </row>
    <row r="23">
      <c r="A23" t="s">
        <v>164</v>
      </c>
      <c r="B23" t="s">
        <v>115</v>
      </c>
      <c r="C23" s="32" t="s">
        <v>294</v>
      </c>
      <c r="D23" t="s">
        <v>378</v>
      </c>
      <c r="E23" t="s">
        <v>379</v>
      </c>
      <c r="F23"/>
      <c r="G23" t="s">
        <v>395</v>
      </c>
      <c r="H23" s="182" t="n">
        <v>2046</v>
      </c>
      <c r="I23" s="183" t="str">
        <f>100*(1-(SUMIFS('CVD_40q30_Age'!$M$2:$M$2081,'CVD_40q30_Age'!$A$2:$A$2081,A23,'CVD_40q30_Age'!$B$2:$B$2081,B23,'CVD_40q30_Age'!$E$2:$E$2081,G23,'CVD_40q30_Age'!$F$2:$F$2081,H23,'CVD_40q30_Age'!$G$2:$G$2081,69))/(SUMIFS('CVD_40q30_Age'!$L$2:$L$2081,'CVD_40q30_Age'!$A$2:$A$2081,A23,'CVD_40q30_Age'!$B$2:$B$2081,B23,'CVD_40q30_Age'!$E$2:$E$2081,G23,'CVD_40q30_Age'!$F$2:$F$2081,H23,'CVD_40q30_Age'!$G$2:$G$2081,30)))</f>
      </c>
      <c r="J23" s="184" t="str">
        <f>SUMIFS($I$2:$I$53,$A$2:$A$53,A23,$G$2:$G$53,G23,$H$2:$H$53,H23,$B$2:$B$53,"baseline")</f>
      </c>
      <c r="K23" s="185" t="str">
        <f>J23-I23</f>
      </c>
      <c r="L23" s="186" t="str">
        <f>IF(J23=0,"",100*(J23-I23)/J23)</f>
      </c>
      <c r="M23" s="187" t="n">
        <v>10.9620674832359</v>
      </c>
      <c r="N23" s="34" t="str">
        <f>IF(ABS(I23-M23)&lt;=0.001,"match","mismatch")</f>
      </c>
    </row>
    <row r="24">
      <c r="A24" t="s">
        <v>164</v>
      </c>
      <c r="B24" t="s">
        <v>115</v>
      </c>
      <c r="C24" s="32" t="s">
        <v>294</v>
      </c>
      <c r="D24" t="s">
        <v>378</v>
      </c>
      <c r="E24" t="s">
        <v>379</v>
      </c>
      <c r="F24"/>
      <c r="G24" t="s">
        <v>395</v>
      </c>
      <c r="H24" s="182" t="n">
        <v>2047</v>
      </c>
      <c r="I24" s="183" t="str">
        <f>100*(1-(SUMIFS('CVD_40q30_Age'!$M$2:$M$2081,'CVD_40q30_Age'!$A$2:$A$2081,A24,'CVD_40q30_Age'!$B$2:$B$2081,B24,'CVD_40q30_Age'!$E$2:$E$2081,G24,'CVD_40q30_Age'!$F$2:$F$2081,H24,'CVD_40q30_Age'!$G$2:$G$2081,69))/(SUMIFS('CVD_40q30_Age'!$L$2:$L$2081,'CVD_40q30_Age'!$A$2:$A$2081,A24,'CVD_40q30_Age'!$B$2:$B$2081,B24,'CVD_40q30_Age'!$E$2:$E$2081,G24,'CVD_40q30_Age'!$F$2:$F$2081,H24,'CVD_40q30_Age'!$G$2:$G$2081,30)))</f>
      </c>
      <c r="J24" s="184" t="str">
        <f>SUMIFS($I$2:$I$53,$A$2:$A$53,A24,$G$2:$G$53,G24,$H$2:$H$53,H24,$B$2:$B$53,"baseline")</f>
      </c>
      <c r="K24" s="185" t="str">
        <f>J24-I24</f>
      </c>
      <c r="L24" s="186" t="str">
        <f>IF(J24=0,"",100*(J24-I24)/J24)</f>
      </c>
      <c r="M24" s="187" t="n">
        <v>10.8039057830365</v>
      </c>
      <c r="N24" s="34" t="str">
        <f>IF(ABS(I24-M24)&lt;=0.001,"match","mismatch")</f>
      </c>
    </row>
    <row r="25">
      <c r="A25" t="s">
        <v>164</v>
      </c>
      <c r="B25" t="s">
        <v>115</v>
      </c>
      <c r="C25" s="32" t="s">
        <v>294</v>
      </c>
      <c r="D25" t="s">
        <v>378</v>
      </c>
      <c r="E25" t="s">
        <v>379</v>
      </c>
      <c r="F25"/>
      <c r="G25" t="s">
        <v>395</v>
      </c>
      <c r="H25" s="182" t="n">
        <v>2048</v>
      </c>
      <c r="I25" s="183" t="str">
        <f>100*(1-(SUMIFS('CVD_40q30_Age'!$M$2:$M$2081,'CVD_40q30_Age'!$A$2:$A$2081,A25,'CVD_40q30_Age'!$B$2:$B$2081,B25,'CVD_40q30_Age'!$E$2:$E$2081,G25,'CVD_40q30_Age'!$F$2:$F$2081,H25,'CVD_40q30_Age'!$G$2:$G$2081,69))/(SUMIFS('CVD_40q30_Age'!$L$2:$L$2081,'CVD_40q30_Age'!$A$2:$A$2081,A25,'CVD_40q30_Age'!$B$2:$B$2081,B25,'CVD_40q30_Age'!$E$2:$E$2081,G25,'CVD_40q30_Age'!$F$2:$F$2081,H25,'CVD_40q30_Age'!$G$2:$G$2081,30)))</f>
      </c>
      <c r="J25" s="184" t="str">
        <f>SUMIFS($I$2:$I$53,$A$2:$A$53,A25,$G$2:$G$53,G25,$H$2:$H$53,H25,$B$2:$B$53,"baseline")</f>
      </c>
      <c r="K25" s="185" t="str">
        <f>J25-I25</f>
      </c>
      <c r="L25" s="186" t="str">
        <f>IF(J25=0,"",100*(J25-I25)/J25)</f>
      </c>
      <c r="M25" s="187" t="n">
        <v>10.646907062143</v>
      </c>
      <c r="N25" s="34" t="str">
        <f>IF(ABS(I25-M25)&lt;=0.001,"match","mismatch")</f>
      </c>
    </row>
    <row r="26">
      <c r="A26" t="s">
        <v>164</v>
      </c>
      <c r="B26" t="s">
        <v>115</v>
      </c>
      <c r="C26" s="32" t="s">
        <v>294</v>
      </c>
      <c r="D26" t="s">
        <v>378</v>
      </c>
      <c r="E26" t="s">
        <v>379</v>
      </c>
      <c r="F26"/>
      <c r="G26" t="s">
        <v>395</v>
      </c>
      <c r="H26" s="182" t="n">
        <v>2049</v>
      </c>
      <c r="I26" s="183" t="str">
        <f>100*(1-(SUMIFS('CVD_40q30_Age'!$M$2:$M$2081,'CVD_40q30_Age'!$A$2:$A$2081,A26,'CVD_40q30_Age'!$B$2:$B$2081,B26,'CVD_40q30_Age'!$E$2:$E$2081,G26,'CVD_40q30_Age'!$F$2:$F$2081,H26,'CVD_40q30_Age'!$G$2:$G$2081,69))/(SUMIFS('CVD_40q30_Age'!$L$2:$L$2081,'CVD_40q30_Age'!$A$2:$A$2081,A26,'CVD_40q30_Age'!$B$2:$B$2081,B26,'CVD_40q30_Age'!$E$2:$E$2081,G26,'CVD_40q30_Age'!$F$2:$F$2081,H26,'CVD_40q30_Age'!$G$2:$G$2081,30)))</f>
      </c>
      <c r="J26" s="184" t="str">
        <f>SUMIFS($I$2:$I$53,$A$2:$A$53,A26,$G$2:$G$53,G26,$H$2:$H$53,H26,$B$2:$B$53,"baseline")</f>
      </c>
      <c r="K26" s="185" t="str">
        <f>J26-I26</f>
      </c>
      <c r="L26" s="186" t="str">
        <f>IF(J26=0,"",100*(J26-I26)/J26)</f>
      </c>
      <c r="M26" s="187" t="n">
        <v>10.5029148782624</v>
      </c>
      <c r="N26" s="34" t="str">
        <f>IF(ABS(I26-M26)&lt;=0.001,"match","mismatch")</f>
      </c>
    </row>
    <row r="27">
      <c r="A27" t="s">
        <v>164</v>
      </c>
      <c r="B27" t="s">
        <v>115</v>
      </c>
      <c r="C27" s="32" t="s">
        <v>294</v>
      </c>
      <c r="D27" t="s">
        <v>378</v>
      </c>
      <c r="E27" t="s">
        <v>379</v>
      </c>
      <c r="F27"/>
      <c r="G27" t="s">
        <v>395</v>
      </c>
      <c r="H27" s="182" t="n">
        <v>2050</v>
      </c>
      <c r="I27" s="183" t="str">
        <f>100*(1-(SUMIFS('CVD_40q30_Age'!$M$2:$M$2081,'CVD_40q30_Age'!$A$2:$A$2081,A27,'CVD_40q30_Age'!$B$2:$B$2081,B27,'CVD_40q30_Age'!$E$2:$E$2081,G27,'CVD_40q30_Age'!$F$2:$F$2081,H27,'CVD_40q30_Age'!$G$2:$G$2081,69))/(SUMIFS('CVD_40q30_Age'!$L$2:$L$2081,'CVD_40q30_Age'!$A$2:$A$2081,A27,'CVD_40q30_Age'!$B$2:$B$2081,B27,'CVD_40q30_Age'!$E$2:$E$2081,G27,'CVD_40q30_Age'!$F$2:$F$2081,H27,'CVD_40q30_Age'!$G$2:$G$2081,30)))</f>
      </c>
      <c r="J27" s="184" t="str">
        <f>SUMIFS($I$2:$I$53,$A$2:$A$53,A27,$G$2:$G$53,G27,$H$2:$H$53,H27,$B$2:$B$53,"baseline")</f>
      </c>
      <c r="K27" s="185" t="str">
        <f>J27-I27</f>
      </c>
      <c r="L27" s="186" t="str">
        <f>IF(J27=0,"",100*(J27-I27)/J27)</f>
      </c>
      <c r="M27" s="187" t="n">
        <v>10.3698044708238</v>
      </c>
      <c r="N27" s="34" t="str">
        <f>IF(ABS(I27-M27)&lt;=0.001,"match","mismatch")</f>
      </c>
    </row>
    <row r="28">
      <c r="A28" t="s">
        <v>164</v>
      </c>
      <c r="B28" t="s">
        <v>112</v>
      </c>
      <c r="C28" s="32" t="s">
        <v>297</v>
      </c>
      <c r="D28" t="s">
        <v>112</v>
      </c>
      <c r="E28"/>
      <c r="F28"/>
      <c r="G28" t="s">
        <v>395</v>
      </c>
      <c r="H28" s="182" t="n">
        <v>2025</v>
      </c>
      <c r="I28" s="183" t="str">
        <f>100*(1-(SUMIFS('CVD_40q30_Age'!$M$2:$M$2081,'CVD_40q30_Age'!$A$2:$A$2081,A28,'CVD_40q30_Age'!$B$2:$B$2081,B28,'CVD_40q30_Age'!$E$2:$E$2081,G28,'CVD_40q30_Age'!$F$2:$F$2081,H28,'CVD_40q30_Age'!$G$2:$G$2081,69))/(SUMIFS('CVD_40q30_Age'!$L$2:$L$2081,'CVD_40q30_Age'!$A$2:$A$2081,A28,'CVD_40q30_Age'!$B$2:$B$2081,B28,'CVD_40q30_Age'!$E$2:$E$2081,G28,'CVD_40q30_Age'!$F$2:$F$2081,H28,'CVD_40q30_Age'!$G$2:$G$2081,30)))</f>
      </c>
      <c r="J28" s="184" t="str">
        <f>SUMIFS($I$2:$I$53,$A$2:$A$53,A28,$G$2:$G$53,G28,$H$2:$H$53,H28,$B$2:$B$53,"baseline")</f>
      </c>
      <c r="K28" s="185" t="str">
        <f>J28-I28</f>
      </c>
      <c r="L28" s="186" t="str">
        <f>IF(J28=0,"",100*(J28-I28)/J28)</f>
      </c>
      <c r="M28" s="187" t="n">
        <v>14.5948626930222</v>
      </c>
      <c r="N28" s="34" t="str">
        <f>IF(ABS(I28-M28)&lt;=0.001,"match","mismatch")</f>
      </c>
    </row>
    <row r="29">
      <c r="A29" t="s">
        <v>164</v>
      </c>
      <c r="B29" t="s">
        <v>112</v>
      </c>
      <c r="C29" s="32" t="s">
        <v>297</v>
      </c>
      <c r="D29" t="s">
        <v>112</v>
      </c>
      <c r="E29"/>
      <c r="F29"/>
      <c r="G29" t="s">
        <v>395</v>
      </c>
      <c r="H29" s="182" t="n">
        <v>2026</v>
      </c>
      <c r="I29" s="183" t="str">
        <f>100*(1-(SUMIFS('CVD_40q30_Age'!$M$2:$M$2081,'CVD_40q30_Age'!$A$2:$A$2081,A29,'CVD_40q30_Age'!$B$2:$B$2081,B29,'CVD_40q30_Age'!$E$2:$E$2081,G29,'CVD_40q30_Age'!$F$2:$F$2081,H29,'CVD_40q30_Age'!$G$2:$G$2081,69))/(SUMIFS('CVD_40q30_Age'!$L$2:$L$2081,'CVD_40q30_Age'!$A$2:$A$2081,A29,'CVD_40q30_Age'!$B$2:$B$2081,B29,'CVD_40q30_Age'!$E$2:$E$2081,G29,'CVD_40q30_Age'!$F$2:$F$2081,H29,'CVD_40q30_Age'!$G$2:$G$2081,30)))</f>
      </c>
      <c r="J29" s="184" t="str">
        <f>SUMIFS($I$2:$I$53,$A$2:$A$53,A29,$G$2:$G$53,G29,$H$2:$H$53,H29,$B$2:$B$53,"baseline")</f>
      </c>
      <c r="K29" s="185" t="str">
        <f>J29-I29</f>
      </c>
      <c r="L29" s="186" t="str">
        <f>IF(J29=0,"",100*(J29-I29)/J29)</f>
      </c>
      <c r="M29" s="187" t="n">
        <v>14.5200464585968</v>
      </c>
      <c r="N29" s="34" t="str">
        <f>IF(ABS(I29-M29)&lt;=0.001,"match","mismatch")</f>
      </c>
    </row>
    <row r="30">
      <c r="A30" t="s">
        <v>164</v>
      </c>
      <c r="B30" t="s">
        <v>112</v>
      </c>
      <c r="C30" s="32" t="s">
        <v>297</v>
      </c>
      <c r="D30" t="s">
        <v>112</v>
      </c>
      <c r="E30"/>
      <c r="F30"/>
      <c r="G30" t="s">
        <v>395</v>
      </c>
      <c r="H30" s="182" t="n">
        <v>2027</v>
      </c>
      <c r="I30" s="183" t="str">
        <f>100*(1-(SUMIFS('CVD_40q30_Age'!$M$2:$M$2081,'CVD_40q30_Age'!$A$2:$A$2081,A30,'CVD_40q30_Age'!$B$2:$B$2081,B30,'CVD_40q30_Age'!$E$2:$E$2081,G30,'CVD_40q30_Age'!$F$2:$F$2081,H30,'CVD_40q30_Age'!$G$2:$G$2081,69))/(SUMIFS('CVD_40q30_Age'!$L$2:$L$2081,'CVD_40q30_Age'!$A$2:$A$2081,A30,'CVD_40q30_Age'!$B$2:$B$2081,B30,'CVD_40q30_Age'!$E$2:$E$2081,G30,'CVD_40q30_Age'!$F$2:$F$2081,H30,'CVD_40q30_Age'!$G$2:$G$2081,30)))</f>
      </c>
      <c r="J30" s="184" t="str">
        <f>SUMIFS($I$2:$I$53,$A$2:$A$53,A30,$G$2:$G$53,G30,$H$2:$H$53,H30,$B$2:$B$53,"baseline")</f>
      </c>
      <c r="K30" s="185" t="str">
        <f>J30-I30</f>
      </c>
      <c r="L30" s="186" t="str">
        <f>IF(J30=0,"",100*(J30-I30)/J30)</f>
      </c>
      <c r="M30" s="187" t="n">
        <v>14.43562238036</v>
      </c>
      <c r="N30" s="34" t="str">
        <f>IF(ABS(I30-M30)&lt;=0.001,"match","mismatch")</f>
      </c>
    </row>
    <row r="31">
      <c r="A31" t="s">
        <v>164</v>
      </c>
      <c r="B31" t="s">
        <v>112</v>
      </c>
      <c r="C31" s="32" t="s">
        <v>297</v>
      </c>
      <c r="D31" t="s">
        <v>112</v>
      </c>
      <c r="E31"/>
      <c r="F31"/>
      <c r="G31" t="s">
        <v>395</v>
      </c>
      <c r="H31" s="182" t="n">
        <v>2028</v>
      </c>
      <c r="I31" s="183" t="str">
        <f>100*(1-(SUMIFS('CVD_40q30_Age'!$M$2:$M$2081,'CVD_40q30_Age'!$A$2:$A$2081,A31,'CVD_40q30_Age'!$B$2:$B$2081,B31,'CVD_40q30_Age'!$E$2:$E$2081,G31,'CVD_40q30_Age'!$F$2:$F$2081,H31,'CVD_40q30_Age'!$G$2:$G$2081,69))/(SUMIFS('CVD_40q30_Age'!$L$2:$L$2081,'CVD_40q30_Age'!$A$2:$A$2081,A31,'CVD_40q30_Age'!$B$2:$B$2081,B31,'CVD_40q30_Age'!$E$2:$E$2081,G31,'CVD_40q30_Age'!$F$2:$F$2081,H31,'CVD_40q30_Age'!$G$2:$G$2081,30)))</f>
      </c>
      <c r="J31" s="184" t="str">
        <f>SUMIFS($I$2:$I$53,$A$2:$A$53,A31,$G$2:$G$53,G31,$H$2:$H$53,H31,$B$2:$B$53,"baseline")</f>
      </c>
      <c r="K31" s="185" t="str">
        <f>J31-I31</f>
      </c>
      <c r="L31" s="186" t="str">
        <f>IF(J31=0,"",100*(J31-I31)/J31)</f>
      </c>
      <c r="M31" s="187" t="n">
        <v>14.3513374362266</v>
      </c>
      <c r="N31" s="34" t="str">
        <f>IF(ABS(I31-M31)&lt;=0.001,"match","mismatch")</f>
      </c>
    </row>
    <row r="32">
      <c r="A32" t="s">
        <v>164</v>
      </c>
      <c r="B32" t="s">
        <v>112</v>
      </c>
      <c r="C32" s="32" t="s">
        <v>297</v>
      </c>
      <c r="D32" t="s">
        <v>112</v>
      </c>
      <c r="E32"/>
      <c r="F32"/>
      <c r="G32" t="s">
        <v>395</v>
      </c>
      <c r="H32" s="182" t="n">
        <v>2029</v>
      </c>
      <c r="I32" s="183" t="str">
        <f>100*(1-(SUMIFS('CVD_40q30_Age'!$M$2:$M$2081,'CVD_40q30_Age'!$A$2:$A$2081,A32,'CVD_40q30_Age'!$B$2:$B$2081,B32,'CVD_40q30_Age'!$E$2:$E$2081,G32,'CVD_40q30_Age'!$F$2:$F$2081,H32,'CVD_40q30_Age'!$G$2:$G$2081,69))/(SUMIFS('CVD_40q30_Age'!$L$2:$L$2081,'CVD_40q30_Age'!$A$2:$A$2081,A32,'CVD_40q30_Age'!$B$2:$B$2081,B32,'CVD_40q30_Age'!$E$2:$E$2081,G32,'CVD_40q30_Age'!$F$2:$F$2081,H32,'CVD_40q30_Age'!$G$2:$G$2081,30)))</f>
      </c>
      <c r="J32" s="184" t="str">
        <f>SUMIFS($I$2:$I$53,$A$2:$A$53,A32,$G$2:$G$53,G32,$H$2:$H$53,H32,$B$2:$B$53,"baseline")</f>
      </c>
      <c r="K32" s="185" t="str">
        <f>J32-I32</f>
      </c>
      <c r="L32" s="186" t="str">
        <f>IF(J32=0,"",100*(J32-I32)/J32)</f>
      </c>
      <c r="M32" s="187" t="n">
        <v>14.2757667556576</v>
      </c>
      <c r="N32" s="34" t="str">
        <f>IF(ABS(I32-M32)&lt;=0.001,"match","mismatch")</f>
      </c>
    </row>
    <row r="33">
      <c r="A33" t="s">
        <v>164</v>
      </c>
      <c r="B33" t="s">
        <v>112</v>
      </c>
      <c r="C33" s="32" t="s">
        <v>297</v>
      </c>
      <c r="D33" t="s">
        <v>112</v>
      </c>
      <c r="E33"/>
      <c r="F33"/>
      <c r="G33" t="s">
        <v>395</v>
      </c>
      <c r="H33" s="182" t="n">
        <v>2030</v>
      </c>
      <c r="I33" s="183" t="str">
        <f>100*(1-(SUMIFS('CVD_40q30_Age'!$M$2:$M$2081,'CVD_40q30_Age'!$A$2:$A$2081,A33,'CVD_40q30_Age'!$B$2:$B$2081,B33,'CVD_40q30_Age'!$E$2:$E$2081,G33,'CVD_40q30_Age'!$F$2:$F$2081,H33,'CVD_40q30_Age'!$G$2:$G$2081,69))/(SUMIFS('CVD_40q30_Age'!$L$2:$L$2081,'CVD_40q30_Age'!$A$2:$A$2081,A33,'CVD_40q30_Age'!$B$2:$B$2081,B33,'CVD_40q30_Age'!$E$2:$E$2081,G33,'CVD_40q30_Age'!$F$2:$F$2081,H33,'CVD_40q30_Age'!$G$2:$G$2081,30)))</f>
      </c>
      <c r="J33" s="184" t="str">
        <f>SUMIFS($I$2:$I$53,$A$2:$A$53,A33,$G$2:$G$53,G33,$H$2:$H$53,H33,$B$2:$B$53,"baseline")</f>
      </c>
      <c r="K33" s="185" t="str">
        <f>J33-I33</f>
      </c>
      <c r="L33" s="186" t="str">
        <f>IF(J33=0,"",100*(J33-I33)/J33)</f>
      </c>
      <c r="M33" s="187" t="n">
        <v>14.1920490128737</v>
      </c>
      <c r="N33" s="34" t="str">
        <f>IF(ABS(I33-M33)&lt;=0.001,"match","mismatch")</f>
      </c>
    </row>
    <row r="34">
      <c r="A34" t="s">
        <v>164</v>
      </c>
      <c r="B34" t="s">
        <v>112</v>
      </c>
      <c r="C34" s="32" t="s">
        <v>297</v>
      </c>
      <c r="D34" t="s">
        <v>112</v>
      </c>
      <c r="E34"/>
      <c r="F34"/>
      <c r="G34" t="s">
        <v>395</v>
      </c>
      <c r="H34" s="182" t="n">
        <v>2031</v>
      </c>
      <c r="I34" s="183" t="str">
        <f>100*(1-(SUMIFS('CVD_40q30_Age'!$M$2:$M$2081,'CVD_40q30_Age'!$A$2:$A$2081,A34,'CVD_40q30_Age'!$B$2:$B$2081,B34,'CVD_40q30_Age'!$E$2:$E$2081,G34,'CVD_40q30_Age'!$F$2:$F$2081,H34,'CVD_40q30_Age'!$G$2:$G$2081,69))/(SUMIFS('CVD_40q30_Age'!$L$2:$L$2081,'CVD_40q30_Age'!$A$2:$A$2081,A34,'CVD_40q30_Age'!$B$2:$B$2081,B34,'CVD_40q30_Age'!$E$2:$E$2081,G34,'CVD_40q30_Age'!$F$2:$F$2081,H34,'CVD_40q30_Age'!$G$2:$G$2081,30)))</f>
      </c>
      <c r="J34" s="184" t="str">
        <f>SUMIFS($I$2:$I$53,$A$2:$A$53,A34,$G$2:$G$53,G34,$H$2:$H$53,H34,$B$2:$B$53,"baseline")</f>
      </c>
      <c r="K34" s="185" t="str">
        <f>J34-I34</f>
      </c>
      <c r="L34" s="186" t="str">
        <f>IF(J34=0,"",100*(J34-I34)/J34)</f>
      </c>
      <c r="M34" s="187" t="n">
        <v>14.0851335459353</v>
      </c>
      <c r="N34" s="34" t="str">
        <f>IF(ABS(I34-M34)&lt;=0.001,"match","mismatch")</f>
      </c>
    </row>
    <row r="35">
      <c r="A35" t="s">
        <v>164</v>
      </c>
      <c r="B35" t="s">
        <v>112</v>
      </c>
      <c r="C35" s="32" t="s">
        <v>297</v>
      </c>
      <c r="D35" t="s">
        <v>112</v>
      </c>
      <c r="E35"/>
      <c r="F35"/>
      <c r="G35" t="s">
        <v>395</v>
      </c>
      <c r="H35" s="182" t="n">
        <v>2032</v>
      </c>
      <c r="I35" s="183" t="str">
        <f>100*(1-(SUMIFS('CVD_40q30_Age'!$M$2:$M$2081,'CVD_40q30_Age'!$A$2:$A$2081,A35,'CVD_40q30_Age'!$B$2:$B$2081,B35,'CVD_40q30_Age'!$E$2:$E$2081,G35,'CVD_40q30_Age'!$F$2:$F$2081,H35,'CVD_40q30_Age'!$G$2:$G$2081,69))/(SUMIFS('CVD_40q30_Age'!$L$2:$L$2081,'CVD_40q30_Age'!$A$2:$A$2081,A35,'CVD_40q30_Age'!$B$2:$B$2081,B35,'CVD_40q30_Age'!$E$2:$E$2081,G35,'CVD_40q30_Age'!$F$2:$F$2081,H35,'CVD_40q30_Age'!$G$2:$G$2081,30)))</f>
      </c>
      <c r="J35" s="184" t="str">
        <f>SUMIFS($I$2:$I$53,$A$2:$A$53,A35,$G$2:$G$53,G35,$H$2:$H$53,H35,$B$2:$B$53,"baseline")</f>
      </c>
      <c r="K35" s="185" t="str">
        <f>J35-I35</f>
      </c>
      <c r="L35" s="186" t="str">
        <f>IF(J35=0,"",100*(J35-I35)/J35)</f>
      </c>
      <c r="M35" s="187" t="n">
        <v>13.9707461532149</v>
      </c>
      <c r="N35" s="34" t="str">
        <f>IF(ABS(I35-M35)&lt;=0.001,"match","mismatch")</f>
      </c>
    </row>
    <row r="36">
      <c r="A36" t="s">
        <v>164</v>
      </c>
      <c r="B36" t="s">
        <v>112</v>
      </c>
      <c r="C36" s="32" t="s">
        <v>297</v>
      </c>
      <c r="D36" t="s">
        <v>112</v>
      </c>
      <c r="E36"/>
      <c r="F36"/>
      <c r="G36" t="s">
        <v>395</v>
      </c>
      <c r="H36" s="182" t="n">
        <v>2033</v>
      </c>
      <c r="I36" s="183" t="str">
        <f>100*(1-(SUMIFS('CVD_40q30_Age'!$M$2:$M$2081,'CVD_40q30_Age'!$A$2:$A$2081,A36,'CVD_40q30_Age'!$B$2:$B$2081,B36,'CVD_40q30_Age'!$E$2:$E$2081,G36,'CVD_40q30_Age'!$F$2:$F$2081,H36,'CVD_40q30_Age'!$G$2:$G$2081,69))/(SUMIFS('CVD_40q30_Age'!$L$2:$L$2081,'CVD_40q30_Age'!$A$2:$A$2081,A36,'CVD_40q30_Age'!$B$2:$B$2081,B36,'CVD_40q30_Age'!$E$2:$E$2081,G36,'CVD_40q30_Age'!$F$2:$F$2081,H36,'CVD_40q30_Age'!$G$2:$G$2081,30)))</f>
      </c>
      <c r="J36" s="184" t="str">
        <f>SUMIFS($I$2:$I$53,$A$2:$A$53,A36,$G$2:$G$53,G36,$H$2:$H$53,H36,$B$2:$B$53,"baseline")</f>
      </c>
      <c r="K36" s="185" t="str">
        <f>J36-I36</f>
      </c>
      <c r="L36" s="186" t="str">
        <f>IF(J36=0,"",100*(J36-I36)/J36)</f>
      </c>
      <c r="M36" s="187" t="n">
        <v>13.8452308946751</v>
      </c>
      <c r="N36" s="34" t="str">
        <f>IF(ABS(I36-M36)&lt;=0.001,"match","mismatch")</f>
      </c>
    </row>
    <row r="37">
      <c r="A37" t="s">
        <v>164</v>
      </c>
      <c r="B37" t="s">
        <v>112</v>
      </c>
      <c r="C37" s="32" t="s">
        <v>297</v>
      </c>
      <c r="D37" t="s">
        <v>112</v>
      </c>
      <c r="E37"/>
      <c r="F37"/>
      <c r="G37" t="s">
        <v>395</v>
      </c>
      <c r="H37" s="182" t="n">
        <v>2034</v>
      </c>
      <c r="I37" s="183" t="str">
        <f>100*(1-(SUMIFS('CVD_40q30_Age'!$M$2:$M$2081,'CVD_40q30_Age'!$A$2:$A$2081,A37,'CVD_40q30_Age'!$B$2:$B$2081,B37,'CVD_40q30_Age'!$E$2:$E$2081,G37,'CVD_40q30_Age'!$F$2:$F$2081,H37,'CVD_40q30_Age'!$G$2:$G$2081,69))/(SUMIFS('CVD_40q30_Age'!$L$2:$L$2081,'CVD_40q30_Age'!$A$2:$A$2081,A37,'CVD_40q30_Age'!$B$2:$B$2081,B37,'CVD_40q30_Age'!$E$2:$E$2081,G37,'CVD_40q30_Age'!$F$2:$F$2081,H37,'CVD_40q30_Age'!$G$2:$G$2081,30)))</f>
      </c>
      <c r="J37" s="184" t="str">
        <f>SUMIFS($I$2:$I$53,$A$2:$A$53,A37,$G$2:$G$53,G37,$H$2:$H$53,H37,$B$2:$B$53,"baseline")</f>
      </c>
      <c r="K37" s="185" t="str">
        <f>J37-I37</f>
      </c>
      <c r="L37" s="186" t="str">
        <f>IF(J37=0,"",100*(J37-I37)/J37)</f>
      </c>
      <c r="M37" s="187" t="n">
        <v>13.7261128576162</v>
      </c>
      <c r="N37" s="34" t="str">
        <f>IF(ABS(I37-M37)&lt;=0.001,"match","mismatch")</f>
      </c>
    </row>
    <row r="38">
      <c r="A38" t="s">
        <v>164</v>
      </c>
      <c r="B38" t="s">
        <v>112</v>
      </c>
      <c r="C38" s="32" t="s">
        <v>297</v>
      </c>
      <c r="D38" t="s">
        <v>112</v>
      </c>
      <c r="E38"/>
      <c r="F38"/>
      <c r="G38" t="s">
        <v>395</v>
      </c>
      <c r="H38" s="182" t="n">
        <v>2035</v>
      </c>
      <c r="I38" s="183" t="str">
        <f>100*(1-(SUMIFS('CVD_40q30_Age'!$M$2:$M$2081,'CVD_40q30_Age'!$A$2:$A$2081,A38,'CVD_40q30_Age'!$B$2:$B$2081,B38,'CVD_40q30_Age'!$E$2:$E$2081,G38,'CVD_40q30_Age'!$F$2:$F$2081,H38,'CVD_40q30_Age'!$G$2:$G$2081,69))/(SUMIFS('CVD_40q30_Age'!$L$2:$L$2081,'CVD_40q30_Age'!$A$2:$A$2081,A38,'CVD_40q30_Age'!$B$2:$B$2081,B38,'CVD_40q30_Age'!$E$2:$E$2081,G38,'CVD_40q30_Age'!$F$2:$F$2081,H38,'CVD_40q30_Age'!$G$2:$G$2081,30)))</f>
      </c>
      <c r="J38" s="184" t="str">
        <f>SUMIFS($I$2:$I$53,$A$2:$A$53,A38,$G$2:$G$53,G38,$H$2:$H$53,H38,$B$2:$B$53,"baseline")</f>
      </c>
      <c r="K38" s="185" t="str">
        <f>J38-I38</f>
      </c>
      <c r="L38" s="186" t="str">
        <f>IF(J38=0,"",100*(J38-I38)/J38)</f>
      </c>
      <c r="M38" s="187" t="n">
        <v>13.5999516796697</v>
      </c>
      <c r="N38" s="34" t="str">
        <f>IF(ABS(I38-M38)&lt;=0.001,"match","mismatch")</f>
      </c>
    </row>
    <row r="39">
      <c r="A39" t="s">
        <v>164</v>
      </c>
      <c r="B39" t="s">
        <v>112</v>
      </c>
      <c r="C39" s="32" t="s">
        <v>297</v>
      </c>
      <c r="D39" t="s">
        <v>112</v>
      </c>
      <c r="E39"/>
      <c r="F39"/>
      <c r="G39" t="s">
        <v>395</v>
      </c>
      <c r="H39" s="182" t="n">
        <v>2036</v>
      </c>
      <c r="I39" s="183" t="str">
        <f>100*(1-(SUMIFS('CVD_40q30_Age'!$M$2:$M$2081,'CVD_40q30_Age'!$A$2:$A$2081,A39,'CVD_40q30_Age'!$B$2:$B$2081,B39,'CVD_40q30_Age'!$E$2:$E$2081,G39,'CVD_40q30_Age'!$F$2:$F$2081,H39,'CVD_40q30_Age'!$G$2:$G$2081,69))/(SUMIFS('CVD_40q30_Age'!$L$2:$L$2081,'CVD_40q30_Age'!$A$2:$A$2081,A39,'CVD_40q30_Age'!$B$2:$B$2081,B39,'CVD_40q30_Age'!$E$2:$E$2081,G39,'CVD_40q30_Age'!$F$2:$F$2081,H39,'CVD_40q30_Age'!$G$2:$G$2081,30)))</f>
      </c>
      <c r="J39" s="184" t="str">
        <f>SUMIFS($I$2:$I$53,$A$2:$A$53,A39,$G$2:$G$53,G39,$H$2:$H$53,H39,$B$2:$B$53,"baseline")</f>
      </c>
      <c r="K39" s="185" t="str">
        <f>J39-I39</f>
      </c>
      <c r="L39" s="186" t="str">
        <f>IF(J39=0,"",100*(J39-I39)/J39)</f>
      </c>
      <c r="M39" s="187" t="n">
        <v>13.4800385350382</v>
      </c>
      <c r="N39" s="34" t="str">
        <f>IF(ABS(I39-M39)&lt;=0.001,"match","mismatch")</f>
      </c>
    </row>
    <row r="40">
      <c r="A40" t="s">
        <v>164</v>
      </c>
      <c r="B40" t="s">
        <v>112</v>
      </c>
      <c r="C40" s="32" t="s">
        <v>297</v>
      </c>
      <c r="D40" t="s">
        <v>112</v>
      </c>
      <c r="E40"/>
      <c r="F40"/>
      <c r="G40" t="s">
        <v>395</v>
      </c>
      <c r="H40" s="182" t="n">
        <v>2037</v>
      </c>
      <c r="I40" s="183" t="str">
        <f>100*(1-(SUMIFS('CVD_40q30_Age'!$M$2:$M$2081,'CVD_40q30_Age'!$A$2:$A$2081,A40,'CVD_40q30_Age'!$B$2:$B$2081,B40,'CVD_40q30_Age'!$E$2:$E$2081,G40,'CVD_40q30_Age'!$F$2:$F$2081,H40,'CVD_40q30_Age'!$G$2:$G$2081,69))/(SUMIFS('CVD_40q30_Age'!$L$2:$L$2081,'CVD_40q30_Age'!$A$2:$A$2081,A40,'CVD_40q30_Age'!$B$2:$B$2081,B40,'CVD_40q30_Age'!$E$2:$E$2081,G40,'CVD_40q30_Age'!$F$2:$F$2081,H40,'CVD_40q30_Age'!$G$2:$G$2081,30)))</f>
      </c>
      <c r="J40" s="184" t="str">
        <f>SUMIFS($I$2:$I$53,$A$2:$A$53,A40,$G$2:$G$53,G40,$H$2:$H$53,H40,$B$2:$B$53,"baseline")</f>
      </c>
      <c r="K40" s="185" t="str">
        <f>J40-I40</f>
      </c>
      <c r="L40" s="186" t="str">
        <f>IF(J40=0,"",100*(J40-I40)/J40)</f>
      </c>
      <c r="M40" s="187" t="n">
        <v>13.3567213387986</v>
      </c>
      <c r="N40" s="34" t="str">
        <f>IF(ABS(I40-M40)&lt;=0.001,"match","mismatch")</f>
      </c>
    </row>
    <row r="41">
      <c r="A41" t="s">
        <v>164</v>
      </c>
      <c r="B41" t="s">
        <v>112</v>
      </c>
      <c r="C41" s="32" t="s">
        <v>297</v>
      </c>
      <c r="D41" t="s">
        <v>112</v>
      </c>
      <c r="E41"/>
      <c r="F41"/>
      <c r="G41" t="s">
        <v>395</v>
      </c>
      <c r="H41" s="182" t="n">
        <v>2038</v>
      </c>
      <c r="I41" s="183" t="str">
        <f>100*(1-(SUMIFS('CVD_40q30_Age'!$M$2:$M$2081,'CVD_40q30_Age'!$A$2:$A$2081,A41,'CVD_40q30_Age'!$B$2:$B$2081,B41,'CVD_40q30_Age'!$E$2:$E$2081,G41,'CVD_40q30_Age'!$F$2:$F$2081,H41,'CVD_40q30_Age'!$G$2:$G$2081,69))/(SUMIFS('CVD_40q30_Age'!$L$2:$L$2081,'CVD_40q30_Age'!$A$2:$A$2081,A41,'CVD_40q30_Age'!$B$2:$B$2081,B41,'CVD_40q30_Age'!$E$2:$E$2081,G41,'CVD_40q30_Age'!$F$2:$F$2081,H41,'CVD_40q30_Age'!$G$2:$G$2081,30)))</f>
      </c>
      <c r="J41" s="184" t="str">
        <f>SUMIFS($I$2:$I$53,$A$2:$A$53,A41,$G$2:$G$53,G41,$H$2:$H$53,H41,$B$2:$B$53,"baseline")</f>
      </c>
      <c r="K41" s="185" t="str">
        <f>J41-I41</f>
      </c>
      <c r="L41" s="186" t="str">
        <f>IF(J41=0,"",100*(J41-I41)/J41)</f>
      </c>
      <c r="M41" s="187" t="n">
        <v>13.2291990672555</v>
      </c>
      <c r="N41" s="34" t="str">
        <f>IF(ABS(I41-M41)&lt;=0.001,"match","mismatch")</f>
      </c>
    </row>
    <row r="42">
      <c r="A42" t="s">
        <v>164</v>
      </c>
      <c r="B42" t="s">
        <v>112</v>
      </c>
      <c r="C42" s="32" t="s">
        <v>297</v>
      </c>
      <c r="D42" t="s">
        <v>112</v>
      </c>
      <c r="E42"/>
      <c r="F42"/>
      <c r="G42" t="s">
        <v>395</v>
      </c>
      <c r="H42" s="182" t="n">
        <v>2039</v>
      </c>
      <c r="I42" s="183" t="str">
        <f>100*(1-(SUMIFS('CVD_40q30_Age'!$M$2:$M$2081,'CVD_40q30_Age'!$A$2:$A$2081,A42,'CVD_40q30_Age'!$B$2:$B$2081,B42,'CVD_40q30_Age'!$E$2:$E$2081,G42,'CVD_40q30_Age'!$F$2:$F$2081,H42,'CVD_40q30_Age'!$G$2:$G$2081,69))/(SUMIFS('CVD_40q30_Age'!$L$2:$L$2081,'CVD_40q30_Age'!$A$2:$A$2081,A42,'CVD_40q30_Age'!$B$2:$B$2081,B42,'CVD_40q30_Age'!$E$2:$E$2081,G42,'CVD_40q30_Age'!$F$2:$F$2081,H42,'CVD_40q30_Age'!$G$2:$G$2081,30)))</f>
      </c>
      <c r="J42" s="184" t="str">
        <f>SUMIFS($I$2:$I$53,$A$2:$A$53,A42,$G$2:$G$53,G42,$H$2:$H$53,H42,$B$2:$B$53,"baseline")</f>
      </c>
      <c r="K42" s="185" t="str">
        <f>J42-I42</f>
      </c>
      <c r="L42" s="186" t="str">
        <f>IF(J42=0,"",100*(J42-I42)/J42)</f>
      </c>
      <c r="M42" s="187" t="n">
        <v>13.1090417294968</v>
      </c>
      <c r="N42" s="34" t="str">
        <f>IF(ABS(I42-M42)&lt;=0.001,"match","mismatch")</f>
      </c>
    </row>
    <row r="43">
      <c r="A43" t="s">
        <v>164</v>
      </c>
      <c r="B43" t="s">
        <v>112</v>
      </c>
      <c r="C43" s="32" t="s">
        <v>297</v>
      </c>
      <c r="D43" t="s">
        <v>112</v>
      </c>
      <c r="E43"/>
      <c r="F43"/>
      <c r="G43" t="s">
        <v>395</v>
      </c>
      <c r="H43" s="182" t="n">
        <v>2040</v>
      </c>
      <c r="I43" s="183" t="str">
        <f>100*(1-(SUMIFS('CVD_40q30_Age'!$M$2:$M$2081,'CVD_40q30_Age'!$A$2:$A$2081,A43,'CVD_40q30_Age'!$B$2:$B$2081,B43,'CVD_40q30_Age'!$E$2:$E$2081,G43,'CVD_40q30_Age'!$F$2:$F$2081,H43,'CVD_40q30_Age'!$G$2:$G$2081,69))/(SUMIFS('CVD_40q30_Age'!$L$2:$L$2081,'CVD_40q30_Age'!$A$2:$A$2081,A43,'CVD_40q30_Age'!$B$2:$B$2081,B43,'CVD_40q30_Age'!$E$2:$E$2081,G43,'CVD_40q30_Age'!$F$2:$F$2081,H43,'CVD_40q30_Age'!$G$2:$G$2081,30)))</f>
      </c>
      <c r="J43" s="184" t="str">
        <f>SUMIFS($I$2:$I$53,$A$2:$A$53,A43,$G$2:$G$53,G43,$H$2:$H$53,H43,$B$2:$B$53,"baseline")</f>
      </c>
      <c r="K43" s="185" t="str">
        <f>J43-I43</f>
      </c>
      <c r="L43" s="186" t="str">
        <f>IF(J43=0,"",100*(J43-I43)/J43)</f>
      </c>
      <c r="M43" s="187" t="n">
        <v>12.9814994820506</v>
      </c>
      <c r="N43" s="34" t="str">
        <f>IF(ABS(I43-M43)&lt;=0.001,"match","mismatch")</f>
      </c>
    </row>
    <row r="44">
      <c r="A44" t="s">
        <v>164</v>
      </c>
      <c r="B44" t="s">
        <v>112</v>
      </c>
      <c r="C44" s="32" t="s">
        <v>297</v>
      </c>
      <c r="D44" t="s">
        <v>112</v>
      </c>
      <c r="E44"/>
      <c r="F44"/>
      <c r="G44" t="s">
        <v>395</v>
      </c>
      <c r="H44" s="182" t="n">
        <v>2041</v>
      </c>
      <c r="I44" s="183" t="str">
        <f>100*(1-(SUMIFS('CVD_40q30_Age'!$M$2:$M$2081,'CVD_40q30_Age'!$A$2:$A$2081,A44,'CVD_40q30_Age'!$B$2:$B$2081,B44,'CVD_40q30_Age'!$E$2:$E$2081,G44,'CVD_40q30_Age'!$F$2:$F$2081,H44,'CVD_40q30_Age'!$G$2:$G$2081,69))/(SUMIFS('CVD_40q30_Age'!$L$2:$L$2081,'CVD_40q30_Age'!$A$2:$A$2081,A44,'CVD_40q30_Age'!$B$2:$B$2081,B44,'CVD_40q30_Age'!$E$2:$E$2081,G44,'CVD_40q30_Age'!$F$2:$F$2081,H44,'CVD_40q30_Age'!$G$2:$G$2081,30)))</f>
      </c>
      <c r="J44" s="184" t="str">
        <f>SUMIFS($I$2:$I$53,$A$2:$A$53,A44,$G$2:$G$53,G44,$H$2:$H$53,H44,$B$2:$B$53,"baseline")</f>
      </c>
      <c r="K44" s="185" t="str">
        <f>J44-I44</f>
      </c>
      <c r="L44" s="186" t="str">
        <f>IF(J44=0,"",100*(J44-I44)/J44)</f>
      </c>
      <c r="M44" s="187" t="n">
        <v>12.8537220229574</v>
      </c>
      <c r="N44" s="34" t="str">
        <f>IF(ABS(I44-M44)&lt;=0.001,"match","mismatch")</f>
      </c>
    </row>
    <row r="45">
      <c r="A45" t="s">
        <v>164</v>
      </c>
      <c r="B45" t="s">
        <v>112</v>
      </c>
      <c r="C45" s="32" t="s">
        <v>297</v>
      </c>
      <c r="D45" t="s">
        <v>112</v>
      </c>
      <c r="E45"/>
      <c r="F45"/>
      <c r="G45" t="s">
        <v>395</v>
      </c>
      <c r="H45" s="182" t="n">
        <v>2042</v>
      </c>
      <c r="I45" s="183" t="str">
        <f>100*(1-(SUMIFS('CVD_40q30_Age'!$M$2:$M$2081,'CVD_40q30_Age'!$A$2:$A$2081,A45,'CVD_40q30_Age'!$B$2:$B$2081,B45,'CVD_40q30_Age'!$E$2:$E$2081,G45,'CVD_40q30_Age'!$F$2:$F$2081,H45,'CVD_40q30_Age'!$G$2:$G$2081,69))/(SUMIFS('CVD_40q30_Age'!$L$2:$L$2081,'CVD_40q30_Age'!$A$2:$A$2081,A45,'CVD_40q30_Age'!$B$2:$B$2081,B45,'CVD_40q30_Age'!$E$2:$E$2081,G45,'CVD_40q30_Age'!$F$2:$F$2081,H45,'CVD_40q30_Age'!$G$2:$G$2081,30)))</f>
      </c>
      <c r="J45" s="184" t="str">
        <f>SUMIFS($I$2:$I$53,$A$2:$A$53,A45,$G$2:$G$53,G45,$H$2:$H$53,H45,$B$2:$B$53,"baseline")</f>
      </c>
      <c r="K45" s="185" t="str">
        <f>J45-I45</f>
      </c>
      <c r="L45" s="186" t="str">
        <f>IF(J45=0,"",100*(J45-I45)/J45)</f>
      </c>
      <c r="M45" s="187" t="n">
        <v>12.7224868074943</v>
      </c>
      <c r="N45" s="34" t="str">
        <f>IF(ABS(I45-M45)&lt;=0.001,"match","mismatch")</f>
      </c>
    </row>
    <row r="46">
      <c r="A46" t="s">
        <v>164</v>
      </c>
      <c r="B46" t="s">
        <v>112</v>
      </c>
      <c r="C46" s="32" t="s">
        <v>297</v>
      </c>
      <c r="D46" t="s">
        <v>112</v>
      </c>
      <c r="E46"/>
      <c r="F46"/>
      <c r="G46" t="s">
        <v>395</v>
      </c>
      <c r="H46" s="182" t="n">
        <v>2043</v>
      </c>
      <c r="I46" s="183" t="str">
        <f>100*(1-(SUMIFS('CVD_40q30_Age'!$M$2:$M$2081,'CVD_40q30_Age'!$A$2:$A$2081,A46,'CVD_40q30_Age'!$B$2:$B$2081,B46,'CVD_40q30_Age'!$E$2:$E$2081,G46,'CVD_40q30_Age'!$F$2:$F$2081,H46,'CVD_40q30_Age'!$G$2:$G$2081,69))/(SUMIFS('CVD_40q30_Age'!$L$2:$L$2081,'CVD_40q30_Age'!$A$2:$A$2081,A46,'CVD_40q30_Age'!$B$2:$B$2081,B46,'CVD_40q30_Age'!$E$2:$E$2081,G46,'CVD_40q30_Age'!$F$2:$F$2081,H46,'CVD_40q30_Age'!$G$2:$G$2081,30)))</f>
      </c>
      <c r="J46" s="184" t="str">
        <f>SUMIFS($I$2:$I$53,$A$2:$A$53,A46,$G$2:$G$53,G46,$H$2:$H$53,H46,$B$2:$B$53,"baseline")</f>
      </c>
      <c r="K46" s="185" t="str">
        <f>J46-I46</f>
      </c>
      <c r="L46" s="186" t="str">
        <f>IF(J46=0,"",100*(J46-I46)/J46)</f>
      </c>
      <c r="M46" s="187" t="n">
        <v>12.5855401812507</v>
      </c>
      <c r="N46" s="34" t="str">
        <f>IF(ABS(I46-M46)&lt;=0.001,"match","mismatch")</f>
      </c>
    </row>
    <row r="47">
      <c r="A47" t="s">
        <v>164</v>
      </c>
      <c r="B47" t="s">
        <v>112</v>
      </c>
      <c r="C47" s="32" t="s">
        <v>297</v>
      </c>
      <c r="D47" t="s">
        <v>112</v>
      </c>
      <c r="E47"/>
      <c r="F47"/>
      <c r="G47" t="s">
        <v>395</v>
      </c>
      <c r="H47" s="182" t="n">
        <v>2044</v>
      </c>
      <c r="I47" s="183" t="str">
        <f>100*(1-(SUMIFS('CVD_40q30_Age'!$M$2:$M$2081,'CVD_40q30_Age'!$A$2:$A$2081,A47,'CVD_40q30_Age'!$B$2:$B$2081,B47,'CVD_40q30_Age'!$E$2:$E$2081,G47,'CVD_40q30_Age'!$F$2:$F$2081,H47,'CVD_40q30_Age'!$G$2:$G$2081,69))/(SUMIFS('CVD_40q30_Age'!$L$2:$L$2081,'CVD_40q30_Age'!$A$2:$A$2081,A47,'CVD_40q30_Age'!$B$2:$B$2081,B47,'CVD_40q30_Age'!$E$2:$E$2081,G47,'CVD_40q30_Age'!$F$2:$F$2081,H47,'CVD_40q30_Age'!$G$2:$G$2081,30)))</f>
      </c>
      <c r="J47" s="184" t="str">
        <f>SUMIFS($I$2:$I$53,$A$2:$A$53,A47,$G$2:$G$53,G47,$H$2:$H$53,H47,$B$2:$B$53,"baseline")</f>
      </c>
      <c r="K47" s="185" t="str">
        <f>J47-I47</f>
      </c>
      <c r="L47" s="186" t="str">
        <f>IF(J47=0,"",100*(J47-I47)/J47)</f>
      </c>
      <c r="M47" s="187" t="n">
        <v>12.450986408723</v>
      </c>
      <c r="N47" s="34" t="str">
        <f>IF(ABS(I47-M47)&lt;=0.001,"match","mismatch")</f>
      </c>
    </row>
    <row r="48">
      <c r="A48" t="s">
        <v>164</v>
      </c>
      <c r="B48" t="s">
        <v>112</v>
      </c>
      <c r="C48" s="32" t="s">
        <v>297</v>
      </c>
      <c r="D48" t="s">
        <v>112</v>
      </c>
      <c r="E48"/>
      <c r="F48"/>
      <c r="G48" t="s">
        <v>395</v>
      </c>
      <c r="H48" s="182" t="n">
        <v>2045</v>
      </c>
      <c r="I48" s="183" t="str">
        <f>100*(1-(SUMIFS('CVD_40q30_Age'!$M$2:$M$2081,'CVD_40q30_Age'!$A$2:$A$2081,A48,'CVD_40q30_Age'!$B$2:$B$2081,B48,'CVD_40q30_Age'!$E$2:$E$2081,G48,'CVD_40q30_Age'!$F$2:$F$2081,H48,'CVD_40q30_Age'!$G$2:$G$2081,69))/(SUMIFS('CVD_40q30_Age'!$L$2:$L$2081,'CVD_40q30_Age'!$A$2:$A$2081,A48,'CVD_40q30_Age'!$B$2:$B$2081,B48,'CVD_40q30_Age'!$E$2:$E$2081,G48,'CVD_40q30_Age'!$F$2:$F$2081,H48,'CVD_40q30_Age'!$G$2:$G$2081,30)))</f>
      </c>
      <c r="J48" s="184" t="str">
        <f>SUMIFS($I$2:$I$53,$A$2:$A$53,A48,$G$2:$G$53,G48,$H$2:$H$53,H48,$B$2:$B$53,"baseline")</f>
      </c>
      <c r="K48" s="185" t="str">
        <f>J48-I48</f>
      </c>
      <c r="L48" s="186" t="str">
        <f>IF(J48=0,"",100*(J48-I48)/J48)</f>
      </c>
      <c r="M48" s="187" t="n">
        <v>12.3247070488151</v>
      </c>
      <c r="N48" s="34" t="str">
        <f>IF(ABS(I48-M48)&lt;=0.001,"match","mismatch")</f>
      </c>
    </row>
    <row r="49">
      <c r="A49" t="s">
        <v>164</v>
      </c>
      <c r="B49" t="s">
        <v>112</v>
      </c>
      <c r="C49" s="32" t="s">
        <v>297</v>
      </c>
      <c r="D49" t="s">
        <v>112</v>
      </c>
      <c r="E49"/>
      <c r="F49"/>
      <c r="G49" t="s">
        <v>395</v>
      </c>
      <c r="H49" s="182" t="n">
        <v>2046</v>
      </c>
      <c r="I49" s="183" t="str">
        <f>100*(1-(SUMIFS('CVD_40q30_Age'!$M$2:$M$2081,'CVD_40q30_Age'!$A$2:$A$2081,A49,'CVD_40q30_Age'!$B$2:$B$2081,B49,'CVD_40q30_Age'!$E$2:$E$2081,G49,'CVD_40q30_Age'!$F$2:$F$2081,H49,'CVD_40q30_Age'!$G$2:$G$2081,69))/(SUMIFS('CVD_40q30_Age'!$L$2:$L$2081,'CVD_40q30_Age'!$A$2:$A$2081,A49,'CVD_40q30_Age'!$B$2:$B$2081,B49,'CVD_40q30_Age'!$E$2:$E$2081,G49,'CVD_40q30_Age'!$F$2:$F$2081,H49,'CVD_40q30_Age'!$G$2:$G$2081,30)))</f>
      </c>
      <c r="J49" s="184" t="str">
        <f>SUMIFS($I$2:$I$53,$A$2:$A$53,A49,$G$2:$G$53,G49,$H$2:$H$53,H49,$B$2:$B$53,"baseline")</f>
      </c>
      <c r="K49" s="185" t="str">
        <f>J49-I49</f>
      </c>
      <c r="L49" s="186" t="str">
        <f>IF(J49=0,"",100*(J49-I49)/J49)</f>
      </c>
      <c r="M49" s="187" t="n">
        <v>12.1957867035551</v>
      </c>
      <c r="N49" s="34" t="str">
        <f>IF(ABS(I49-M49)&lt;=0.001,"match","mismatch")</f>
      </c>
    </row>
    <row r="50">
      <c r="A50" t="s">
        <v>164</v>
      </c>
      <c r="B50" t="s">
        <v>112</v>
      </c>
      <c r="C50" s="32" t="s">
        <v>297</v>
      </c>
      <c r="D50" t="s">
        <v>112</v>
      </c>
      <c r="E50"/>
      <c r="F50"/>
      <c r="G50" t="s">
        <v>395</v>
      </c>
      <c r="H50" s="182" t="n">
        <v>2047</v>
      </c>
      <c r="I50" s="183" t="str">
        <f>100*(1-(SUMIFS('CVD_40q30_Age'!$M$2:$M$2081,'CVD_40q30_Age'!$A$2:$A$2081,A50,'CVD_40q30_Age'!$B$2:$B$2081,B50,'CVD_40q30_Age'!$E$2:$E$2081,G50,'CVD_40q30_Age'!$F$2:$F$2081,H50,'CVD_40q30_Age'!$G$2:$G$2081,69))/(SUMIFS('CVD_40q30_Age'!$L$2:$L$2081,'CVD_40q30_Age'!$A$2:$A$2081,A50,'CVD_40q30_Age'!$B$2:$B$2081,B50,'CVD_40q30_Age'!$E$2:$E$2081,G50,'CVD_40q30_Age'!$F$2:$F$2081,H50,'CVD_40q30_Age'!$G$2:$G$2081,30)))</f>
      </c>
      <c r="J50" s="184" t="str">
        <f>SUMIFS($I$2:$I$53,$A$2:$A$53,A50,$G$2:$G$53,G50,$H$2:$H$53,H50,$B$2:$B$53,"baseline")</f>
      </c>
      <c r="K50" s="185" t="str">
        <f>J50-I50</f>
      </c>
      <c r="L50" s="186" t="str">
        <f>IF(J50=0,"",100*(J50-I50)/J50)</f>
      </c>
      <c r="M50" s="187" t="n">
        <v>12.0660778096055</v>
      </c>
      <c r="N50" s="34" t="str">
        <f>IF(ABS(I50-M50)&lt;=0.001,"match","mismatch")</f>
      </c>
    </row>
    <row r="51">
      <c r="A51" t="s">
        <v>164</v>
      </c>
      <c r="B51" t="s">
        <v>112</v>
      </c>
      <c r="C51" s="32" t="s">
        <v>297</v>
      </c>
      <c r="D51" t="s">
        <v>112</v>
      </c>
      <c r="E51"/>
      <c r="F51"/>
      <c r="G51" t="s">
        <v>395</v>
      </c>
      <c r="H51" s="182" t="n">
        <v>2048</v>
      </c>
      <c r="I51" s="183" t="str">
        <f>100*(1-(SUMIFS('CVD_40q30_Age'!$M$2:$M$2081,'CVD_40q30_Age'!$A$2:$A$2081,A51,'CVD_40q30_Age'!$B$2:$B$2081,B51,'CVD_40q30_Age'!$E$2:$E$2081,G51,'CVD_40q30_Age'!$F$2:$F$2081,H51,'CVD_40q30_Age'!$G$2:$G$2081,69))/(SUMIFS('CVD_40q30_Age'!$L$2:$L$2081,'CVD_40q30_Age'!$A$2:$A$2081,A51,'CVD_40q30_Age'!$B$2:$B$2081,B51,'CVD_40q30_Age'!$E$2:$E$2081,G51,'CVD_40q30_Age'!$F$2:$F$2081,H51,'CVD_40q30_Age'!$G$2:$G$2081,30)))</f>
      </c>
      <c r="J51" s="184" t="str">
        <f>SUMIFS($I$2:$I$53,$A$2:$A$53,A51,$G$2:$G$53,G51,$H$2:$H$53,H51,$B$2:$B$53,"baseline")</f>
      </c>
      <c r="K51" s="185" t="str">
        <f>J51-I51</f>
      </c>
      <c r="L51" s="186" t="str">
        <f>IF(J51=0,"",100*(J51-I51)/J51)</f>
      </c>
      <c r="M51" s="187" t="n">
        <v>11.9315491810017</v>
      </c>
      <c r="N51" s="34" t="str">
        <f>IF(ABS(I51-M51)&lt;=0.001,"match","mismatch")</f>
      </c>
    </row>
    <row r="52">
      <c r="A52" t="s">
        <v>164</v>
      </c>
      <c r="B52" t="s">
        <v>112</v>
      </c>
      <c r="C52" s="32" t="s">
        <v>297</v>
      </c>
      <c r="D52" t="s">
        <v>112</v>
      </c>
      <c r="E52"/>
      <c r="F52"/>
      <c r="G52" t="s">
        <v>395</v>
      </c>
      <c r="H52" s="182" t="n">
        <v>2049</v>
      </c>
      <c r="I52" s="183" t="str">
        <f>100*(1-(SUMIFS('CVD_40q30_Age'!$M$2:$M$2081,'CVD_40q30_Age'!$A$2:$A$2081,A52,'CVD_40q30_Age'!$B$2:$B$2081,B52,'CVD_40q30_Age'!$E$2:$E$2081,G52,'CVD_40q30_Age'!$F$2:$F$2081,H52,'CVD_40q30_Age'!$G$2:$G$2081,69))/(SUMIFS('CVD_40q30_Age'!$L$2:$L$2081,'CVD_40q30_Age'!$A$2:$A$2081,A52,'CVD_40q30_Age'!$B$2:$B$2081,B52,'CVD_40q30_Age'!$E$2:$E$2081,G52,'CVD_40q30_Age'!$F$2:$F$2081,H52,'CVD_40q30_Age'!$G$2:$G$2081,30)))</f>
      </c>
      <c r="J52" s="184" t="str">
        <f>SUMIFS($I$2:$I$53,$A$2:$A$53,A52,$G$2:$G$53,G52,$H$2:$H$53,H52,$B$2:$B$53,"baseline")</f>
      </c>
      <c r="K52" s="185" t="str">
        <f>J52-I52</f>
      </c>
      <c r="L52" s="186" t="str">
        <f>IF(J52=0,"",100*(J52-I52)/J52)</f>
      </c>
      <c r="M52" s="187" t="n">
        <v>11.8054215438263</v>
      </c>
      <c r="N52" s="34" t="str">
        <f>IF(ABS(I52-M52)&lt;=0.001,"match","mismatch")</f>
      </c>
    </row>
    <row r="53">
      <c r="A53" t="s">
        <v>164</v>
      </c>
      <c r="B53" t="s">
        <v>112</v>
      </c>
      <c r="C53" s="32" t="s">
        <v>297</v>
      </c>
      <c r="D53" t="s">
        <v>112</v>
      </c>
      <c r="E53"/>
      <c r="F53"/>
      <c r="G53" t="s">
        <v>395</v>
      </c>
      <c r="H53" s="182" t="n">
        <v>2050</v>
      </c>
      <c r="I53" s="183" t="str">
        <f>100*(1-(SUMIFS('CVD_40q30_Age'!$M$2:$M$2081,'CVD_40q30_Age'!$A$2:$A$2081,A53,'CVD_40q30_Age'!$B$2:$B$2081,B53,'CVD_40q30_Age'!$E$2:$E$2081,G53,'CVD_40q30_Age'!$F$2:$F$2081,H53,'CVD_40q30_Age'!$G$2:$G$2081,69))/(SUMIFS('CVD_40q30_Age'!$L$2:$L$2081,'CVD_40q30_Age'!$A$2:$A$2081,A53,'CVD_40q30_Age'!$B$2:$B$2081,B53,'CVD_40q30_Age'!$E$2:$E$2081,G53,'CVD_40q30_Age'!$F$2:$F$2081,H53,'CVD_40q30_Age'!$G$2:$G$2081,30)))</f>
      </c>
      <c r="J53" s="184" t="str">
        <f>SUMIFS($I$2:$I$53,$A$2:$A$53,A53,$G$2:$G$53,G53,$H$2:$H$53,H53,$B$2:$B$53,"baseline")</f>
      </c>
      <c r="K53" s="185" t="str">
        <f>J53-I53</f>
      </c>
      <c r="L53" s="186" t="str">
        <f>IF(J53=0,"",100*(J53-I53)/J53)</f>
      </c>
      <c r="M53" s="187" t="n">
        <v>11.686286604643</v>
      </c>
      <c r="N53" s="34" t="str">
        <f>IF(ABS(I53-M53)&lt;=0.001,"match","mismatch")</f>
      </c>
    </row>
  </sheetData>
  <autoFilter ref="A1:N1"/>
  <conditionalFormatting sqref="N2:N53">
    <cfRule type="containsText" dxfId="0" priority="2" operator="containsText" text="match">
      <formula>NOT(ISERROR(SEARCH("match", N2)))</formula>
    </cfRule>
    <cfRule type="containsText" dxfId="1" priority="1" operator="containsText" text="mismatch">
      <formula>NOT(ISERROR(SEARCH("mismatch", N2)))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61</v>
      </c>
      <c r="B1" s="1" t="s">
        <v>404</v>
      </c>
      <c r="C1" s="1" t="s">
        <v>405</v>
      </c>
      <c r="D1" s="1" t="s">
        <v>406</v>
      </c>
      <c r="E1" s="1" t="s">
        <v>407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1.71" hidden="0" customWidth="1"/>
    <col min="4" max="4" width="11.71" hidden="0" customWidth="1"/>
    <col min="5" max="5" width="11.71" hidden="0" customWidth="1"/>
  </cols>
  <sheetData>
    <row r="1" ht="28" customHeight="1">
      <c r="A1" s="1" t="s">
        <v>408</v>
      </c>
      <c r="B1" s="1" t="s">
        <v>409</v>
      </c>
      <c r="C1" s="1" t="s">
        <v>410</v>
      </c>
      <c r="D1" s="1" t="s">
        <v>411</v>
      </c>
      <c r="E1" s="1" t="s">
        <v>412</v>
      </c>
    </row>
    <row r="2">
      <c r="A2" t="s">
        <v>413</v>
      </c>
      <c r="B2" t="s">
        <v>177</v>
      </c>
      <c r="C2" s="34" t="str">
        <f>COUNTIF('Selected_Interventions'!$U$2:$U$7,"&gt;1")</f>
      </c>
      <c r="D2" s="34" t="str">
        <f>IF(C2=0,"PASS","FAIL")</f>
      </c>
      <c r="E2" s="32" t="s">
        <v>414</v>
      </c>
    </row>
    <row r="3">
      <c r="A3" t="s">
        <v>415</v>
      </c>
      <c r="B3" t="s">
        <v>177</v>
      </c>
      <c r="C3" s="34" t="str">
        <f>COUNTIF('Input_Diagnostic'!$E$2:$E$2,"FAIL")</f>
      </c>
      <c r="D3" s="34" t="str">
        <f>IF(C3=0,"PASS","REVIEW")</f>
      </c>
      <c r="E3" s="32" t="s">
        <v>416</v>
      </c>
    </row>
    <row r="4">
      <c r="A4" t="s">
        <v>417</v>
      </c>
      <c r="B4" t="s">
        <v>177</v>
      </c>
      <c r="C4" s="34" t="str">
        <f>COUNTIF('Input_Diagnostic'!$E$2:$E$2,"REVIEW")</f>
      </c>
      <c r="D4" s="34" t="str">
        <f>IF(C4=0,"PASS","REVIEW")</f>
      </c>
      <c r="E4" s="32" t="s">
        <v>418</v>
      </c>
    </row>
    <row r="5">
      <c r="A5" t="s">
        <v>419</v>
      </c>
      <c r="B5" t="s">
        <v>420</v>
      </c>
      <c r="C5" s="34" t="str">
        <f>COUNTBLANK('Annual_Mortality'!$G$2:$G$365)=0</f>
      </c>
      <c r="D5" s="34" t="str">
        <f>IF(C5=TRUE,"PASS","FAIL")</f>
      </c>
      <c r="E5" s="32" t="s">
        <v>421</v>
      </c>
    </row>
    <row r="6">
      <c r="A6" t="s">
        <v>422</v>
      </c>
      <c r="B6" t="s">
        <v>177</v>
      </c>
      <c r="C6" s="34" t="str">
        <f>'Calculation_Assumptions'!$B$16</f>
      </c>
      <c r="D6" s="34" t="str">
        <f>IF(C6=0,"PASS","FAIL")</f>
      </c>
      <c r="E6" s="32" t="s">
        <v>423</v>
      </c>
    </row>
    <row r="7">
      <c r="A7" t="s">
        <v>424</v>
      </c>
      <c r="B7" t="s">
        <v>425</v>
      </c>
      <c r="C7" s="34" t="str">
        <f>'Calculation_Assumptions'!$B$14</f>
      </c>
      <c r="D7" s="34" t="str">
        <f>IF(C7&lt;='Calculation_Assumptions'!$B$12,"PASS","REVIEW")</f>
      </c>
      <c r="E7" s="32" t="s">
        <v>426</v>
      </c>
    </row>
    <row r="8">
      <c r="A8" t="s">
        <v>427</v>
      </c>
      <c r="B8" t="s">
        <v>428</v>
      </c>
      <c r="C8" s="34" t="str">
        <f>'Calculation_Assumptions'!$B$15</f>
      </c>
      <c r="D8" s="34" t="str">
        <f>IF(C8=1,"PASS","FAIL")</f>
      </c>
      <c r="E8" s="32" t="s">
        <v>429</v>
      </c>
    </row>
    <row r="9">
      <c r="A9" t="s">
        <v>430</v>
      </c>
      <c r="B9" t="s">
        <v>431</v>
      </c>
      <c r="C9" s="34" t="str">
        <f>ABS(SUM('Budget_Impact'!$D$2:$D$27)-SUM('Annual_Cost'!$R$2:$R$131))+ABS(SUM('Budget_Impact'!$C$2:$C$27)-SUM('Annual_Cost'!$Q$2:$Q$131))</f>
      </c>
      <c r="D9" s="34" t="str">
        <f>IF(C9&lt;='Calculation_Assumptions'!$B$11,"PASS","FAIL")</f>
      </c>
      <c r="E9" s="32" t="s">
        <v>432</v>
      </c>
    </row>
    <row r="10">
      <c r="A10" t="s">
        <v>433</v>
      </c>
      <c r="B10" t="s">
        <v>177</v>
      </c>
      <c r="C10" s="34" t="str">
        <f>COUNTIF('Annual_Cost'!$AH$2:$AH$131,"&gt;1")</f>
      </c>
      <c r="D10" s="34" t="str">
        <f>IF(C10=0,"PASS","FAIL")</f>
      </c>
      <c r="E10" s="32" t="s">
        <v>434</v>
      </c>
    </row>
    <row r="11">
      <c r="A11" t="s">
        <v>435</v>
      </c>
      <c r="B11" t="s">
        <v>436</v>
      </c>
      <c r="C11" s="34" t="str">
        <f>IF(COUNTIF('Cost_Effectiveness'!$I$2:$I$2,"mismatch")=0,"consistent","mismatch")</f>
      </c>
      <c r="D11" s="34" t="str">
        <f>IF(C11="consistent","PASS","FAIL")</f>
      </c>
      <c r="E11" s="32" t="s">
        <v>437</v>
      </c>
    </row>
    <row r="12">
      <c r="A12" t="s">
        <v>438</v>
      </c>
      <c r="B12" t="s">
        <v>439</v>
      </c>
      <c r="C12" s="34" t="str">
        <f>INDEX('Cost_Effectiveness'!$C$2:$C$2,MATCH('Calculation_Assumptions'!$B$20,'Cost_Effectiveness'!$A$2:$A$2,0))</f>
      </c>
      <c r="D12" s="34" t="str">
        <f>IF(ABS(C12-'Calculation_Assumptions'!$B$17)&lt;=ABS('Calculation_Assumptions'!$B$17)*0.000001+0.5,"PASS","FAIL")</f>
      </c>
      <c r="E12" s="32" t="s">
        <v>440</v>
      </c>
    </row>
    <row r="13">
      <c r="A13" t="s">
        <v>441</v>
      </c>
      <c r="B13" t="s">
        <v>439</v>
      </c>
      <c r="C13" s="34" t="str">
        <f>INDEX('Cost_Effectiveness'!$F$2:$F$2,MATCH('Calculation_Assumptions'!$B$20,'Cost_Effectiveness'!$A$2:$A$2,0))</f>
      </c>
      <c r="D13" s="34" t="str">
        <f>IF(ABS(C13-'Calculation_Assumptions'!$B$18)&lt;=ABS('Calculation_Assumptions'!$B$18)*0.000001+1,"PASS","FAIL")</f>
      </c>
      <c r="E13" s="32" t="s">
        <v>442</v>
      </c>
    </row>
    <row r="14">
      <c r="A14" t="s">
        <v>443</v>
      </c>
      <c r="B14" t="s">
        <v>439</v>
      </c>
      <c r="C14" s="34" t="str">
        <f>INDEX('Cost_Effectiveness'!$G$2:$G$2,MATCH('Calculation_Assumptions'!$B$20,'Cost_Effectiveness'!$A$2:$A$2,0))</f>
      </c>
      <c r="D14" s="34" t="str">
        <f>IF(ABS(C14-'Calculation_Assumptions'!$B$19)&lt;=ABS('Calculation_Assumptions'!$B$19)*0.000001+1,"PASS","FAIL")</f>
      </c>
      <c r="E14" s="32" t="s">
        <v>444</v>
      </c>
    </row>
    <row r="15">
      <c r="A15" t="s">
        <v>445</v>
      </c>
      <c r="B15" t="s">
        <v>177</v>
      </c>
      <c r="C15" s="34" t="str">
        <f>SUMPRODUCT(('Economic_Value'!$L$2:$L$27&lt;'Economic_Value'!$K$2:$K$27)*1)</f>
      </c>
      <c r="D15" s="34" t="str">
        <f>IF(C15=0,"PASS","FAIL")</f>
      </c>
      <c r="E15" s="32" t="s">
        <v>446</v>
      </c>
    </row>
    <row r="16">
      <c r="A16" t="s">
        <v>447</v>
      </c>
      <c r="B16" t="s">
        <v>448</v>
      </c>
      <c r="C16" s="34" t="str">
        <f>IF(AND('Calculation_Assumptions'!$B$26=1.5,'Calculation_Assumptions'!$B$25=160,'Calculation_Assumptions'!$B$27=20),"as_specified","edited")</f>
      </c>
      <c r="D16" s="34" t="str">
        <f>IF(C16="as_specified","PASS","REVIEW")</f>
      </c>
      <c r="E16" s="32" t="s">
        <v>449</v>
      </c>
    </row>
    <row r="17">
      <c r="A17" t="s">
        <v>450</v>
      </c>
      <c r="B17" t="s">
        <v>451</v>
      </c>
      <c r="C17" s="34" t="str">
        <f>IF('Calculation_Assumptions'!$B$33='Calculation_Assumptions'!$B$6,"match","mismatch")</f>
      </c>
      <c r="D17" s="34" t="str">
        <f>IF(C17="match","PASS","REVIEW")</f>
      </c>
      <c r="E17" s="32" t="s">
        <v>452</v>
      </c>
    </row>
    <row r="18">
      <c r="A18" t="s">
        <v>453</v>
      </c>
      <c r="B18" t="s">
        <v>177</v>
      </c>
      <c r="C18" s="34" t="str">
        <f>SUMPRODUCT((COUNTIF('Health_Outcomes'!$A$2:$A$27,'Benefit_Cost'!$A$2:$A$5)=0)*1)</f>
      </c>
      <c r="D18" s="34" t="str">
        <f>IF(C18=0,"PASS","FAIL")</f>
      </c>
      <c r="E18" s="32" t="s">
        <v>454</v>
      </c>
    </row>
    <row r="19">
      <c r="A19" t="s">
        <v>455</v>
      </c>
      <c r="B19" t="s">
        <v>177</v>
      </c>
      <c r="C19" s="34" t="str">
        <f>COUNTIF('CVD_40q30'!$N$2:$N$53,"mismatch")</f>
      </c>
      <c r="D19" s="34" t="str">
        <f>IF(C19=0,"PASS","FAIL")</f>
      </c>
      <c r="E19" s="32" t="s">
        <v>456</v>
      </c>
    </row>
  </sheetData>
  <autoFilter ref="A1:E1"/>
  <conditionalFormatting sqref="D2:D19">
    <cfRule type="containsText" dxfId="0" priority="3" operator="containsText" text="PASS">
      <formula>NOT(ISERROR(SEARCH("PASS", D2)))</formula>
    </cfRule>
    <cfRule type="containsText" dxfId="1" priority="2" operator="containsText" text="FAIL">
      <formula>NOT(ISERROR(SEARCH("FAIL", D2)))</formula>
    </cfRule>
    <cfRule type="containsText" dxfId="2" priority="1" operator="containsText" text="REVIEW">
      <formula>NOT(ISERROR(SEARCH("REVIEW", D2)))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0.71" hidden="0" customWidth="1"/>
    <col min="2" max="2" width="26.71" hidden="0" customWidth="1"/>
    <col min="3" max="3" width="88.71" hidden="0" customWidth="1"/>
    <col min="4" max="4" width="58.71" hidden="0" customWidth="1"/>
  </cols>
  <sheetData>
    <row r="1" ht="28" customHeight="1">
      <c r="A1" s="1" t="s">
        <v>457</v>
      </c>
      <c r="B1" s="1" t="s">
        <v>458</v>
      </c>
      <c r="C1" s="1" t="s">
        <v>459</v>
      </c>
      <c r="D1" s="1" t="s">
        <v>5</v>
      </c>
    </row>
    <row r="2">
      <c r="A2" t="s">
        <v>460</v>
      </c>
      <c r="B2" t="s">
        <v>461</v>
      </c>
      <c r="C2" s="32" t="s">
        <v>462</v>
      </c>
      <c r="D2" s="32" t="s">
        <v>463</v>
      </c>
    </row>
    <row r="3">
      <c r="A3" t="s">
        <v>464</v>
      </c>
      <c r="B3" t="s">
        <v>465</v>
      </c>
      <c r="C3" s="32" t="s">
        <v>466</v>
      </c>
      <c r="D3" s="32" t="s">
        <v>463</v>
      </c>
    </row>
    <row r="4">
      <c r="A4" t="s">
        <v>467</v>
      </c>
      <c r="B4" t="s">
        <v>468</v>
      </c>
      <c r="C4" s="32" t="s">
        <v>469</v>
      </c>
      <c r="D4" s="32" t="s">
        <v>463</v>
      </c>
    </row>
    <row r="5">
      <c r="A5" t="s">
        <v>470</v>
      </c>
      <c r="B5" t="s">
        <v>471</v>
      </c>
      <c r="C5" s="32" t="s">
        <v>472</v>
      </c>
      <c r="D5" s="32" t="s">
        <v>463</v>
      </c>
    </row>
    <row r="6">
      <c r="A6" t="s">
        <v>473</v>
      </c>
      <c r="B6" t="s">
        <v>474</v>
      </c>
      <c r="C6" s="32" t="s">
        <v>475</v>
      </c>
      <c r="D6" s="32" t="s">
        <v>476</v>
      </c>
    </row>
    <row r="7">
      <c r="A7" t="s">
        <v>477</v>
      </c>
      <c r="B7" t="s">
        <v>478</v>
      </c>
      <c r="C7" s="32" t="s">
        <v>479</v>
      </c>
      <c r="D7" s="32" t="s">
        <v>480</v>
      </c>
    </row>
    <row r="8">
      <c r="A8" t="s">
        <v>481</v>
      </c>
      <c r="B8" t="s">
        <v>482</v>
      </c>
      <c r="C8" s="32" t="s">
        <v>483</v>
      </c>
      <c r="D8" s="32" t="s">
        <v>480</v>
      </c>
    </row>
    <row r="9">
      <c r="A9" t="s">
        <v>484</v>
      </c>
      <c r="B9" t="s">
        <v>485</v>
      </c>
      <c r="C9" s="32" t="s">
        <v>486</v>
      </c>
      <c r="D9" s="32" t="s">
        <v>480</v>
      </c>
    </row>
    <row r="10">
      <c r="A10" t="s">
        <v>487</v>
      </c>
      <c r="B10" t="s">
        <v>138</v>
      </c>
      <c r="C10" s="32" t="s">
        <v>488</v>
      </c>
      <c r="D10" s="32" t="s">
        <v>480</v>
      </c>
    </row>
    <row r="11">
      <c r="A11" t="s">
        <v>489</v>
      </c>
      <c r="B11" t="s">
        <v>140</v>
      </c>
      <c r="C11" s="32" t="s">
        <v>490</v>
      </c>
      <c r="D11" s="32" t="s">
        <v>480</v>
      </c>
    </row>
    <row r="12">
      <c r="A12" t="s">
        <v>491</v>
      </c>
      <c r="B12" t="s">
        <v>492</v>
      </c>
      <c r="C12" s="32" t="s">
        <v>493</v>
      </c>
      <c r="D12" s="32" t="s">
        <v>494</v>
      </c>
    </row>
    <row r="13">
      <c r="A13" t="s">
        <v>495</v>
      </c>
      <c r="B13" t="s">
        <v>496</v>
      </c>
      <c r="C13" s="32" t="s">
        <v>497</v>
      </c>
      <c r="D13" s="32" t="s">
        <v>498</v>
      </c>
    </row>
    <row r="14">
      <c r="A14" t="s">
        <v>499</v>
      </c>
      <c r="B14" t="s">
        <v>500</v>
      </c>
      <c r="C14" s="32" t="s">
        <v>501</v>
      </c>
      <c r="D14" s="32" t="s">
        <v>502</v>
      </c>
    </row>
    <row r="15">
      <c r="A15" t="s">
        <v>503</v>
      </c>
      <c r="B15" t="s">
        <v>504</v>
      </c>
      <c r="C15" s="32" t="s">
        <v>505</v>
      </c>
      <c r="D15" s="32" t="s">
        <v>506</v>
      </c>
    </row>
    <row r="16">
      <c r="A16" t="s">
        <v>507</v>
      </c>
      <c r="B16" t="s">
        <v>508</v>
      </c>
      <c r="C16" s="32" t="s">
        <v>509</v>
      </c>
      <c r="D16" s="32" t="s">
        <v>506</v>
      </c>
    </row>
    <row r="17">
      <c r="A17" t="s">
        <v>510</v>
      </c>
      <c r="B17" t="s">
        <v>511</v>
      </c>
      <c r="C17" s="32" t="s">
        <v>512</v>
      </c>
      <c r="D17" s="32" t="s">
        <v>506</v>
      </c>
    </row>
    <row r="18">
      <c r="A18" t="s">
        <v>513</v>
      </c>
      <c r="B18" t="s">
        <v>514</v>
      </c>
      <c r="C18" s="32" t="s">
        <v>515</v>
      </c>
      <c r="D18" s="32" t="s">
        <v>506</v>
      </c>
    </row>
    <row r="19">
      <c r="A19" t="s">
        <v>516</v>
      </c>
      <c r="B19" t="s">
        <v>517</v>
      </c>
      <c r="C19" s="32" t="s">
        <v>518</v>
      </c>
      <c r="D19" s="32" t="s">
        <v>519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18.71" hidden="0" customWidth="1"/>
    <col min="3" max="3" width="34.71" hidden="0" customWidth="1"/>
    <col min="4" max="4" width="52.71" hidden="0" customWidth="1"/>
    <col min="5" max="5" width="26.71" hidden="0" customWidth="1"/>
  </cols>
  <sheetData>
    <row r="1" ht="28" customHeight="1">
      <c r="A1" s="1" t="s">
        <v>520</v>
      </c>
      <c r="B1" s="1" t="s">
        <v>521</v>
      </c>
      <c r="C1" s="1" t="s">
        <v>522</v>
      </c>
      <c r="D1" s="1" t="s">
        <v>523</v>
      </c>
      <c r="E1" s="1" t="s">
        <v>524</v>
      </c>
    </row>
    <row r="2">
      <c r="A2" t="s">
        <v>525</v>
      </c>
      <c r="B2" t="s">
        <v>526</v>
      </c>
      <c r="C2" s="32" t="s">
        <v>527</v>
      </c>
      <c r="D2" s="32" t="s">
        <v>528</v>
      </c>
      <c r="E2" t="s">
        <v>529</v>
      </c>
    </row>
    <row r="3">
      <c r="A3" t="s">
        <v>530</v>
      </c>
      <c r="B3" t="s">
        <v>531</v>
      </c>
      <c r="C3" s="32" t="s">
        <v>525</v>
      </c>
      <c r="D3" s="32" t="s">
        <v>532</v>
      </c>
      <c r="E3" t="s">
        <v>529</v>
      </c>
    </row>
    <row r="4">
      <c r="A4" t="s">
        <v>533</v>
      </c>
      <c r="B4" t="s">
        <v>534</v>
      </c>
      <c r="C4" s="32" t="s">
        <v>535</v>
      </c>
      <c r="D4" s="32" t="s">
        <v>536</v>
      </c>
      <c r="E4" t="s">
        <v>529</v>
      </c>
    </row>
    <row r="5">
      <c r="A5" t="s">
        <v>537</v>
      </c>
      <c r="B5" t="s">
        <v>538</v>
      </c>
      <c r="C5" s="32" t="s">
        <v>539</v>
      </c>
      <c r="D5" s="32" t="s">
        <v>540</v>
      </c>
      <c r="E5" t="s">
        <v>529</v>
      </c>
    </row>
    <row r="6">
      <c r="A6" t="s">
        <v>541</v>
      </c>
      <c r="B6" t="s">
        <v>542</v>
      </c>
      <c r="C6" s="32" t="s">
        <v>543</v>
      </c>
      <c r="D6" s="32" t="s">
        <v>544</v>
      </c>
      <c r="E6" t="s">
        <v>529</v>
      </c>
    </row>
    <row r="7">
      <c r="A7" t="s">
        <v>545</v>
      </c>
      <c r="B7" t="s">
        <v>546</v>
      </c>
      <c r="C7" s="32" t="s">
        <v>547</v>
      </c>
      <c r="D7" s="32" t="s">
        <v>548</v>
      </c>
      <c r="E7" t="s">
        <v>529</v>
      </c>
    </row>
    <row r="8">
      <c r="A8" t="s">
        <v>549</v>
      </c>
      <c r="B8" t="s">
        <v>550</v>
      </c>
      <c r="C8" s="32" t="s">
        <v>551</v>
      </c>
      <c r="D8" s="32" t="s">
        <v>552</v>
      </c>
      <c r="E8" t="s">
        <v>529</v>
      </c>
    </row>
    <row r="9">
      <c r="A9" t="s">
        <v>549</v>
      </c>
      <c r="B9" t="s">
        <v>553</v>
      </c>
      <c r="C9" s="32" t="s">
        <v>554</v>
      </c>
      <c r="D9" s="32" t="s">
        <v>555</v>
      </c>
      <c r="E9" t="s">
        <v>529</v>
      </c>
    </row>
    <row r="10">
      <c r="A10" t="s">
        <v>556</v>
      </c>
      <c r="B10" t="s">
        <v>557</v>
      </c>
      <c r="C10" s="32" t="s">
        <v>549</v>
      </c>
      <c r="D10" s="32" t="s">
        <v>558</v>
      </c>
      <c r="E10" t="s">
        <v>529</v>
      </c>
    </row>
    <row r="11">
      <c r="A11" t="s">
        <v>559</v>
      </c>
      <c r="B11" t="s">
        <v>560</v>
      </c>
      <c r="C11" s="32" t="s">
        <v>561</v>
      </c>
      <c r="D11" s="32" t="s">
        <v>562</v>
      </c>
      <c r="E11" t="s">
        <v>529</v>
      </c>
    </row>
    <row r="12">
      <c r="A12" t="s">
        <v>563</v>
      </c>
      <c r="B12" t="s">
        <v>564</v>
      </c>
      <c r="C12" s="32" t="s">
        <v>565</v>
      </c>
      <c r="D12" s="32" t="s">
        <v>566</v>
      </c>
      <c r="E12" t="s">
        <v>529</v>
      </c>
    </row>
    <row r="13">
      <c r="A13" t="s">
        <v>567</v>
      </c>
      <c r="B13" t="s">
        <v>568</v>
      </c>
      <c r="C13" s="32" t="s">
        <v>569</v>
      </c>
      <c r="D13" s="32" t="s">
        <v>570</v>
      </c>
      <c r="E13" t="s">
        <v>529</v>
      </c>
    </row>
    <row r="14">
      <c r="A14" t="s">
        <v>571</v>
      </c>
      <c r="B14" t="s">
        <v>572</v>
      </c>
      <c r="C14" s="32" t="s">
        <v>573</v>
      </c>
      <c r="D14" s="32" t="s">
        <v>574</v>
      </c>
      <c r="E14" t="s">
        <v>529</v>
      </c>
    </row>
    <row r="15">
      <c r="A15" t="s">
        <v>575</v>
      </c>
      <c r="B15" t="s">
        <v>576</v>
      </c>
      <c r="C15" s="32" t="s">
        <v>577</v>
      </c>
      <c r="D15" s="32" t="s">
        <v>578</v>
      </c>
      <c r="E15" t="s">
        <v>529</v>
      </c>
    </row>
    <row r="16">
      <c r="A16" t="s">
        <v>579</v>
      </c>
      <c r="B16" t="s">
        <v>580</v>
      </c>
      <c r="C16" s="32" t="s">
        <v>581</v>
      </c>
      <c r="D16" s="32" t="s">
        <v>582</v>
      </c>
      <c r="E16" t="s">
        <v>583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21.71" hidden="0" customWidth="1"/>
    <col min="4" max="4" width="16.71" hidden="0" customWidth="1"/>
    <col min="5" max="5" width="15.71" hidden="0" customWidth="1"/>
    <col min="6" max="6" width="19.71" hidden="0" customWidth="1"/>
    <col min="7" max="7" width="18.71" hidden="0" customWidth="1"/>
    <col min="8" max="8" width="17.71" hidden="0" customWidth="1"/>
  </cols>
  <sheetData>
    <row r="1" ht="28" customHeight="1">
      <c r="A1" s="1" t="s">
        <v>285</v>
      </c>
      <c r="B1" s="1" t="s">
        <v>286</v>
      </c>
      <c r="C1" s="1" t="s">
        <v>367</v>
      </c>
      <c r="D1" s="1" t="s">
        <v>368</v>
      </c>
      <c r="E1" s="1" t="s">
        <v>396</v>
      </c>
      <c r="F1" s="1" t="s">
        <v>397</v>
      </c>
      <c r="G1" s="1" t="s">
        <v>584</v>
      </c>
      <c r="H1" s="1" t="s">
        <v>585</v>
      </c>
    </row>
    <row r="2">
      <c r="A2" s="3" t="s">
        <v>112</v>
      </c>
      <c r="B2" s="188" t="s">
        <v>297</v>
      </c>
      <c r="C2" s="3" t="s">
        <v>112</v>
      </c>
      <c r="D2" s="3" t="s">
        <v>112</v>
      </c>
      <c r="E2" s="3"/>
      <c r="F2" s="3"/>
      <c r="G2" s="188" t="s">
        <v>586</v>
      </c>
      <c r="H2" s="3" t="n">
        <v>0</v>
      </c>
    </row>
    <row r="3">
      <c r="A3" s="3" t="s">
        <v>115</v>
      </c>
      <c r="B3" s="188" t="s">
        <v>294</v>
      </c>
      <c r="C3" s="3" t="s">
        <v>378</v>
      </c>
      <c r="D3" s="3" t="s">
        <v>379</v>
      </c>
      <c r="E3" s="3" t="s">
        <v>379</v>
      </c>
      <c r="F3" s="3"/>
      <c r="G3" s="188" t="s">
        <v>587</v>
      </c>
      <c r="H3" s="3" t="n">
        <v>2</v>
      </c>
    </row>
  </sheetData>
  <autoFilter ref="A1:H1"/>
  <pageMargins left="0.7" right="0.7" top="0.75" bottom="0.75" header="0.3" footer="0.3"/>
  <pageSetup paperSize="9" orientation="portrait" horizontalDpi="300" verticalDpi="300"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4.71" hidden="0" customWidth="1"/>
    <col min="2" max="2" width="11.71" hidden="0" customWidth="1"/>
    <col min="3" max="3" width="11.71" hidden="0" customWidth="1"/>
    <col min="4" max="4" width="13.71" hidden="0" customWidth="1"/>
    <col min="5" max="5" width="11.71" hidden="0" customWidth="1"/>
    <col min="6" max="6" width="22.71" hidden="0" customWidth="1"/>
  </cols>
  <sheetData>
    <row r="1" ht="28" customHeight="1">
      <c r="A1" s="1" t="s">
        <v>0</v>
      </c>
      <c r="B1" s="1" t="s">
        <v>1</v>
      </c>
      <c r="C1" s="1" t="s">
        <v>2</v>
      </c>
      <c r="D1" s="1" t="s">
        <v>4</v>
      </c>
      <c r="E1" s="1" t="s">
        <v>5</v>
      </c>
      <c r="F1" s="1" t="s">
        <v>588</v>
      </c>
    </row>
    <row r="2">
      <c r="A2" s="3" t="s">
        <v>6</v>
      </c>
      <c r="B2" s="189" t="s">
        <v>589</v>
      </c>
      <c r="C2" s="3" t="s">
        <v>42</v>
      </c>
      <c r="D2" s="188" t="s">
        <v>590</v>
      </c>
      <c r="E2" s="188" t="s">
        <v>591</v>
      </c>
      <c r="F2" s="188" t="s">
        <v>592</v>
      </c>
    </row>
    <row r="3">
      <c r="A3" s="3" t="s">
        <v>7</v>
      </c>
      <c r="B3" s="189" t="s">
        <v>593</v>
      </c>
      <c r="C3" s="3" t="s">
        <v>42</v>
      </c>
      <c r="D3" s="188" t="s">
        <v>594</v>
      </c>
      <c r="E3" s="188" t="s">
        <v>591</v>
      </c>
      <c r="F3" s="188" t="s">
        <v>595</v>
      </c>
    </row>
    <row r="4">
      <c r="A4" s="3" t="s">
        <v>596</v>
      </c>
      <c r="B4" s="189" t="s">
        <v>597</v>
      </c>
      <c r="C4" s="3" t="s">
        <v>42</v>
      </c>
      <c r="D4" s="188" t="s">
        <v>598</v>
      </c>
      <c r="E4" s="188" t="s">
        <v>599</v>
      </c>
      <c r="F4" s="188" t="s">
        <v>600</v>
      </c>
    </row>
    <row r="5">
      <c r="A5" s="3" t="s">
        <v>601</v>
      </c>
      <c r="B5" s="189" t="s">
        <v>602</v>
      </c>
      <c r="C5" s="3" t="s">
        <v>42</v>
      </c>
      <c r="D5" s="188" t="s">
        <v>603</v>
      </c>
      <c r="E5" s="188" t="s">
        <v>599</v>
      </c>
      <c r="F5" s="188" t="s">
        <v>604</v>
      </c>
    </row>
    <row r="6">
      <c r="A6" s="3" t="s">
        <v>605</v>
      </c>
      <c r="B6" s="189" t="s">
        <v>606</v>
      </c>
      <c r="C6" s="3" t="s">
        <v>607</v>
      </c>
      <c r="D6" s="188" t="s">
        <v>608</v>
      </c>
      <c r="E6" s="188" t="s">
        <v>609</v>
      </c>
      <c r="F6" s="188" t="s">
        <v>610</v>
      </c>
    </row>
    <row r="7">
      <c r="A7" s="3" t="s">
        <v>611</v>
      </c>
      <c r="B7" s="189" t="s">
        <v>612</v>
      </c>
      <c r="C7" s="3" t="s">
        <v>607</v>
      </c>
      <c r="D7" s="188" t="s">
        <v>613</v>
      </c>
      <c r="E7" s="188" t="s">
        <v>614</v>
      </c>
      <c r="F7" s="188" t="s">
        <v>615</v>
      </c>
    </row>
    <row r="8">
      <c r="A8" s="3" t="s">
        <v>616</v>
      </c>
      <c r="B8" s="189" t="s">
        <v>612</v>
      </c>
      <c r="C8" s="3" t="s">
        <v>607</v>
      </c>
      <c r="D8" s="188" t="s">
        <v>617</v>
      </c>
      <c r="E8" s="188" t="s">
        <v>614</v>
      </c>
      <c r="F8" s="188" t="s">
        <v>618</v>
      </c>
    </row>
    <row r="9">
      <c r="A9" s="3" t="s">
        <v>619</v>
      </c>
      <c r="B9" s="189" t="s">
        <v>606</v>
      </c>
      <c r="C9" s="3" t="s">
        <v>607</v>
      </c>
      <c r="D9" s="188" t="s">
        <v>620</v>
      </c>
      <c r="E9" s="188" t="s">
        <v>621</v>
      </c>
      <c r="F9" s="188" t="s">
        <v>622</v>
      </c>
    </row>
    <row r="10">
      <c r="A10" s="3" t="s">
        <v>623</v>
      </c>
      <c r="B10" s="189" t="s">
        <v>606</v>
      </c>
      <c r="C10" s="3" t="s">
        <v>607</v>
      </c>
      <c r="D10" s="188" t="s">
        <v>624</v>
      </c>
      <c r="E10" s="188" t="s">
        <v>621</v>
      </c>
      <c r="F10" s="188" t="s">
        <v>625</v>
      </c>
    </row>
    <row r="11">
      <c r="A11" s="3" t="s">
        <v>626</v>
      </c>
      <c r="B11" s="190" t="n">
        <v>0.5</v>
      </c>
      <c r="C11" s="3" t="s">
        <v>628</v>
      </c>
      <c r="D11" s="188" t="s">
        <v>629</v>
      </c>
      <c r="E11" s="188" t="s">
        <v>609</v>
      </c>
      <c r="F11" s="188" t="s">
        <v>630</v>
      </c>
    </row>
    <row r="12">
      <c r="A12" s="3" t="s">
        <v>631</v>
      </c>
      <c r="B12" s="191" t="n">
        <v>0.1365</v>
      </c>
      <c r="C12" s="3" t="s">
        <v>607</v>
      </c>
      <c r="D12" s="188" t="s">
        <v>633</v>
      </c>
      <c r="E12" s="188" t="s">
        <v>634</v>
      </c>
      <c r="F12" s="188" t="s">
        <v>635</v>
      </c>
    </row>
    <row r="13">
      <c r="A13" s="3" t="s">
        <v>636</v>
      </c>
      <c r="B13" s="192" t="n">
        <v>0.4165</v>
      </c>
      <c r="C13" s="3" t="s">
        <v>607</v>
      </c>
      <c r="D13" s="188" t="s">
        <v>638</v>
      </c>
      <c r="E13" s="188" t="s">
        <v>634</v>
      </c>
      <c r="F13" s="188" t="s">
        <v>639</v>
      </c>
    </row>
    <row r="14">
      <c r="A14" s="3" t="s">
        <v>640</v>
      </c>
      <c r="B14" s="193" t="n">
        <v>0.342105263157895</v>
      </c>
      <c r="C14" s="3" t="s">
        <v>607</v>
      </c>
      <c r="D14" s="188" t="s">
        <v>642</v>
      </c>
      <c r="E14" s="188" t="s">
        <v>643</v>
      </c>
      <c r="F14" s="188" t="s">
        <v>644</v>
      </c>
    </row>
    <row r="15">
      <c r="A15" s="3" t="s">
        <v>645</v>
      </c>
      <c r="B15" s="189" t="s">
        <v>428</v>
      </c>
      <c r="C15" s="3" t="s">
        <v>607</v>
      </c>
      <c r="D15" s="188" t="s">
        <v>646</v>
      </c>
      <c r="E15" s="188" t="s">
        <v>647</v>
      </c>
      <c r="F15" s="188" t="s">
        <v>648</v>
      </c>
    </row>
    <row r="16">
      <c r="A16" s="3" t="s">
        <v>649</v>
      </c>
      <c r="B16" s="189" t="s">
        <v>650</v>
      </c>
      <c r="C16" s="3" t="s">
        <v>57</v>
      </c>
      <c r="D16" s="188" t="s">
        <v>651</v>
      </c>
      <c r="E16" s="188" t="s">
        <v>609</v>
      </c>
      <c r="F16" s="188" t="s">
        <v>652</v>
      </c>
    </row>
    <row r="17">
      <c r="A17" s="3" t="s">
        <v>13</v>
      </c>
      <c r="B17" s="189" t="s">
        <v>114</v>
      </c>
      <c r="C17" s="3" t="s">
        <v>57</v>
      </c>
      <c r="D17" s="188" t="s">
        <v>653</v>
      </c>
      <c r="E17" s="188" t="s">
        <v>609</v>
      </c>
      <c r="F17" s="188" t="s">
        <v>654</v>
      </c>
    </row>
    <row r="18">
      <c r="A18" s="3" t="s">
        <v>655</v>
      </c>
      <c r="B18" s="189" t="s">
        <v>656</v>
      </c>
      <c r="C18" s="3" t="s">
        <v>57</v>
      </c>
      <c r="D18" s="188" t="s">
        <v>657</v>
      </c>
      <c r="E18" s="188" t="s">
        <v>609</v>
      </c>
      <c r="F18" s="188" t="s">
        <v>658</v>
      </c>
    </row>
    <row r="19">
      <c r="A19" s="3" t="s">
        <v>659</v>
      </c>
      <c r="B19" s="189" t="s">
        <v>428</v>
      </c>
      <c r="C19" s="3" t="s">
        <v>660</v>
      </c>
      <c r="D19" s="188" t="s">
        <v>661</v>
      </c>
      <c r="E19" s="188" t="s">
        <v>662</v>
      </c>
      <c r="F19" s="188" t="s">
        <v>663</v>
      </c>
    </row>
    <row r="20">
      <c r="A20" s="3" t="s">
        <v>664</v>
      </c>
      <c r="B20" s="189" t="s">
        <v>115</v>
      </c>
      <c r="C20" s="3" t="s">
        <v>57</v>
      </c>
      <c r="D20" s="188" t="s">
        <v>665</v>
      </c>
      <c r="E20" s="188" t="s">
        <v>666</v>
      </c>
      <c r="F20" s="188" t="s">
        <v>667</v>
      </c>
    </row>
    <row r="21">
      <c r="A21" s="3" t="s">
        <v>9</v>
      </c>
      <c r="B21" s="189" t="s">
        <v>668</v>
      </c>
      <c r="C21" s="3" t="s">
        <v>50</v>
      </c>
      <c r="D21" s="188" t="s">
        <v>669</v>
      </c>
      <c r="E21" s="188" t="s">
        <v>670</v>
      </c>
      <c r="F21" s="188" t="s">
        <v>671</v>
      </c>
    </row>
    <row r="22">
      <c r="A22" s="3" t="s">
        <v>672</v>
      </c>
      <c r="B22" s="189" t="s">
        <v>668</v>
      </c>
      <c r="C22" s="3" t="s">
        <v>50</v>
      </c>
      <c r="D22" s="188" t="s">
        <v>673</v>
      </c>
      <c r="E22" s="188" t="s">
        <v>670</v>
      </c>
      <c r="F22" s="188" t="s">
        <v>674</v>
      </c>
    </row>
    <row r="23">
      <c r="A23" s="3" t="s">
        <v>10</v>
      </c>
      <c r="B23" s="189" t="s">
        <v>172</v>
      </c>
      <c r="C23" s="3" t="s">
        <v>52</v>
      </c>
      <c r="D23" s="188" t="s">
        <v>54</v>
      </c>
      <c r="E23" s="188" t="s">
        <v>670</v>
      </c>
      <c r="F23" s="188" t="s">
        <v>675</v>
      </c>
    </row>
    <row r="24">
      <c r="A24" s="3" t="s">
        <v>11</v>
      </c>
      <c r="B24" s="189" t="s">
        <v>84</v>
      </c>
      <c r="C24" s="3" t="s">
        <v>11</v>
      </c>
      <c r="D24" s="188" t="s">
        <v>676</v>
      </c>
      <c r="E24" s="188" t="s">
        <v>670</v>
      </c>
      <c r="F24" s="188" t="s">
        <v>677</v>
      </c>
    </row>
  </sheetData>
  <autoFilter ref="A1:F1"/>
  <pageMargins left="0.7" right="0.7" top="0.75" bottom="0.75" header="0.3" footer="0.3"/>
  <pageSetup paperSize="9" orientation="portrait" horizontalDpi="300" verticalDpi="300"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7.71" hidden="0" customWidth="1"/>
    <col min="2" max="2" width="16.71" hidden="0" customWidth="1"/>
    <col min="3" max="3" width="11.71" hidden="0" customWidth="1"/>
    <col min="4" max="4" width="11.71" hidden="0" customWidth="1"/>
    <col min="5" max="5" width="11.71" hidden="0" customWidth="1"/>
    <col min="6" max="6" width="29.71" hidden="0" customWidth="1"/>
    <col min="7" max="7" width="23.71" hidden="0" customWidth="1"/>
    <col min="8" max="8" width="23.71" hidden="0" customWidth="1"/>
    <col min="9" max="9" width="18.71" hidden="0" customWidth="1"/>
    <col min="10" max="10" width="28.71" hidden="0" customWidth="1"/>
    <col min="11" max="11" width="22.71" hidden="0" customWidth="1"/>
    <col min="12" max="12" width="29.71" hidden="0" customWidth="1"/>
    <col min="13" max="13" width="27.71" hidden="0" customWidth="1"/>
    <col min="14" max="14" width="31.71" hidden="0" customWidth="1"/>
  </cols>
  <sheetData>
    <row r="1" ht="28" customHeight="1">
      <c r="A1" s="1" t="s">
        <v>184</v>
      </c>
      <c r="B1" s="1" t="s">
        <v>678</v>
      </c>
      <c r="C1" s="1" t="s">
        <v>679</v>
      </c>
      <c r="D1" s="1" t="s">
        <v>42</v>
      </c>
      <c r="E1" s="1" t="s">
        <v>680</v>
      </c>
      <c r="F1" s="1" t="s">
        <v>681</v>
      </c>
      <c r="G1" s="1" t="s">
        <v>682</v>
      </c>
      <c r="H1" s="1" t="s">
        <v>683</v>
      </c>
      <c r="I1" s="1" t="s">
        <v>684</v>
      </c>
      <c r="J1" s="1" t="s">
        <v>685</v>
      </c>
      <c r="K1" s="1" t="s">
        <v>686</v>
      </c>
      <c r="L1" s="1" t="s">
        <v>687</v>
      </c>
      <c r="M1" s="1" t="s">
        <v>688</v>
      </c>
      <c r="N1" s="1" t="s">
        <v>689</v>
      </c>
    </row>
    <row r="2">
      <c r="A2" s="3" t="s">
        <v>206</v>
      </c>
      <c r="B2" s="3" t="s">
        <v>690</v>
      </c>
      <c r="C2" s="3" t="s">
        <v>691</v>
      </c>
      <c r="D2" s="194" t="n">
        <v>2025</v>
      </c>
      <c r="E2" s="3" t="s">
        <v>692</v>
      </c>
      <c r="F2" s="196" t="n">
        <v>0.0948529768060971</v>
      </c>
      <c r="G2" s="197" t="n">
        <v>0.1365</v>
      </c>
      <c r="H2" s="198" t="n">
        <v>0.4165</v>
      </c>
      <c r="I2" s="199" t="n">
        <v>0.0358347506369323</v>
      </c>
      <c r="J2" s="200" t="n">
        <v>0.11803645233833</v>
      </c>
      <c r="K2" s="195" t="n">
        <v>0.5</v>
      </c>
      <c r="L2" s="201" t="n">
        <v>0.0948529768060971</v>
      </c>
      <c r="M2" s="202" t="str">
        <f>=I2+'Cascade_Assumptions'!$B$11*J2</f>
      </c>
      <c r="N2" s="203" t="str">
        <f>=L2</f>
      </c>
    </row>
    <row r="3">
      <c r="A3" s="3" t="s">
        <v>206</v>
      </c>
      <c r="B3" s="3" t="s">
        <v>690</v>
      </c>
      <c r="C3" s="3" t="s">
        <v>691</v>
      </c>
      <c r="D3" s="194" t="n">
        <v>2026</v>
      </c>
      <c r="E3" s="3" t="s">
        <v>692</v>
      </c>
      <c r="F3" s="196" t="n">
        <v>0.0948529768060971</v>
      </c>
      <c r="G3" s="197" t="n">
        <v>0.1365</v>
      </c>
      <c r="H3" s="198" t="n">
        <v>0.4165</v>
      </c>
      <c r="I3" s="199"/>
      <c r="J3" s="200"/>
      <c r="K3" s="195"/>
      <c r="L3" s="201" t="n">
        <v>0.103182381444878</v>
      </c>
      <c r="M3" s="202"/>
      <c r="N3" s="203" t="str">
        <f>=L3</f>
      </c>
    </row>
    <row r="4">
      <c r="A4" s="3" t="s">
        <v>206</v>
      </c>
      <c r="B4" s="3" t="s">
        <v>690</v>
      </c>
      <c r="C4" s="3" t="s">
        <v>691</v>
      </c>
      <c r="D4" s="194" t="n">
        <v>2027</v>
      </c>
      <c r="E4" s="3" t="s">
        <v>692</v>
      </c>
      <c r="F4" s="196" t="n">
        <v>0.0948529768060971</v>
      </c>
      <c r="G4" s="197" t="n">
        <v>0.1365</v>
      </c>
      <c r="H4" s="198" t="n">
        <v>0.4165</v>
      </c>
      <c r="I4" s="199"/>
      <c r="J4" s="200"/>
      <c r="K4" s="195"/>
      <c r="L4" s="201" t="n">
        <v>0.111511786083658</v>
      </c>
      <c r="M4" s="202"/>
      <c r="N4" s="203" t="str">
        <f>=L4</f>
      </c>
    </row>
    <row r="5">
      <c r="A5" s="3" t="s">
        <v>206</v>
      </c>
      <c r="B5" s="3" t="s">
        <v>690</v>
      </c>
      <c r="C5" s="3" t="s">
        <v>691</v>
      </c>
      <c r="D5" s="194" t="n">
        <v>2028</v>
      </c>
      <c r="E5" s="3" t="s">
        <v>692</v>
      </c>
      <c r="F5" s="196" t="n">
        <v>0.0948529768060971</v>
      </c>
      <c r="G5" s="197" t="n">
        <v>0.1365</v>
      </c>
      <c r="H5" s="198" t="n">
        <v>0.4165</v>
      </c>
      <c r="I5" s="199"/>
      <c r="J5" s="200"/>
      <c r="K5" s="195"/>
      <c r="L5" s="201" t="n">
        <v>0.119841190722439</v>
      </c>
      <c r="M5" s="202"/>
      <c r="N5" s="203" t="str">
        <f>=L5</f>
      </c>
    </row>
    <row r="6">
      <c r="A6" s="3" t="s">
        <v>206</v>
      </c>
      <c r="B6" s="3" t="s">
        <v>690</v>
      </c>
      <c r="C6" s="3" t="s">
        <v>691</v>
      </c>
      <c r="D6" s="194" t="n">
        <v>2029</v>
      </c>
      <c r="E6" s="3" t="s">
        <v>692</v>
      </c>
      <c r="F6" s="196" t="n">
        <v>0.0948529768060971</v>
      </c>
      <c r="G6" s="197" t="n">
        <v>0.1365</v>
      </c>
      <c r="H6" s="198" t="n">
        <v>0.4165</v>
      </c>
      <c r="I6" s="199"/>
      <c r="J6" s="200"/>
      <c r="K6" s="195"/>
      <c r="L6" s="201" t="n">
        <v>0.128170595361219</v>
      </c>
      <c r="M6" s="202"/>
      <c r="N6" s="203" t="str">
        <f>=L6</f>
      </c>
    </row>
    <row r="7">
      <c r="A7" s="3" t="s">
        <v>206</v>
      </c>
      <c r="B7" s="3" t="s">
        <v>690</v>
      </c>
      <c r="C7" s="3" t="s">
        <v>691</v>
      </c>
      <c r="D7" s="194" t="n">
        <v>2030</v>
      </c>
      <c r="E7" s="3" t="s">
        <v>692</v>
      </c>
      <c r="F7" s="196" t="n">
        <v>0.0948529768060971</v>
      </c>
      <c r="G7" s="197" t="n">
        <v>0.1365</v>
      </c>
      <c r="H7" s="198" t="n">
        <v>0.4165</v>
      </c>
      <c r="I7" s="199" t="n">
        <v>0.063</v>
      </c>
      <c r="J7" s="200" t="n">
        <v>0.147</v>
      </c>
      <c r="K7" s="195" t="n">
        <v>0.5</v>
      </c>
      <c r="L7" s="201" t="n">
        <v>0.1365</v>
      </c>
      <c r="M7" s="202" t="str">
        <f>=I7+'Cascade_Assumptions'!$B$11*J7</f>
      </c>
      <c r="N7" s="203" t="str">
        <f>=L7</f>
      </c>
    </row>
    <row r="8">
      <c r="A8" s="3" t="s">
        <v>206</v>
      </c>
      <c r="B8" s="3" t="s">
        <v>690</v>
      </c>
      <c r="C8" s="3" t="s">
        <v>691</v>
      </c>
      <c r="D8" s="194" t="n">
        <v>2031</v>
      </c>
      <c r="E8" s="3" t="s">
        <v>693</v>
      </c>
      <c r="F8" s="196" t="n">
        <v>0.0948529768060971</v>
      </c>
      <c r="G8" s="197" t="n">
        <v>0.1365</v>
      </c>
      <c r="H8" s="198" t="n">
        <v>0.4165</v>
      </c>
      <c r="I8" s="199"/>
      <c r="J8" s="200"/>
      <c r="K8" s="195"/>
      <c r="L8" s="201" t="n">
        <v>0.1645</v>
      </c>
      <c r="M8" s="202"/>
      <c r="N8" s="203" t="str">
        <f>=L8</f>
      </c>
    </row>
    <row r="9">
      <c r="A9" s="3" t="s">
        <v>206</v>
      </c>
      <c r="B9" s="3" t="s">
        <v>690</v>
      </c>
      <c r="C9" s="3" t="s">
        <v>691</v>
      </c>
      <c r="D9" s="194" t="n">
        <v>2032</v>
      </c>
      <c r="E9" s="3" t="s">
        <v>693</v>
      </c>
      <c r="F9" s="196" t="n">
        <v>0.0948529768060971</v>
      </c>
      <c r="G9" s="197" t="n">
        <v>0.1365</v>
      </c>
      <c r="H9" s="198" t="n">
        <v>0.4165</v>
      </c>
      <c r="I9" s="199"/>
      <c r="J9" s="200"/>
      <c r="K9" s="195"/>
      <c r="L9" s="201" t="n">
        <v>0.1925</v>
      </c>
      <c r="M9" s="202"/>
      <c r="N9" s="203" t="str">
        <f>=L9</f>
      </c>
    </row>
    <row r="10">
      <c r="A10" s="3" t="s">
        <v>206</v>
      </c>
      <c r="B10" s="3" t="s">
        <v>690</v>
      </c>
      <c r="C10" s="3" t="s">
        <v>691</v>
      </c>
      <c r="D10" s="194" t="n">
        <v>2033</v>
      </c>
      <c r="E10" s="3" t="s">
        <v>693</v>
      </c>
      <c r="F10" s="196" t="n">
        <v>0.0948529768060971</v>
      </c>
      <c r="G10" s="197" t="n">
        <v>0.1365</v>
      </c>
      <c r="H10" s="198" t="n">
        <v>0.4165</v>
      </c>
      <c r="I10" s="199"/>
      <c r="J10" s="200"/>
      <c r="K10" s="195"/>
      <c r="L10" s="201" t="n">
        <v>0.2205</v>
      </c>
      <c r="M10" s="202"/>
      <c r="N10" s="203" t="str">
        <f>=L10</f>
      </c>
    </row>
    <row r="11">
      <c r="A11" s="3" t="s">
        <v>206</v>
      </c>
      <c r="B11" s="3" t="s">
        <v>690</v>
      </c>
      <c r="C11" s="3" t="s">
        <v>691</v>
      </c>
      <c r="D11" s="194" t="n">
        <v>2034</v>
      </c>
      <c r="E11" s="3" t="s">
        <v>693</v>
      </c>
      <c r="F11" s="196" t="n">
        <v>0.0948529768060971</v>
      </c>
      <c r="G11" s="197" t="n">
        <v>0.1365</v>
      </c>
      <c r="H11" s="198" t="n">
        <v>0.4165</v>
      </c>
      <c r="I11" s="199"/>
      <c r="J11" s="200"/>
      <c r="K11" s="195"/>
      <c r="L11" s="201" t="n">
        <v>0.2485</v>
      </c>
      <c r="M11" s="202"/>
      <c r="N11" s="203" t="str">
        <f>=L11</f>
      </c>
    </row>
    <row r="12">
      <c r="A12" s="3" t="s">
        <v>206</v>
      </c>
      <c r="B12" s="3" t="s">
        <v>690</v>
      </c>
      <c r="C12" s="3" t="s">
        <v>691</v>
      </c>
      <c r="D12" s="194" t="n">
        <v>2035</v>
      </c>
      <c r="E12" s="3" t="s">
        <v>693</v>
      </c>
      <c r="F12" s="196" t="n">
        <v>0.0948529768060971</v>
      </c>
      <c r="G12" s="197" t="n">
        <v>0.1365</v>
      </c>
      <c r="H12" s="198" t="n">
        <v>0.4165</v>
      </c>
      <c r="I12" s="199"/>
      <c r="J12" s="200"/>
      <c r="K12" s="195"/>
      <c r="L12" s="201" t="n">
        <v>0.2765</v>
      </c>
      <c r="M12" s="202"/>
      <c r="N12" s="203" t="str">
        <f>=L12</f>
      </c>
    </row>
    <row r="13">
      <c r="A13" s="3" t="s">
        <v>206</v>
      </c>
      <c r="B13" s="3" t="s">
        <v>690</v>
      </c>
      <c r="C13" s="3" t="s">
        <v>691</v>
      </c>
      <c r="D13" s="194" t="n">
        <v>2036</v>
      </c>
      <c r="E13" s="3" t="s">
        <v>693</v>
      </c>
      <c r="F13" s="196" t="n">
        <v>0.0948529768060971</v>
      </c>
      <c r="G13" s="197" t="n">
        <v>0.1365</v>
      </c>
      <c r="H13" s="198" t="n">
        <v>0.4165</v>
      </c>
      <c r="I13" s="199"/>
      <c r="J13" s="200"/>
      <c r="K13" s="195"/>
      <c r="L13" s="201" t="n">
        <v>0.3045</v>
      </c>
      <c r="M13" s="202"/>
      <c r="N13" s="203" t="str">
        <f>=L13</f>
      </c>
    </row>
    <row r="14">
      <c r="A14" s="3" t="s">
        <v>206</v>
      </c>
      <c r="B14" s="3" t="s">
        <v>690</v>
      </c>
      <c r="C14" s="3" t="s">
        <v>691</v>
      </c>
      <c r="D14" s="194" t="n">
        <v>2037</v>
      </c>
      <c r="E14" s="3" t="s">
        <v>693</v>
      </c>
      <c r="F14" s="196" t="n">
        <v>0.0948529768060971</v>
      </c>
      <c r="G14" s="197" t="n">
        <v>0.1365</v>
      </c>
      <c r="H14" s="198" t="n">
        <v>0.4165</v>
      </c>
      <c r="I14" s="199"/>
      <c r="J14" s="200"/>
      <c r="K14" s="195"/>
      <c r="L14" s="201" t="n">
        <v>0.3325</v>
      </c>
      <c r="M14" s="202"/>
      <c r="N14" s="203" t="str">
        <f>=L14</f>
      </c>
    </row>
    <row r="15">
      <c r="A15" s="3" t="s">
        <v>206</v>
      </c>
      <c r="B15" s="3" t="s">
        <v>690</v>
      </c>
      <c r="C15" s="3" t="s">
        <v>691</v>
      </c>
      <c r="D15" s="194" t="n">
        <v>2038</v>
      </c>
      <c r="E15" s="3" t="s">
        <v>693</v>
      </c>
      <c r="F15" s="196" t="n">
        <v>0.0948529768060971</v>
      </c>
      <c r="G15" s="197" t="n">
        <v>0.1365</v>
      </c>
      <c r="H15" s="198" t="n">
        <v>0.4165</v>
      </c>
      <c r="I15" s="199"/>
      <c r="J15" s="200"/>
      <c r="K15" s="195"/>
      <c r="L15" s="201" t="n">
        <v>0.3605</v>
      </c>
      <c r="M15" s="202"/>
      <c r="N15" s="203" t="str">
        <f>=L15</f>
      </c>
    </row>
    <row r="16">
      <c r="A16" s="3" t="s">
        <v>206</v>
      </c>
      <c r="B16" s="3" t="s">
        <v>690</v>
      </c>
      <c r="C16" s="3" t="s">
        <v>691</v>
      </c>
      <c r="D16" s="194" t="n">
        <v>2039</v>
      </c>
      <c r="E16" s="3" t="s">
        <v>693</v>
      </c>
      <c r="F16" s="196" t="n">
        <v>0.0948529768060971</v>
      </c>
      <c r="G16" s="197" t="n">
        <v>0.1365</v>
      </c>
      <c r="H16" s="198" t="n">
        <v>0.4165</v>
      </c>
      <c r="I16" s="199"/>
      <c r="J16" s="200"/>
      <c r="K16" s="195"/>
      <c r="L16" s="201" t="n">
        <v>0.3885</v>
      </c>
      <c r="M16" s="202"/>
      <c r="N16" s="203" t="str">
        <f>=L16</f>
      </c>
    </row>
    <row r="17">
      <c r="A17" s="3" t="s">
        <v>206</v>
      </c>
      <c r="B17" s="3" t="s">
        <v>690</v>
      </c>
      <c r="C17" s="3" t="s">
        <v>691</v>
      </c>
      <c r="D17" s="194" t="n">
        <v>2040</v>
      </c>
      <c r="E17" s="3" t="s">
        <v>693</v>
      </c>
      <c r="F17" s="196" t="n">
        <v>0.0948529768060971</v>
      </c>
      <c r="G17" s="197" t="n">
        <v>0.1365</v>
      </c>
      <c r="H17" s="198" t="n">
        <v>0.4165</v>
      </c>
      <c r="I17" s="199" t="n">
        <v>0.343</v>
      </c>
      <c r="J17" s="200" t="n">
        <v>0.147</v>
      </c>
      <c r="K17" s="195" t="n">
        <v>0.5</v>
      </c>
      <c r="L17" s="201" t="n">
        <v>0.4165</v>
      </c>
      <c r="M17" s="202" t="str">
        <f>=I17+'Cascade_Assumptions'!$B$11*J17</f>
      </c>
      <c r="N17" s="203" t="str">
        <f>=L17</f>
      </c>
    </row>
    <row r="18">
      <c r="A18" s="3" t="s">
        <v>206</v>
      </c>
      <c r="B18" s="3" t="s">
        <v>690</v>
      </c>
      <c r="C18" s="3" t="s">
        <v>691</v>
      </c>
      <c r="D18" s="194" t="n">
        <v>2041</v>
      </c>
      <c r="E18" s="3" t="s">
        <v>694</v>
      </c>
      <c r="F18" s="196" t="n">
        <v>0.0948529768060971</v>
      </c>
      <c r="G18" s="197" t="n">
        <v>0.1365</v>
      </c>
      <c r="H18" s="198" t="n">
        <v>0.4165</v>
      </c>
      <c r="I18" s="199"/>
      <c r="J18" s="200"/>
      <c r="K18" s="195"/>
      <c r="L18" s="201" t="n">
        <v>0.4165</v>
      </c>
      <c r="M18" s="202"/>
      <c r="N18" s="203" t="str">
        <f>=L18</f>
      </c>
    </row>
    <row r="19">
      <c r="A19" s="3" t="s">
        <v>206</v>
      </c>
      <c r="B19" s="3" t="s">
        <v>690</v>
      </c>
      <c r="C19" s="3" t="s">
        <v>691</v>
      </c>
      <c r="D19" s="194" t="n">
        <v>2042</v>
      </c>
      <c r="E19" s="3" t="s">
        <v>694</v>
      </c>
      <c r="F19" s="196" t="n">
        <v>0.0948529768060971</v>
      </c>
      <c r="G19" s="197" t="n">
        <v>0.1365</v>
      </c>
      <c r="H19" s="198" t="n">
        <v>0.4165</v>
      </c>
      <c r="I19" s="199"/>
      <c r="J19" s="200"/>
      <c r="K19" s="195"/>
      <c r="L19" s="201" t="n">
        <v>0.4165</v>
      </c>
      <c r="M19" s="202"/>
      <c r="N19" s="203" t="str">
        <f>=L19</f>
      </c>
    </row>
    <row r="20">
      <c r="A20" s="3" t="s">
        <v>206</v>
      </c>
      <c r="B20" s="3" t="s">
        <v>690</v>
      </c>
      <c r="C20" s="3" t="s">
        <v>691</v>
      </c>
      <c r="D20" s="194" t="n">
        <v>2043</v>
      </c>
      <c r="E20" s="3" t="s">
        <v>694</v>
      </c>
      <c r="F20" s="196" t="n">
        <v>0.0948529768060971</v>
      </c>
      <c r="G20" s="197" t="n">
        <v>0.1365</v>
      </c>
      <c r="H20" s="198" t="n">
        <v>0.4165</v>
      </c>
      <c r="I20" s="199"/>
      <c r="J20" s="200"/>
      <c r="K20" s="195"/>
      <c r="L20" s="201" t="n">
        <v>0.4165</v>
      </c>
      <c r="M20" s="202"/>
      <c r="N20" s="203" t="str">
        <f>=L20</f>
      </c>
    </row>
    <row r="21">
      <c r="A21" s="3" t="s">
        <v>206</v>
      </c>
      <c r="B21" s="3" t="s">
        <v>690</v>
      </c>
      <c r="C21" s="3" t="s">
        <v>691</v>
      </c>
      <c r="D21" s="194" t="n">
        <v>2044</v>
      </c>
      <c r="E21" s="3" t="s">
        <v>694</v>
      </c>
      <c r="F21" s="196" t="n">
        <v>0.0948529768060971</v>
      </c>
      <c r="G21" s="197" t="n">
        <v>0.1365</v>
      </c>
      <c r="H21" s="198" t="n">
        <v>0.4165</v>
      </c>
      <c r="I21" s="199"/>
      <c r="J21" s="200"/>
      <c r="K21" s="195"/>
      <c r="L21" s="201" t="n">
        <v>0.4165</v>
      </c>
      <c r="M21" s="202"/>
      <c r="N21" s="203" t="str">
        <f>=L21</f>
      </c>
    </row>
    <row r="22">
      <c r="A22" s="3" t="s">
        <v>206</v>
      </c>
      <c r="B22" s="3" t="s">
        <v>690</v>
      </c>
      <c r="C22" s="3" t="s">
        <v>691</v>
      </c>
      <c r="D22" s="194" t="n">
        <v>2045</v>
      </c>
      <c r="E22" s="3" t="s">
        <v>694</v>
      </c>
      <c r="F22" s="196" t="n">
        <v>0.0948529768060971</v>
      </c>
      <c r="G22" s="197" t="n">
        <v>0.1365</v>
      </c>
      <c r="H22" s="198" t="n">
        <v>0.4165</v>
      </c>
      <c r="I22" s="199"/>
      <c r="J22" s="200"/>
      <c r="K22" s="195"/>
      <c r="L22" s="201" t="n">
        <v>0.4165</v>
      </c>
      <c r="M22" s="202"/>
      <c r="N22" s="203" t="str">
        <f>=L22</f>
      </c>
    </row>
    <row r="23">
      <c r="A23" s="3" t="s">
        <v>206</v>
      </c>
      <c r="B23" s="3" t="s">
        <v>690</v>
      </c>
      <c r="C23" s="3" t="s">
        <v>691</v>
      </c>
      <c r="D23" s="194" t="n">
        <v>2046</v>
      </c>
      <c r="E23" s="3" t="s">
        <v>694</v>
      </c>
      <c r="F23" s="196" t="n">
        <v>0.0948529768060971</v>
      </c>
      <c r="G23" s="197" t="n">
        <v>0.1365</v>
      </c>
      <c r="H23" s="198" t="n">
        <v>0.4165</v>
      </c>
      <c r="I23" s="199"/>
      <c r="J23" s="200"/>
      <c r="K23" s="195"/>
      <c r="L23" s="201" t="n">
        <v>0.4165</v>
      </c>
      <c r="M23" s="202"/>
      <c r="N23" s="203" t="str">
        <f>=L23</f>
      </c>
    </row>
    <row r="24">
      <c r="A24" s="3" t="s">
        <v>206</v>
      </c>
      <c r="B24" s="3" t="s">
        <v>690</v>
      </c>
      <c r="C24" s="3" t="s">
        <v>691</v>
      </c>
      <c r="D24" s="194" t="n">
        <v>2047</v>
      </c>
      <c r="E24" s="3" t="s">
        <v>694</v>
      </c>
      <c r="F24" s="196" t="n">
        <v>0.0948529768060971</v>
      </c>
      <c r="G24" s="197" t="n">
        <v>0.1365</v>
      </c>
      <c r="H24" s="198" t="n">
        <v>0.4165</v>
      </c>
      <c r="I24" s="199"/>
      <c r="J24" s="200"/>
      <c r="K24" s="195"/>
      <c r="L24" s="201" t="n">
        <v>0.4165</v>
      </c>
      <c r="M24" s="202"/>
      <c r="N24" s="203" t="str">
        <f>=L24</f>
      </c>
    </row>
    <row r="25">
      <c r="A25" s="3" t="s">
        <v>206</v>
      </c>
      <c r="B25" s="3" t="s">
        <v>690</v>
      </c>
      <c r="C25" s="3" t="s">
        <v>691</v>
      </c>
      <c r="D25" s="194" t="n">
        <v>2048</v>
      </c>
      <c r="E25" s="3" t="s">
        <v>694</v>
      </c>
      <c r="F25" s="196" t="n">
        <v>0.0948529768060971</v>
      </c>
      <c r="G25" s="197" t="n">
        <v>0.1365</v>
      </c>
      <c r="H25" s="198" t="n">
        <v>0.4165</v>
      </c>
      <c r="I25" s="199"/>
      <c r="J25" s="200"/>
      <c r="K25" s="195"/>
      <c r="L25" s="201" t="n">
        <v>0.4165</v>
      </c>
      <c r="M25" s="202"/>
      <c r="N25" s="203" t="str">
        <f>=L25</f>
      </c>
    </row>
    <row r="26">
      <c r="A26" s="3" t="s">
        <v>206</v>
      </c>
      <c r="B26" s="3" t="s">
        <v>690</v>
      </c>
      <c r="C26" s="3" t="s">
        <v>691</v>
      </c>
      <c r="D26" s="194" t="n">
        <v>2049</v>
      </c>
      <c r="E26" s="3" t="s">
        <v>694</v>
      </c>
      <c r="F26" s="196" t="n">
        <v>0.0948529768060971</v>
      </c>
      <c r="G26" s="197" t="n">
        <v>0.1365</v>
      </c>
      <c r="H26" s="198" t="n">
        <v>0.4165</v>
      </c>
      <c r="I26" s="199"/>
      <c r="J26" s="200"/>
      <c r="K26" s="195"/>
      <c r="L26" s="201" t="n">
        <v>0.4165</v>
      </c>
      <c r="M26" s="202"/>
      <c r="N26" s="203" t="str">
        <f>=L26</f>
      </c>
    </row>
    <row r="27">
      <c r="A27" s="3" t="s">
        <v>206</v>
      </c>
      <c r="B27" s="3" t="s">
        <v>690</v>
      </c>
      <c r="C27" s="3" t="s">
        <v>691</v>
      </c>
      <c r="D27" s="194" t="n">
        <v>2050</v>
      </c>
      <c r="E27" s="3" t="s">
        <v>694</v>
      </c>
      <c r="F27" s="196" t="n">
        <v>0.0948529768060971</v>
      </c>
      <c r="G27" s="197" t="n">
        <v>0.1365</v>
      </c>
      <c r="H27" s="198" t="n">
        <v>0.4165</v>
      </c>
      <c r="I27" s="199"/>
      <c r="J27" s="200"/>
      <c r="K27" s="195"/>
      <c r="L27" s="201" t="n">
        <v>0.4165</v>
      </c>
      <c r="M27" s="202"/>
      <c r="N27" s="203" t="str">
        <f>=L27</f>
      </c>
    </row>
    <row r="28">
      <c r="A28" s="3" t="s">
        <v>206</v>
      </c>
      <c r="B28" s="3" t="s">
        <v>690</v>
      </c>
      <c r="C28" s="3" t="s">
        <v>695</v>
      </c>
      <c r="D28" s="194" t="n">
        <v>2025</v>
      </c>
      <c r="E28" s="3" t="s">
        <v>692</v>
      </c>
      <c r="F28" s="196" t="n">
        <v>0.132680737939715</v>
      </c>
      <c r="G28" s="197" t="n">
        <v>0.1365</v>
      </c>
      <c r="H28" s="198" t="n">
        <v>0.4165</v>
      </c>
      <c r="I28" s="199" t="n">
        <v>0.0512143938690846</v>
      </c>
      <c r="J28" s="200" t="n">
        <v>0.162932688141261</v>
      </c>
      <c r="K28" s="195" t="n">
        <v>0.5</v>
      </c>
      <c r="L28" s="201" t="n">
        <v>0.132680737939715</v>
      </c>
      <c r="M28" s="202" t="str">
        <f>=I28+'Cascade_Assumptions'!$B$11*J28</f>
      </c>
      <c r="N28" s="203" t="str">
        <f>=L28</f>
      </c>
    </row>
    <row r="29">
      <c r="A29" s="3" t="s">
        <v>206</v>
      </c>
      <c r="B29" s="3" t="s">
        <v>690</v>
      </c>
      <c r="C29" s="3" t="s">
        <v>695</v>
      </c>
      <c r="D29" s="194" t="n">
        <v>2026</v>
      </c>
      <c r="E29" s="3" t="s">
        <v>692</v>
      </c>
      <c r="F29" s="196" t="n">
        <v>0.132680737939715</v>
      </c>
      <c r="G29" s="197" t="n">
        <v>0.1365</v>
      </c>
      <c r="H29" s="198" t="n">
        <v>0.4165</v>
      </c>
      <c r="I29" s="199"/>
      <c r="J29" s="200"/>
      <c r="K29" s="195"/>
      <c r="L29" s="201" t="n">
        <v>0.133444590351772</v>
      </c>
      <c r="M29" s="202"/>
      <c r="N29" s="203" t="str">
        <f>=L29</f>
      </c>
    </row>
    <row r="30">
      <c r="A30" s="3" t="s">
        <v>206</v>
      </c>
      <c r="B30" s="3" t="s">
        <v>690</v>
      </c>
      <c r="C30" s="3" t="s">
        <v>695</v>
      </c>
      <c r="D30" s="194" t="n">
        <v>2027</v>
      </c>
      <c r="E30" s="3" t="s">
        <v>692</v>
      </c>
      <c r="F30" s="196" t="n">
        <v>0.132680737939715</v>
      </c>
      <c r="G30" s="197" t="n">
        <v>0.1365</v>
      </c>
      <c r="H30" s="198" t="n">
        <v>0.4165</v>
      </c>
      <c r="I30" s="199"/>
      <c r="J30" s="200"/>
      <c r="K30" s="195"/>
      <c r="L30" s="201" t="n">
        <v>0.134208442763829</v>
      </c>
      <c r="M30" s="202"/>
      <c r="N30" s="203" t="str">
        <f>=L30</f>
      </c>
    </row>
    <row r="31">
      <c r="A31" s="3" t="s">
        <v>206</v>
      </c>
      <c r="B31" s="3" t="s">
        <v>690</v>
      </c>
      <c r="C31" s="3" t="s">
        <v>695</v>
      </c>
      <c r="D31" s="194" t="n">
        <v>2028</v>
      </c>
      <c r="E31" s="3" t="s">
        <v>692</v>
      </c>
      <c r="F31" s="196" t="n">
        <v>0.132680737939715</v>
      </c>
      <c r="G31" s="197" t="n">
        <v>0.1365</v>
      </c>
      <c r="H31" s="198" t="n">
        <v>0.4165</v>
      </c>
      <c r="I31" s="199"/>
      <c r="J31" s="200"/>
      <c r="K31" s="195"/>
      <c r="L31" s="201" t="n">
        <v>0.134972295175886</v>
      </c>
      <c r="M31" s="202"/>
      <c r="N31" s="203" t="str">
        <f>=L31</f>
      </c>
    </row>
    <row r="32">
      <c r="A32" s="3" t="s">
        <v>206</v>
      </c>
      <c r="B32" s="3" t="s">
        <v>690</v>
      </c>
      <c r="C32" s="3" t="s">
        <v>695</v>
      </c>
      <c r="D32" s="194" t="n">
        <v>2029</v>
      </c>
      <c r="E32" s="3" t="s">
        <v>692</v>
      </c>
      <c r="F32" s="196" t="n">
        <v>0.132680737939715</v>
      </c>
      <c r="G32" s="197" t="n">
        <v>0.1365</v>
      </c>
      <c r="H32" s="198" t="n">
        <v>0.4165</v>
      </c>
      <c r="I32" s="199"/>
      <c r="J32" s="200"/>
      <c r="K32" s="195"/>
      <c r="L32" s="201" t="n">
        <v>0.135736147587943</v>
      </c>
      <c r="M32" s="202"/>
      <c r="N32" s="203" t="str">
        <f>=L32</f>
      </c>
    </row>
    <row r="33">
      <c r="A33" s="3" t="s">
        <v>206</v>
      </c>
      <c r="B33" s="3" t="s">
        <v>690</v>
      </c>
      <c r="C33" s="3" t="s">
        <v>695</v>
      </c>
      <c r="D33" s="194" t="n">
        <v>2030</v>
      </c>
      <c r="E33" s="3" t="s">
        <v>692</v>
      </c>
      <c r="F33" s="196" t="n">
        <v>0.132680737939715</v>
      </c>
      <c r="G33" s="197" t="n">
        <v>0.1365</v>
      </c>
      <c r="H33" s="198" t="n">
        <v>0.4165</v>
      </c>
      <c r="I33" s="199" t="n">
        <v>0.063</v>
      </c>
      <c r="J33" s="200" t="n">
        <v>0.147</v>
      </c>
      <c r="K33" s="195" t="n">
        <v>0.5</v>
      </c>
      <c r="L33" s="201" t="n">
        <v>0.1365</v>
      </c>
      <c r="M33" s="202" t="str">
        <f>=I33+'Cascade_Assumptions'!$B$11*J33</f>
      </c>
      <c r="N33" s="203" t="str">
        <f>=L33</f>
      </c>
    </row>
    <row r="34">
      <c r="A34" s="3" t="s">
        <v>206</v>
      </c>
      <c r="B34" s="3" t="s">
        <v>690</v>
      </c>
      <c r="C34" s="3" t="s">
        <v>695</v>
      </c>
      <c r="D34" s="194" t="n">
        <v>2031</v>
      </c>
      <c r="E34" s="3" t="s">
        <v>693</v>
      </c>
      <c r="F34" s="196" t="n">
        <v>0.132680737939715</v>
      </c>
      <c r="G34" s="197" t="n">
        <v>0.1365</v>
      </c>
      <c r="H34" s="198" t="n">
        <v>0.4165</v>
      </c>
      <c r="I34" s="199"/>
      <c r="J34" s="200"/>
      <c r="K34" s="195"/>
      <c r="L34" s="201" t="n">
        <v>0.1645</v>
      </c>
      <c r="M34" s="202"/>
      <c r="N34" s="203" t="str">
        <f>=L34</f>
      </c>
    </row>
    <row r="35">
      <c r="A35" s="3" t="s">
        <v>206</v>
      </c>
      <c r="B35" s="3" t="s">
        <v>690</v>
      </c>
      <c r="C35" s="3" t="s">
        <v>695</v>
      </c>
      <c r="D35" s="194" t="n">
        <v>2032</v>
      </c>
      <c r="E35" s="3" t="s">
        <v>693</v>
      </c>
      <c r="F35" s="196" t="n">
        <v>0.132680737939715</v>
      </c>
      <c r="G35" s="197" t="n">
        <v>0.1365</v>
      </c>
      <c r="H35" s="198" t="n">
        <v>0.4165</v>
      </c>
      <c r="I35" s="199"/>
      <c r="J35" s="200"/>
      <c r="K35" s="195"/>
      <c r="L35" s="201" t="n">
        <v>0.1925</v>
      </c>
      <c r="M35" s="202"/>
      <c r="N35" s="203" t="str">
        <f>=L35</f>
      </c>
    </row>
    <row r="36">
      <c r="A36" s="3" t="s">
        <v>206</v>
      </c>
      <c r="B36" s="3" t="s">
        <v>690</v>
      </c>
      <c r="C36" s="3" t="s">
        <v>695</v>
      </c>
      <c r="D36" s="194" t="n">
        <v>2033</v>
      </c>
      <c r="E36" s="3" t="s">
        <v>693</v>
      </c>
      <c r="F36" s="196" t="n">
        <v>0.132680737939715</v>
      </c>
      <c r="G36" s="197" t="n">
        <v>0.1365</v>
      </c>
      <c r="H36" s="198" t="n">
        <v>0.4165</v>
      </c>
      <c r="I36" s="199"/>
      <c r="J36" s="200"/>
      <c r="K36" s="195"/>
      <c r="L36" s="201" t="n">
        <v>0.2205</v>
      </c>
      <c r="M36" s="202"/>
      <c r="N36" s="203" t="str">
        <f>=L36</f>
      </c>
    </row>
    <row r="37">
      <c r="A37" s="3" t="s">
        <v>206</v>
      </c>
      <c r="B37" s="3" t="s">
        <v>690</v>
      </c>
      <c r="C37" s="3" t="s">
        <v>695</v>
      </c>
      <c r="D37" s="194" t="n">
        <v>2034</v>
      </c>
      <c r="E37" s="3" t="s">
        <v>693</v>
      </c>
      <c r="F37" s="196" t="n">
        <v>0.132680737939715</v>
      </c>
      <c r="G37" s="197" t="n">
        <v>0.1365</v>
      </c>
      <c r="H37" s="198" t="n">
        <v>0.4165</v>
      </c>
      <c r="I37" s="199"/>
      <c r="J37" s="200"/>
      <c r="K37" s="195"/>
      <c r="L37" s="201" t="n">
        <v>0.2485</v>
      </c>
      <c r="M37" s="202"/>
      <c r="N37" s="203" t="str">
        <f>=L37</f>
      </c>
    </row>
    <row r="38">
      <c r="A38" s="3" t="s">
        <v>206</v>
      </c>
      <c r="B38" s="3" t="s">
        <v>690</v>
      </c>
      <c r="C38" s="3" t="s">
        <v>695</v>
      </c>
      <c r="D38" s="194" t="n">
        <v>2035</v>
      </c>
      <c r="E38" s="3" t="s">
        <v>693</v>
      </c>
      <c r="F38" s="196" t="n">
        <v>0.132680737939715</v>
      </c>
      <c r="G38" s="197" t="n">
        <v>0.1365</v>
      </c>
      <c r="H38" s="198" t="n">
        <v>0.4165</v>
      </c>
      <c r="I38" s="199"/>
      <c r="J38" s="200"/>
      <c r="K38" s="195"/>
      <c r="L38" s="201" t="n">
        <v>0.2765</v>
      </c>
      <c r="M38" s="202"/>
      <c r="N38" s="203" t="str">
        <f>=L38</f>
      </c>
    </row>
    <row r="39">
      <c r="A39" s="3" t="s">
        <v>206</v>
      </c>
      <c r="B39" s="3" t="s">
        <v>690</v>
      </c>
      <c r="C39" s="3" t="s">
        <v>695</v>
      </c>
      <c r="D39" s="194" t="n">
        <v>2036</v>
      </c>
      <c r="E39" s="3" t="s">
        <v>693</v>
      </c>
      <c r="F39" s="196" t="n">
        <v>0.132680737939715</v>
      </c>
      <c r="G39" s="197" t="n">
        <v>0.1365</v>
      </c>
      <c r="H39" s="198" t="n">
        <v>0.4165</v>
      </c>
      <c r="I39" s="199"/>
      <c r="J39" s="200"/>
      <c r="K39" s="195"/>
      <c r="L39" s="201" t="n">
        <v>0.3045</v>
      </c>
      <c r="M39" s="202"/>
      <c r="N39" s="203" t="str">
        <f>=L39</f>
      </c>
    </row>
    <row r="40">
      <c r="A40" s="3" t="s">
        <v>206</v>
      </c>
      <c r="B40" s="3" t="s">
        <v>690</v>
      </c>
      <c r="C40" s="3" t="s">
        <v>695</v>
      </c>
      <c r="D40" s="194" t="n">
        <v>2037</v>
      </c>
      <c r="E40" s="3" t="s">
        <v>693</v>
      </c>
      <c r="F40" s="196" t="n">
        <v>0.132680737939715</v>
      </c>
      <c r="G40" s="197" t="n">
        <v>0.1365</v>
      </c>
      <c r="H40" s="198" t="n">
        <v>0.4165</v>
      </c>
      <c r="I40" s="199"/>
      <c r="J40" s="200"/>
      <c r="K40" s="195"/>
      <c r="L40" s="201" t="n">
        <v>0.3325</v>
      </c>
      <c r="M40" s="202"/>
      <c r="N40" s="203" t="str">
        <f>=L40</f>
      </c>
    </row>
    <row r="41">
      <c r="A41" s="3" t="s">
        <v>206</v>
      </c>
      <c r="B41" s="3" t="s">
        <v>690</v>
      </c>
      <c r="C41" s="3" t="s">
        <v>695</v>
      </c>
      <c r="D41" s="194" t="n">
        <v>2038</v>
      </c>
      <c r="E41" s="3" t="s">
        <v>693</v>
      </c>
      <c r="F41" s="196" t="n">
        <v>0.132680737939715</v>
      </c>
      <c r="G41" s="197" t="n">
        <v>0.1365</v>
      </c>
      <c r="H41" s="198" t="n">
        <v>0.4165</v>
      </c>
      <c r="I41" s="199"/>
      <c r="J41" s="200"/>
      <c r="K41" s="195"/>
      <c r="L41" s="201" t="n">
        <v>0.3605</v>
      </c>
      <c r="M41" s="202"/>
      <c r="N41" s="203" t="str">
        <f>=L41</f>
      </c>
    </row>
    <row r="42">
      <c r="A42" s="3" t="s">
        <v>206</v>
      </c>
      <c r="B42" s="3" t="s">
        <v>690</v>
      </c>
      <c r="C42" s="3" t="s">
        <v>695</v>
      </c>
      <c r="D42" s="194" t="n">
        <v>2039</v>
      </c>
      <c r="E42" s="3" t="s">
        <v>693</v>
      </c>
      <c r="F42" s="196" t="n">
        <v>0.132680737939715</v>
      </c>
      <c r="G42" s="197" t="n">
        <v>0.1365</v>
      </c>
      <c r="H42" s="198" t="n">
        <v>0.4165</v>
      </c>
      <c r="I42" s="199"/>
      <c r="J42" s="200"/>
      <c r="K42" s="195"/>
      <c r="L42" s="201" t="n">
        <v>0.3885</v>
      </c>
      <c r="M42" s="202"/>
      <c r="N42" s="203" t="str">
        <f>=L42</f>
      </c>
    </row>
    <row r="43">
      <c r="A43" s="3" t="s">
        <v>206</v>
      </c>
      <c r="B43" s="3" t="s">
        <v>690</v>
      </c>
      <c r="C43" s="3" t="s">
        <v>695</v>
      </c>
      <c r="D43" s="194" t="n">
        <v>2040</v>
      </c>
      <c r="E43" s="3" t="s">
        <v>693</v>
      </c>
      <c r="F43" s="196" t="n">
        <v>0.132680737939715</v>
      </c>
      <c r="G43" s="197" t="n">
        <v>0.1365</v>
      </c>
      <c r="H43" s="198" t="n">
        <v>0.4165</v>
      </c>
      <c r="I43" s="199" t="n">
        <v>0.343</v>
      </c>
      <c r="J43" s="200" t="n">
        <v>0.147</v>
      </c>
      <c r="K43" s="195" t="n">
        <v>0.5</v>
      </c>
      <c r="L43" s="201" t="n">
        <v>0.4165</v>
      </c>
      <c r="M43" s="202" t="str">
        <f>=I43+'Cascade_Assumptions'!$B$11*J43</f>
      </c>
      <c r="N43" s="203" t="str">
        <f>=L43</f>
      </c>
    </row>
    <row r="44">
      <c r="A44" s="3" t="s">
        <v>206</v>
      </c>
      <c r="B44" s="3" t="s">
        <v>690</v>
      </c>
      <c r="C44" s="3" t="s">
        <v>695</v>
      </c>
      <c r="D44" s="194" t="n">
        <v>2041</v>
      </c>
      <c r="E44" s="3" t="s">
        <v>694</v>
      </c>
      <c r="F44" s="196" t="n">
        <v>0.132680737939715</v>
      </c>
      <c r="G44" s="197" t="n">
        <v>0.1365</v>
      </c>
      <c r="H44" s="198" t="n">
        <v>0.4165</v>
      </c>
      <c r="I44" s="199"/>
      <c r="J44" s="200"/>
      <c r="K44" s="195"/>
      <c r="L44" s="201" t="n">
        <v>0.4165</v>
      </c>
      <c r="M44" s="202"/>
      <c r="N44" s="203" t="str">
        <f>=L44</f>
      </c>
    </row>
    <row r="45">
      <c r="A45" s="3" t="s">
        <v>206</v>
      </c>
      <c r="B45" s="3" t="s">
        <v>690</v>
      </c>
      <c r="C45" s="3" t="s">
        <v>695</v>
      </c>
      <c r="D45" s="194" t="n">
        <v>2042</v>
      </c>
      <c r="E45" s="3" t="s">
        <v>694</v>
      </c>
      <c r="F45" s="196" t="n">
        <v>0.132680737939715</v>
      </c>
      <c r="G45" s="197" t="n">
        <v>0.1365</v>
      </c>
      <c r="H45" s="198" t="n">
        <v>0.4165</v>
      </c>
      <c r="I45" s="199"/>
      <c r="J45" s="200"/>
      <c r="K45" s="195"/>
      <c r="L45" s="201" t="n">
        <v>0.4165</v>
      </c>
      <c r="M45" s="202"/>
      <c r="N45" s="203" t="str">
        <f>=L45</f>
      </c>
    </row>
    <row r="46">
      <c r="A46" s="3" t="s">
        <v>206</v>
      </c>
      <c r="B46" s="3" t="s">
        <v>690</v>
      </c>
      <c r="C46" s="3" t="s">
        <v>695</v>
      </c>
      <c r="D46" s="194" t="n">
        <v>2043</v>
      </c>
      <c r="E46" s="3" t="s">
        <v>694</v>
      </c>
      <c r="F46" s="196" t="n">
        <v>0.132680737939715</v>
      </c>
      <c r="G46" s="197" t="n">
        <v>0.1365</v>
      </c>
      <c r="H46" s="198" t="n">
        <v>0.4165</v>
      </c>
      <c r="I46" s="199"/>
      <c r="J46" s="200"/>
      <c r="K46" s="195"/>
      <c r="L46" s="201" t="n">
        <v>0.4165</v>
      </c>
      <c r="M46" s="202"/>
      <c r="N46" s="203" t="str">
        <f>=L46</f>
      </c>
    </row>
    <row r="47">
      <c r="A47" s="3" t="s">
        <v>206</v>
      </c>
      <c r="B47" s="3" t="s">
        <v>690</v>
      </c>
      <c r="C47" s="3" t="s">
        <v>695</v>
      </c>
      <c r="D47" s="194" t="n">
        <v>2044</v>
      </c>
      <c r="E47" s="3" t="s">
        <v>694</v>
      </c>
      <c r="F47" s="196" t="n">
        <v>0.132680737939715</v>
      </c>
      <c r="G47" s="197" t="n">
        <v>0.1365</v>
      </c>
      <c r="H47" s="198" t="n">
        <v>0.4165</v>
      </c>
      <c r="I47" s="199"/>
      <c r="J47" s="200"/>
      <c r="K47" s="195"/>
      <c r="L47" s="201" t="n">
        <v>0.4165</v>
      </c>
      <c r="M47" s="202"/>
      <c r="N47" s="203" t="str">
        <f>=L47</f>
      </c>
    </row>
    <row r="48">
      <c r="A48" s="3" t="s">
        <v>206</v>
      </c>
      <c r="B48" s="3" t="s">
        <v>690</v>
      </c>
      <c r="C48" s="3" t="s">
        <v>695</v>
      </c>
      <c r="D48" s="194" t="n">
        <v>2045</v>
      </c>
      <c r="E48" s="3" t="s">
        <v>694</v>
      </c>
      <c r="F48" s="196" t="n">
        <v>0.132680737939715</v>
      </c>
      <c r="G48" s="197" t="n">
        <v>0.1365</v>
      </c>
      <c r="H48" s="198" t="n">
        <v>0.4165</v>
      </c>
      <c r="I48" s="199"/>
      <c r="J48" s="200"/>
      <c r="K48" s="195"/>
      <c r="L48" s="201" t="n">
        <v>0.4165</v>
      </c>
      <c r="M48" s="202"/>
      <c r="N48" s="203" t="str">
        <f>=L48</f>
      </c>
    </row>
    <row r="49">
      <c r="A49" s="3" t="s">
        <v>206</v>
      </c>
      <c r="B49" s="3" t="s">
        <v>690</v>
      </c>
      <c r="C49" s="3" t="s">
        <v>695</v>
      </c>
      <c r="D49" s="194" t="n">
        <v>2046</v>
      </c>
      <c r="E49" s="3" t="s">
        <v>694</v>
      </c>
      <c r="F49" s="196" t="n">
        <v>0.132680737939715</v>
      </c>
      <c r="G49" s="197" t="n">
        <v>0.1365</v>
      </c>
      <c r="H49" s="198" t="n">
        <v>0.4165</v>
      </c>
      <c r="I49" s="199"/>
      <c r="J49" s="200"/>
      <c r="K49" s="195"/>
      <c r="L49" s="201" t="n">
        <v>0.4165</v>
      </c>
      <c r="M49" s="202"/>
      <c r="N49" s="203" t="str">
        <f>=L49</f>
      </c>
    </row>
    <row r="50">
      <c r="A50" s="3" t="s">
        <v>206</v>
      </c>
      <c r="B50" s="3" t="s">
        <v>690</v>
      </c>
      <c r="C50" s="3" t="s">
        <v>695</v>
      </c>
      <c r="D50" s="194" t="n">
        <v>2047</v>
      </c>
      <c r="E50" s="3" t="s">
        <v>694</v>
      </c>
      <c r="F50" s="196" t="n">
        <v>0.132680737939715</v>
      </c>
      <c r="G50" s="197" t="n">
        <v>0.1365</v>
      </c>
      <c r="H50" s="198" t="n">
        <v>0.4165</v>
      </c>
      <c r="I50" s="199"/>
      <c r="J50" s="200"/>
      <c r="K50" s="195"/>
      <c r="L50" s="201" t="n">
        <v>0.4165</v>
      </c>
      <c r="M50" s="202"/>
      <c r="N50" s="203" t="str">
        <f>=L50</f>
      </c>
    </row>
    <row r="51">
      <c r="A51" s="3" t="s">
        <v>206</v>
      </c>
      <c r="B51" s="3" t="s">
        <v>690</v>
      </c>
      <c r="C51" s="3" t="s">
        <v>695</v>
      </c>
      <c r="D51" s="194" t="n">
        <v>2048</v>
      </c>
      <c r="E51" s="3" t="s">
        <v>694</v>
      </c>
      <c r="F51" s="196" t="n">
        <v>0.132680737939715</v>
      </c>
      <c r="G51" s="197" t="n">
        <v>0.1365</v>
      </c>
      <c r="H51" s="198" t="n">
        <v>0.4165</v>
      </c>
      <c r="I51" s="199"/>
      <c r="J51" s="200"/>
      <c r="K51" s="195"/>
      <c r="L51" s="201" t="n">
        <v>0.4165</v>
      </c>
      <c r="M51" s="202"/>
      <c r="N51" s="203" t="str">
        <f>=L51</f>
      </c>
    </row>
    <row r="52">
      <c r="A52" s="3" t="s">
        <v>206</v>
      </c>
      <c r="B52" s="3" t="s">
        <v>690</v>
      </c>
      <c r="C52" s="3" t="s">
        <v>695</v>
      </c>
      <c r="D52" s="194" t="n">
        <v>2049</v>
      </c>
      <c r="E52" s="3" t="s">
        <v>694</v>
      </c>
      <c r="F52" s="196" t="n">
        <v>0.132680737939715</v>
      </c>
      <c r="G52" s="197" t="n">
        <v>0.1365</v>
      </c>
      <c r="H52" s="198" t="n">
        <v>0.4165</v>
      </c>
      <c r="I52" s="199"/>
      <c r="J52" s="200"/>
      <c r="K52" s="195"/>
      <c r="L52" s="201" t="n">
        <v>0.4165</v>
      </c>
      <c r="M52" s="202"/>
      <c r="N52" s="203" t="str">
        <f>=L52</f>
      </c>
    </row>
    <row r="53">
      <c r="A53" s="3" t="s">
        <v>206</v>
      </c>
      <c r="B53" s="3" t="s">
        <v>690</v>
      </c>
      <c r="C53" s="3" t="s">
        <v>695</v>
      </c>
      <c r="D53" s="194" t="n">
        <v>2050</v>
      </c>
      <c r="E53" s="3" t="s">
        <v>694</v>
      </c>
      <c r="F53" s="196" t="n">
        <v>0.132680737939715</v>
      </c>
      <c r="G53" s="197" t="n">
        <v>0.1365</v>
      </c>
      <c r="H53" s="198" t="n">
        <v>0.4165</v>
      </c>
      <c r="I53" s="199"/>
      <c r="J53" s="200"/>
      <c r="K53" s="195"/>
      <c r="L53" s="201" t="n">
        <v>0.4165</v>
      </c>
      <c r="M53" s="202"/>
      <c r="N53" s="203" t="str">
        <f>=L53</f>
      </c>
    </row>
    <row r="54">
      <c r="A54" s="3" t="s">
        <v>231</v>
      </c>
      <c r="B54" s="3" t="s">
        <v>696</v>
      </c>
      <c r="C54" s="3" t="s">
        <v>691</v>
      </c>
      <c r="D54" s="194" t="n">
        <v>2025</v>
      </c>
      <c r="E54" s="3" t="s">
        <v>692</v>
      </c>
      <c r="F54" s="196" t="n">
        <v>0.130311527775181</v>
      </c>
      <c r="G54" s="197" t="n">
        <v>0.1365</v>
      </c>
      <c r="H54" s="198" t="n">
        <v>0.4165</v>
      </c>
      <c r="I54" s="199" t="n">
        <v>0.0664333278853866</v>
      </c>
      <c r="J54" s="200" t="n">
        <v>0.127756399779589</v>
      </c>
      <c r="K54" s="195" t="n">
        <v>0.5</v>
      </c>
      <c r="L54" s="201" t="n">
        <v>0.130311527775181</v>
      </c>
      <c r="M54" s="202" t="str">
        <f>=I54+'Cascade_Assumptions'!$B$11*J54</f>
      </c>
      <c r="N54" s="203" t="str">
        <f>=L54</f>
      </c>
    </row>
    <row r="55">
      <c r="A55" s="3" t="s">
        <v>231</v>
      </c>
      <c r="B55" s="3" t="s">
        <v>696</v>
      </c>
      <c r="C55" s="3" t="s">
        <v>691</v>
      </c>
      <c r="D55" s="194" t="n">
        <v>2026</v>
      </c>
      <c r="E55" s="3" t="s">
        <v>692</v>
      </c>
      <c r="F55" s="196" t="n">
        <v>0.130311527775181</v>
      </c>
      <c r="G55" s="197" t="n">
        <v>0.1365</v>
      </c>
      <c r="H55" s="198" t="n">
        <v>0.4165</v>
      </c>
      <c r="I55" s="199"/>
      <c r="J55" s="200"/>
      <c r="K55" s="195"/>
      <c r="L55" s="201" t="n">
        <v>0.131549222220145</v>
      </c>
      <c r="M55" s="202"/>
      <c r="N55" s="203" t="str">
        <f>=L55</f>
      </c>
    </row>
    <row r="56">
      <c r="A56" s="3" t="s">
        <v>231</v>
      </c>
      <c r="B56" s="3" t="s">
        <v>696</v>
      </c>
      <c r="C56" s="3" t="s">
        <v>691</v>
      </c>
      <c r="D56" s="194" t="n">
        <v>2027</v>
      </c>
      <c r="E56" s="3" t="s">
        <v>692</v>
      </c>
      <c r="F56" s="196" t="n">
        <v>0.130311527775181</v>
      </c>
      <c r="G56" s="197" t="n">
        <v>0.1365</v>
      </c>
      <c r="H56" s="198" t="n">
        <v>0.4165</v>
      </c>
      <c r="I56" s="199"/>
      <c r="J56" s="200"/>
      <c r="K56" s="195"/>
      <c r="L56" s="201" t="n">
        <v>0.132786916665109</v>
      </c>
      <c r="M56" s="202"/>
      <c r="N56" s="203" t="str">
        <f>=L56</f>
      </c>
    </row>
    <row r="57">
      <c r="A57" s="3" t="s">
        <v>231</v>
      </c>
      <c r="B57" s="3" t="s">
        <v>696</v>
      </c>
      <c r="C57" s="3" t="s">
        <v>691</v>
      </c>
      <c r="D57" s="194" t="n">
        <v>2028</v>
      </c>
      <c r="E57" s="3" t="s">
        <v>692</v>
      </c>
      <c r="F57" s="196" t="n">
        <v>0.130311527775181</v>
      </c>
      <c r="G57" s="197" t="n">
        <v>0.1365</v>
      </c>
      <c r="H57" s="198" t="n">
        <v>0.4165</v>
      </c>
      <c r="I57" s="199"/>
      <c r="J57" s="200"/>
      <c r="K57" s="195"/>
      <c r="L57" s="201" t="n">
        <v>0.134024611110073</v>
      </c>
      <c r="M57" s="202"/>
      <c r="N57" s="203" t="str">
        <f>=L57</f>
      </c>
    </row>
    <row r="58">
      <c r="A58" s="3" t="s">
        <v>231</v>
      </c>
      <c r="B58" s="3" t="s">
        <v>696</v>
      </c>
      <c r="C58" s="3" t="s">
        <v>691</v>
      </c>
      <c r="D58" s="194" t="n">
        <v>2029</v>
      </c>
      <c r="E58" s="3" t="s">
        <v>692</v>
      </c>
      <c r="F58" s="196" t="n">
        <v>0.130311527775181</v>
      </c>
      <c r="G58" s="197" t="n">
        <v>0.1365</v>
      </c>
      <c r="H58" s="198" t="n">
        <v>0.4165</v>
      </c>
      <c r="I58" s="199"/>
      <c r="J58" s="200"/>
      <c r="K58" s="195"/>
      <c r="L58" s="201" t="n">
        <v>0.135262305555036</v>
      </c>
      <c r="M58" s="202"/>
      <c r="N58" s="203" t="str">
        <f>=L58</f>
      </c>
    </row>
    <row r="59">
      <c r="A59" s="3" t="s">
        <v>231</v>
      </c>
      <c r="B59" s="3" t="s">
        <v>696</v>
      </c>
      <c r="C59" s="3" t="s">
        <v>691</v>
      </c>
      <c r="D59" s="194" t="n">
        <v>2030</v>
      </c>
      <c r="E59" s="3" t="s">
        <v>692</v>
      </c>
      <c r="F59" s="196" t="n">
        <v>0.130311527775181</v>
      </c>
      <c r="G59" s="197" t="n">
        <v>0.1365</v>
      </c>
      <c r="H59" s="198" t="n">
        <v>0.4165</v>
      </c>
      <c r="I59" s="199" t="n">
        <v>0.063</v>
      </c>
      <c r="J59" s="200" t="n">
        <v>0.147</v>
      </c>
      <c r="K59" s="195" t="n">
        <v>0.5</v>
      </c>
      <c r="L59" s="201" t="n">
        <v>0.1365</v>
      </c>
      <c r="M59" s="202" t="str">
        <f>=I59+'Cascade_Assumptions'!$B$11*J59</f>
      </c>
      <c r="N59" s="203" t="str">
        <f>=L59</f>
      </c>
    </row>
    <row r="60">
      <c r="A60" s="3" t="s">
        <v>231</v>
      </c>
      <c r="B60" s="3" t="s">
        <v>696</v>
      </c>
      <c r="C60" s="3" t="s">
        <v>691</v>
      </c>
      <c r="D60" s="194" t="n">
        <v>2031</v>
      </c>
      <c r="E60" s="3" t="s">
        <v>693</v>
      </c>
      <c r="F60" s="196" t="n">
        <v>0.130311527775181</v>
      </c>
      <c r="G60" s="197" t="n">
        <v>0.1365</v>
      </c>
      <c r="H60" s="198" t="n">
        <v>0.4165</v>
      </c>
      <c r="I60" s="199"/>
      <c r="J60" s="200"/>
      <c r="K60" s="195"/>
      <c r="L60" s="201" t="n">
        <v>0.1645</v>
      </c>
      <c r="M60" s="202"/>
      <c r="N60" s="203" t="str">
        <f>=L60</f>
      </c>
    </row>
    <row r="61">
      <c r="A61" s="3" t="s">
        <v>231</v>
      </c>
      <c r="B61" s="3" t="s">
        <v>696</v>
      </c>
      <c r="C61" s="3" t="s">
        <v>691</v>
      </c>
      <c r="D61" s="194" t="n">
        <v>2032</v>
      </c>
      <c r="E61" s="3" t="s">
        <v>693</v>
      </c>
      <c r="F61" s="196" t="n">
        <v>0.130311527775181</v>
      </c>
      <c r="G61" s="197" t="n">
        <v>0.1365</v>
      </c>
      <c r="H61" s="198" t="n">
        <v>0.4165</v>
      </c>
      <c r="I61" s="199"/>
      <c r="J61" s="200"/>
      <c r="K61" s="195"/>
      <c r="L61" s="201" t="n">
        <v>0.1925</v>
      </c>
      <c r="M61" s="202"/>
      <c r="N61" s="203" t="str">
        <f>=L61</f>
      </c>
    </row>
    <row r="62">
      <c r="A62" s="3" t="s">
        <v>231</v>
      </c>
      <c r="B62" s="3" t="s">
        <v>696</v>
      </c>
      <c r="C62" s="3" t="s">
        <v>691</v>
      </c>
      <c r="D62" s="194" t="n">
        <v>2033</v>
      </c>
      <c r="E62" s="3" t="s">
        <v>693</v>
      </c>
      <c r="F62" s="196" t="n">
        <v>0.130311527775181</v>
      </c>
      <c r="G62" s="197" t="n">
        <v>0.1365</v>
      </c>
      <c r="H62" s="198" t="n">
        <v>0.4165</v>
      </c>
      <c r="I62" s="199"/>
      <c r="J62" s="200"/>
      <c r="K62" s="195"/>
      <c r="L62" s="201" t="n">
        <v>0.2205</v>
      </c>
      <c r="M62" s="202"/>
      <c r="N62" s="203" t="str">
        <f>=L62</f>
      </c>
    </row>
    <row r="63">
      <c r="A63" s="3" t="s">
        <v>231</v>
      </c>
      <c r="B63" s="3" t="s">
        <v>696</v>
      </c>
      <c r="C63" s="3" t="s">
        <v>691</v>
      </c>
      <c r="D63" s="194" t="n">
        <v>2034</v>
      </c>
      <c r="E63" s="3" t="s">
        <v>693</v>
      </c>
      <c r="F63" s="196" t="n">
        <v>0.130311527775181</v>
      </c>
      <c r="G63" s="197" t="n">
        <v>0.1365</v>
      </c>
      <c r="H63" s="198" t="n">
        <v>0.4165</v>
      </c>
      <c r="I63" s="199"/>
      <c r="J63" s="200"/>
      <c r="K63" s="195"/>
      <c r="L63" s="201" t="n">
        <v>0.2485</v>
      </c>
      <c r="M63" s="202"/>
      <c r="N63" s="203" t="str">
        <f>=L63</f>
      </c>
    </row>
    <row r="64">
      <c r="A64" s="3" t="s">
        <v>231</v>
      </c>
      <c r="B64" s="3" t="s">
        <v>696</v>
      </c>
      <c r="C64" s="3" t="s">
        <v>691</v>
      </c>
      <c r="D64" s="194" t="n">
        <v>2035</v>
      </c>
      <c r="E64" s="3" t="s">
        <v>693</v>
      </c>
      <c r="F64" s="196" t="n">
        <v>0.130311527775181</v>
      </c>
      <c r="G64" s="197" t="n">
        <v>0.1365</v>
      </c>
      <c r="H64" s="198" t="n">
        <v>0.4165</v>
      </c>
      <c r="I64" s="199"/>
      <c r="J64" s="200"/>
      <c r="K64" s="195"/>
      <c r="L64" s="201" t="n">
        <v>0.2765</v>
      </c>
      <c r="M64" s="202"/>
      <c r="N64" s="203" t="str">
        <f>=L64</f>
      </c>
    </row>
    <row r="65">
      <c r="A65" s="3" t="s">
        <v>231</v>
      </c>
      <c r="B65" s="3" t="s">
        <v>696</v>
      </c>
      <c r="C65" s="3" t="s">
        <v>691</v>
      </c>
      <c r="D65" s="194" t="n">
        <v>2036</v>
      </c>
      <c r="E65" s="3" t="s">
        <v>693</v>
      </c>
      <c r="F65" s="196" t="n">
        <v>0.130311527775181</v>
      </c>
      <c r="G65" s="197" t="n">
        <v>0.1365</v>
      </c>
      <c r="H65" s="198" t="n">
        <v>0.4165</v>
      </c>
      <c r="I65" s="199"/>
      <c r="J65" s="200"/>
      <c r="K65" s="195"/>
      <c r="L65" s="201" t="n">
        <v>0.3045</v>
      </c>
      <c r="M65" s="202"/>
      <c r="N65" s="203" t="str">
        <f>=L65</f>
      </c>
    </row>
    <row r="66">
      <c r="A66" s="3" t="s">
        <v>231</v>
      </c>
      <c r="B66" s="3" t="s">
        <v>696</v>
      </c>
      <c r="C66" s="3" t="s">
        <v>691</v>
      </c>
      <c r="D66" s="194" t="n">
        <v>2037</v>
      </c>
      <c r="E66" s="3" t="s">
        <v>693</v>
      </c>
      <c r="F66" s="196" t="n">
        <v>0.130311527775181</v>
      </c>
      <c r="G66" s="197" t="n">
        <v>0.1365</v>
      </c>
      <c r="H66" s="198" t="n">
        <v>0.4165</v>
      </c>
      <c r="I66" s="199"/>
      <c r="J66" s="200"/>
      <c r="K66" s="195"/>
      <c r="L66" s="201" t="n">
        <v>0.3325</v>
      </c>
      <c r="M66" s="202"/>
      <c r="N66" s="203" t="str">
        <f>=L66</f>
      </c>
    </row>
    <row r="67">
      <c r="A67" s="3" t="s">
        <v>231</v>
      </c>
      <c r="B67" s="3" t="s">
        <v>696</v>
      </c>
      <c r="C67" s="3" t="s">
        <v>691</v>
      </c>
      <c r="D67" s="194" t="n">
        <v>2038</v>
      </c>
      <c r="E67" s="3" t="s">
        <v>693</v>
      </c>
      <c r="F67" s="196" t="n">
        <v>0.130311527775181</v>
      </c>
      <c r="G67" s="197" t="n">
        <v>0.1365</v>
      </c>
      <c r="H67" s="198" t="n">
        <v>0.4165</v>
      </c>
      <c r="I67" s="199"/>
      <c r="J67" s="200"/>
      <c r="K67" s="195"/>
      <c r="L67" s="201" t="n">
        <v>0.3605</v>
      </c>
      <c r="M67" s="202"/>
      <c r="N67" s="203" t="str">
        <f>=L67</f>
      </c>
    </row>
    <row r="68">
      <c r="A68" s="3" t="s">
        <v>231</v>
      </c>
      <c r="B68" s="3" t="s">
        <v>696</v>
      </c>
      <c r="C68" s="3" t="s">
        <v>691</v>
      </c>
      <c r="D68" s="194" t="n">
        <v>2039</v>
      </c>
      <c r="E68" s="3" t="s">
        <v>693</v>
      </c>
      <c r="F68" s="196" t="n">
        <v>0.130311527775181</v>
      </c>
      <c r="G68" s="197" t="n">
        <v>0.1365</v>
      </c>
      <c r="H68" s="198" t="n">
        <v>0.4165</v>
      </c>
      <c r="I68" s="199"/>
      <c r="J68" s="200"/>
      <c r="K68" s="195"/>
      <c r="L68" s="201" t="n">
        <v>0.3885</v>
      </c>
      <c r="M68" s="202"/>
      <c r="N68" s="203" t="str">
        <f>=L68</f>
      </c>
    </row>
    <row r="69">
      <c r="A69" s="3" t="s">
        <v>231</v>
      </c>
      <c r="B69" s="3" t="s">
        <v>696</v>
      </c>
      <c r="C69" s="3" t="s">
        <v>691</v>
      </c>
      <c r="D69" s="194" t="n">
        <v>2040</v>
      </c>
      <c r="E69" s="3" t="s">
        <v>693</v>
      </c>
      <c r="F69" s="196" t="n">
        <v>0.130311527775181</v>
      </c>
      <c r="G69" s="197" t="n">
        <v>0.1365</v>
      </c>
      <c r="H69" s="198" t="n">
        <v>0.4165</v>
      </c>
      <c r="I69" s="199" t="n">
        <v>0.343</v>
      </c>
      <c r="J69" s="200" t="n">
        <v>0.147</v>
      </c>
      <c r="K69" s="195" t="n">
        <v>0.5</v>
      </c>
      <c r="L69" s="201" t="n">
        <v>0.4165</v>
      </c>
      <c r="M69" s="202" t="str">
        <f>=I69+'Cascade_Assumptions'!$B$11*J69</f>
      </c>
      <c r="N69" s="203" t="str">
        <f>=L69</f>
      </c>
    </row>
    <row r="70">
      <c r="A70" s="3" t="s">
        <v>231</v>
      </c>
      <c r="B70" s="3" t="s">
        <v>696</v>
      </c>
      <c r="C70" s="3" t="s">
        <v>691</v>
      </c>
      <c r="D70" s="194" t="n">
        <v>2041</v>
      </c>
      <c r="E70" s="3" t="s">
        <v>694</v>
      </c>
      <c r="F70" s="196" t="n">
        <v>0.130311527775181</v>
      </c>
      <c r="G70" s="197" t="n">
        <v>0.1365</v>
      </c>
      <c r="H70" s="198" t="n">
        <v>0.4165</v>
      </c>
      <c r="I70" s="199"/>
      <c r="J70" s="200"/>
      <c r="K70" s="195"/>
      <c r="L70" s="201" t="n">
        <v>0.4165</v>
      </c>
      <c r="M70" s="202"/>
      <c r="N70" s="203" t="str">
        <f>=L70</f>
      </c>
    </row>
    <row r="71">
      <c r="A71" s="3" t="s">
        <v>231</v>
      </c>
      <c r="B71" s="3" t="s">
        <v>696</v>
      </c>
      <c r="C71" s="3" t="s">
        <v>691</v>
      </c>
      <c r="D71" s="194" t="n">
        <v>2042</v>
      </c>
      <c r="E71" s="3" t="s">
        <v>694</v>
      </c>
      <c r="F71" s="196" t="n">
        <v>0.130311527775181</v>
      </c>
      <c r="G71" s="197" t="n">
        <v>0.1365</v>
      </c>
      <c r="H71" s="198" t="n">
        <v>0.4165</v>
      </c>
      <c r="I71" s="199"/>
      <c r="J71" s="200"/>
      <c r="K71" s="195"/>
      <c r="L71" s="201" t="n">
        <v>0.4165</v>
      </c>
      <c r="M71" s="202"/>
      <c r="N71" s="203" t="str">
        <f>=L71</f>
      </c>
    </row>
    <row r="72">
      <c r="A72" s="3" t="s">
        <v>231</v>
      </c>
      <c r="B72" s="3" t="s">
        <v>696</v>
      </c>
      <c r="C72" s="3" t="s">
        <v>691</v>
      </c>
      <c r="D72" s="194" t="n">
        <v>2043</v>
      </c>
      <c r="E72" s="3" t="s">
        <v>694</v>
      </c>
      <c r="F72" s="196" t="n">
        <v>0.130311527775181</v>
      </c>
      <c r="G72" s="197" t="n">
        <v>0.1365</v>
      </c>
      <c r="H72" s="198" t="n">
        <v>0.4165</v>
      </c>
      <c r="I72" s="199"/>
      <c r="J72" s="200"/>
      <c r="K72" s="195"/>
      <c r="L72" s="201" t="n">
        <v>0.4165</v>
      </c>
      <c r="M72" s="202"/>
      <c r="N72" s="203" t="str">
        <f>=L72</f>
      </c>
    </row>
    <row r="73">
      <c r="A73" s="3" t="s">
        <v>231</v>
      </c>
      <c r="B73" s="3" t="s">
        <v>696</v>
      </c>
      <c r="C73" s="3" t="s">
        <v>691</v>
      </c>
      <c r="D73" s="194" t="n">
        <v>2044</v>
      </c>
      <c r="E73" s="3" t="s">
        <v>694</v>
      </c>
      <c r="F73" s="196" t="n">
        <v>0.130311527775181</v>
      </c>
      <c r="G73" s="197" t="n">
        <v>0.1365</v>
      </c>
      <c r="H73" s="198" t="n">
        <v>0.4165</v>
      </c>
      <c r="I73" s="199"/>
      <c r="J73" s="200"/>
      <c r="K73" s="195"/>
      <c r="L73" s="201" t="n">
        <v>0.4165</v>
      </c>
      <c r="M73" s="202"/>
      <c r="N73" s="203" t="str">
        <f>=L73</f>
      </c>
    </row>
    <row r="74">
      <c r="A74" s="3" t="s">
        <v>231</v>
      </c>
      <c r="B74" s="3" t="s">
        <v>696</v>
      </c>
      <c r="C74" s="3" t="s">
        <v>691</v>
      </c>
      <c r="D74" s="194" t="n">
        <v>2045</v>
      </c>
      <c r="E74" s="3" t="s">
        <v>694</v>
      </c>
      <c r="F74" s="196" t="n">
        <v>0.130311527775181</v>
      </c>
      <c r="G74" s="197" t="n">
        <v>0.1365</v>
      </c>
      <c r="H74" s="198" t="n">
        <v>0.4165</v>
      </c>
      <c r="I74" s="199"/>
      <c r="J74" s="200"/>
      <c r="K74" s="195"/>
      <c r="L74" s="201" t="n">
        <v>0.4165</v>
      </c>
      <c r="M74" s="202"/>
      <c r="N74" s="203" t="str">
        <f>=L74</f>
      </c>
    </row>
    <row r="75">
      <c r="A75" s="3" t="s">
        <v>231</v>
      </c>
      <c r="B75" s="3" t="s">
        <v>696</v>
      </c>
      <c r="C75" s="3" t="s">
        <v>691</v>
      </c>
      <c r="D75" s="194" t="n">
        <v>2046</v>
      </c>
      <c r="E75" s="3" t="s">
        <v>694</v>
      </c>
      <c r="F75" s="196" t="n">
        <v>0.130311527775181</v>
      </c>
      <c r="G75" s="197" t="n">
        <v>0.1365</v>
      </c>
      <c r="H75" s="198" t="n">
        <v>0.4165</v>
      </c>
      <c r="I75" s="199"/>
      <c r="J75" s="200"/>
      <c r="K75" s="195"/>
      <c r="L75" s="201" t="n">
        <v>0.4165</v>
      </c>
      <c r="M75" s="202"/>
      <c r="N75" s="203" t="str">
        <f>=L75</f>
      </c>
    </row>
    <row r="76">
      <c r="A76" s="3" t="s">
        <v>231</v>
      </c>
      <c r="B76" s="3" t="s">
        <v>696</v>
      </c>
      <c r="C76" s="3" t="s">
        <v>691</v>
      </c>
      <c r="D76" s="194" t="n">
        <v>2047</v>
      </c>
      <c r="E76" s="3" t="s">
        <v>694</v>
      </c>
      <c r="F76" s="196" t="n">
        <v>0.130311527775181</v>
      </c>
      <c r="G76" s="197" t="n">
        <v>0.1365</v>
      </c>
      <c r="H76" s="198" t="n">
        <v>0.4165</v>
      </c>
      <c r="I76" s="199"/>
      <c r="J76" s="200"/>
      <c r="K76" s="195"/>
      <c r="L76" s="201" t="n">
        <v>0.4165</v>
      </c>
      <c r="M76" s="202"/>
      <c r="N76" s="203" t="str">
        <f>=L76</f>
      </c>
    </row>
    <row r="77">
      <c r="A77" s="3" t="s">
        <v>231</v>
      </c>
      <c r="B77" s="3" t="s">
        <v>696</v>
      </c>
      <c r="C77" s="3" t="s">
        <v>691</v>
      </c>
      <c r="D77" s="194" t="n">
        <v>2048</v>
      </c>
      <c r="E77" s="3" t="s">
        <v>694</v>
      </c>
      <c r="F77" s="196" t="n">
        <v>0.130311527775181</v>
      </c>
      <c r="G77" s="197" t="n">
        <v>0.1365</v>
      </c>
      <c r="H77" s="198" t="n">
        <v>0.4165</v>
      </c>
      <c r="I77" s="199"/>
      <c r="J77" s="200"/>
      <c r="K77" s="195"/>
      <c r="L77" s="201" t="n">
        <v>0.4165</v>
      </c>
      <c r="M77" s="202"/>
      <c r="N77" s="203" t="str">
        <f>=L77</f>
      </c>
    </row>
    <row r="78">
      <c r="A78" s="3" t="s">
        <v>231</v>
      </c>
      <c r="B78" s="3" t="s">
        <v>696</v>
      </c>
      <c r="C78" s="3" t="s">
        <v>691</v>
      </c>
      <c r="D78" s="194" t="n">
        <v>2049</v>
      </c>
      <c r="E78" s="3" t="s">
        <v>694</v>
      </c>
      <c r="F78" s="196" t="n">
        <v>0.130311527775181</v>
      </c>
      <c r="G78" s="197" t="n">
        <v>0.1365</v>
      </c>
      <c r="H78" s="198" t="n">
        <v>0.4165</v>
      </c>
      <c r="I78" s="199"/>
      <c r="J78" s="200"/>
      <c r="K78" s="195"/>
      <c r="L78" s="201" t="n">
        <v>0.4165</v>
      </c>
      <c r="M78" s="202"/>
      <c r="N78" s="203" t="str">
        <f>=L78</f>
      </c>
    </row>
    <row r="79">
      <c r="A79" s="3" t="s">
        <v>231</v>
      </c>
      <c r="B79" s="3" t="s">
        <v>696</v>
      </c>
      <c r="C79" s="3" t="s">
        <v>691</v>
      </c>
      <c r="D79" s="194" t="n">
        <v>2050</v>
      </c>
      <c r="E79" s="3" t="s">
        <v>694</v>
      </c>
      <c r="F79" s="196" t="n">
        <v>0.130311527775181</v>
      </c>
      <c r="G79" s="197" t="n">
        <v>0.1365</v>
      </c>
      <c r="H79" s="198" t="n">
        <v>0.4165</v>
      </c>
      <c r="I79" s="199"/>
      <c r="J79" s="200"/>
      <c r="K79" s="195"/>
      <c r="L79" s="201" t="n">
        <v>0.4165</v>
      </c>
      <c r="M79" s="202"/>
      <c r="N79" s="203" t="str">
        <f>=L79</f>
      </c>
    </row>
    <row r="80">
      <c r="A80" s="3" t="s">
        <v>231</v>
      </c>
      <c r="B80" s="3" t="s">
        <v>696</v>
      </c>
      <c r="C80" s="3" t="s">
        <v>695</v>
      </c>
      <c r="D80" s="194" t="n">
        <v>2025</v>
      </c>
      <c r="E80" s="3" t="s">
        <v>692</v>
      </c>
      <c r="F80" s="196" t="n">
        <v>0.165517697384109</v>
      </c>
      <c r="G80" s="197" t="n">
        <v>0.1365</v>
      </c>
      <c r="H80" s="198" t="n">
        <v>0.4165</v>
      </c>
      <c r="I80" s="199" t="n">
        <v>0.0843815712154282</v>
      </c>
      <c r="J80" s="200" t="n">
        <v>0.162272252337362</v>
      </c>
      <c r="K80" s="195" t="n">
        <v>0.5</v>
      </c>
      <c r="L80" s="201" t="n">
        <v>0.165517697384109</v>
      </c>
      <c r="M80" s="202" t="str">
        <f>=I80+'Cascade_Assumptions'!$B$11*J80</f>
      </c>
      <c r="N80" s="203" t="str">
        <f>=L80</f>
      </c>
    </row>
    <row r="81">
      <c r="A81" s="3" t="s">
        <v>231</v>
      </c>
      <c r="B81" s="3" t="s">
        <v>696</v>
      </c>
      <c r="C81" s="3" t="s">
        <v>695</v>
      </c>
      <c r="D81" s="194" t="n">
        <v>2026</v>
      </c>
      <c r="E81" s="3" t="s">
        <v>692</v>
      </c>
      <c r="F81" s="196" t="n">
        <v>0.165517697384109</v>
      </c>
      <c r="G81" s="197" t="n">
        <v>0.1365</v>
      </c>
      <c r="H81" s="198" t="n">
        <v>0.4165</v>
      </c>
      <c r="I81" s="199"/>
      <c r="J81" s="200"/>
      <c r="K81" s="195"/>
      <c r="L81" s="201" t="n">
        <v>0.165517697384109</v>
      </c>
      <c r="M81" s="202"/>
      <c r="N81" s="203" t="str">
        <f>=L81</f>
      </c>
    </row>
    <row r="82">
      <c r="A82" s="3" t="s">
        <v>231</v>
      </c>
      <c r="B82" s="3" t="s">
        <v>696</v>
      </c>
      <c r="C82" s="3" t="s">
        <v>695</v>
      </c>
      <c r="D82" s="194" t="n">
        <v>2027</v>
      </c>
      <c r="E82" s="3" t="s">
        <v>692</v>
      </c>
      <c r="F82" s="196" t="n">
        <v>0.165517697384109</v>
      </c>
      <c r="G82" s="197" t="n">
        <v>0.1365</v>
      </c>
      <c r="H82" s="198" t="n">
        <v>0.4165</v>
      </c>
      <c r="I82" s="199"/>
      <c r="J82" s="200"/>
      <c r="K82" s="195"/>
      <c r="L82" s="201" t="n">
        <v>0.165517697384109</v>
      </c>
      <c r="M82" s="202"/>
      <c r="N82" s="203" t="str">
        <f>=L82</f>
      </c>
    </row>
    <row r="83">
      <c r="A83" s="3" t="s">
        <v>231</v>
      </c>
      <c r="B83" s="3" t="s">
        <v>696</v>
      </c>
      <c r="C83" s="3" t="s">
        <v>695</v>
      </c>
      <c r="D83" s="194" t="n">
        <v>2028</v>
      </c>
      <c r="E83" s="3" t="s">
        <v>692</v>
      </c>
      <c r="F83" s="196" t="n">
        <v>0.165517697384109</v>
      </c>
      <c r="G83" s="197" t="n">
        <v>0.1365</v>
      </c>
      <c r="H83" s="198" t="n">
        <v>0.4165</v>
      </c>
      <c r="I83" s="199"/>
      <c r="J83" s="200"/>
      <c r="K83" s="195"/>
      <c r="L83" s="201" t="n">
        <v>0.165517697384109</v>
      </c>
      <c r="M83" s="202"/>
      <c r="N83" s="203" t="str">
        <f>=L83</f>
      </c>
    </row>
    <row r="84">
      <c r="A84" s="3" t="s">
        <v>231</v>
      </c>
      <c r="B84" s="3" t="s">
        <v>696</v>
      </c>
      <c r="C84" s="3" t="s">
        <v>695</v>
      </c>
      <c r="D84" s="194" t="n">
        <v>2029</v>
      </c>
      <c r="E84" s="3" t="s">
        <v>692</v>
      </c>
      <c r="F84" s="196" t="n">
        <v>0.165517697384109</v>
      </c>
      <c r="G84" s="197" t="n">
        <v>0.1365</v>
      </c>
      <c r="H84" s="198" t="n">
        <v>0.4165</v>
      </c>
      <c r="I84" s="199"/>
      <c r="J84" s="200"/>
      <c r="K84" s="195"/>
      <c r="L84" s="201" t="n">
        <v>0.165517697384109</v>
      </c>
      <c r="M84" s="202"/>
      <c r="N84" s="203" t="str">
        <f>=L84</f>
      </c>
    </row>
    <row r="85">
      <c r="A85" s="3" t="s">
        <v>231</v>
      </c>
      <c r="B85" s="3" t="s">
        <v>696</v>
      </c>
      <c r="C85" s="3" t="s">
        <v>695</v>
      </c>
      <c r="D85" s="194" t="n">
        <v>2030</v>
      </c>
      <c r="E85" s="3" t="s">
        <v>692</v>
      </c>
      <c r="F85" s="196" t="n">
        <v>0.165517697384109</v>
      </c>
      <c r="G85" s="197" t="n">
        <v>0.1365</v>
      </c>
      <c r="H85" s="198" t="n">
        <v>0.4165</v>
      </c>
      <c r="I85" s="199" t="n">
        <v>0.063</v>
      </c>
      <c r="J85" s="200" t="n">
        <v>0.147</v>
      </c>
      <c r="K85" s="195" t="n">
        <v>0.5</v>
      </c>
      <c r="L85" s="201" t="n">
        <v>0.165517697384109</v>
      </c>
      <c r="M85" s="202" t="str">
        <f>=I85+'Cascade_Assumptions'!$B$11*J85</f>
      </c>
      <c r="N85" s="203" t="str">
        <f>=L85</f>
      </c>
    </row>
    <row r="86">
      <c r="A86" s="3" t="s">
        <v>231</v>
      </c>
      <c r="B86" s="3" t="s">
        <v>696</v>
      </c>
      <c r="C86" s="3" t="s">
        <v>695</v>
      </c>
      <c r="D86" s="194" t="n">
        <v>2031</v>
      </c>
      <c r="E86" s="3" t="s">
        <v>693</v>
      </c>
      <c r="F86" s="196" t="n">
        <v>0.165517697384109</v>
      </c>
      <c r="G86" s="197" t="n">
        <v>0.1365</v>
      </c>
      <c r="H86" s="198" t="n">
        <v>0.4165</v>
      </c>
      <c r="I86" s="199"/>
      <c r="J86" s="200"/>
      <c r="K86" s="195"/>
      <c r="L86" s="201" t="n">
        <v>0.190615927645698</v>
      </c>
      <c r="M86" s="202"/>
      <c r="N86" s="203" t="str">
        <f>=L86</f>
      </c>
    </row>
    <row r="87">
      <c r="A87" s="3" t="s">
        <v>231</v>
      </c>
      <c r="B87" s="3" t="s">
        <v>696</v>
      </c>
      <c r="C87" s="3" t="s">
        <v>695</v>
      </c>
      <c r="D87" s="194" t="n">
        <v>2032</v>
      </c>
      <c r="E87" s="3" t="s">
        <v>693</v>
      </c>
      <c r="F87" s="196" t="n">
        <v>0.165517697384109</v>
      </c>
      <c r="G87" s="197" t="n">
        <v>0.1365</v>
      </c>
      <c r="H87" s="198" t="n">
        <v>0.4165</v>
      </c>
      <c r="I87" s="199"/>
      <c r="J87" s="200"/>
      <c r="K87" s="195"/>
      <c r="L87" s="201" t="n">
        <v>0.215714157907287</v>
      </c>
      <c r="M87" s="202"/>
      <c r="N87" s="203" t="str">
        <f>=L87</f>
      </c>
    </row>
    <row r="88">
      <c r="A88" s="3" t="s">
        <v>231</v>
      </c>
      <c r="B88" s="3" t="s">
        <v>696</v>
      </c>
      <c r="C88" s="3" t="s">
        <v>695</v>
      </c>
      <c r="D88" s="194" t="n">
        <v>2033</v>
      </c>
      <c r="E88" s="3" t="s">
        <v>693</v>
      </c>
      <c r="F88" s="196" t="n">
        <v>0.165517697384109</v>
      </c>
      <c r="G88" s="197" t="n">
        <v>0.1365</v>
      </c>
      <c r="H88" s="198" t="n">
        <v>0.4165</v>
      </c>
      <c r="I88" s="199"/>
      <c r="J88" s="200"/>
      <c r="K88" s="195"/>
      <c r="L88" s="201" t="n">
        <v>0.240812388168876</v>
      </c>
      <c r="M88" s="202"/>
      <c r="N88" s="203" t="str">
        <f>=L88</f>
      </c>
    </row>
    <row r="89">
      <c r="A89" s="3" t="s">
        <v>231</v>
      </c>
      <c r="B89" s="3" t="s">
        <v>696</v>
      </c>
      <c r="C89" s="3" t="s">
        <v>695</v>
      </c>
      <c r="D89" s="194" t="n">
        <v>2034</v>
      </c>
      <c r="E89" s="3" t="s">
        <v>693</v>
      </c>
      <c r="F89" s="196" t="n">
        <v>0.165517697384109</v>
      </c>
      <c r="G89" s="197" t="n">
        <v>0.1365</v>
      </c>
      <c r="H89" s="198" t="n">
        <v>0.4165</v>
      </c>
      <c r="I89" s="199"/>
      <c r="J89" s="200"/>
      <c r="K89" s="195"/>
      <c r="L89" s="201" t="n">
        <v>0.265910618430465</v>
      </c>
      <c r="M89" s="202"/>
      <c r="N89" s="203" t="str">
        <f>=L89</f>
      </c>
    </row>
    <row r="90">
      <c r="A90" s="3" t="s">
        <v>231</v>
      </c>
      <c r="B90" s="3" t="s">
        <v>696</v>
      </c>
      <c r="C90" s="3" t="s">
        <v>695</v>
      </c>
      <c r="D90" s="194" t="n">
        <v>2035</v>
      </c>
      <c r="E90" s="3" t="s">
        <v>693</v>
      </c>
      <c r="F90" s="196" t="n">
        <v>0.165517697384109</v>
      </c>
      <c r="G90" s="197" t="n">
        <v>0.1365</v>
      </c>
      <c r="H90" s="198" t="n">
        <v>0.4165</v>
      </c>
      <c r="I90" s="199"/>
      <c r="J90" s="200"/>
      <c r="K90" s="195"/>
      <c r="L90" s="201" t="n">
        <v>0.291008848692055</v>
      </c>
      <c r="M90" s="202"/>
      <c r="N90" s="203" t="str">
        <f>=L90</f>
      </c>
    </row>
    <row r="91">
      <c r="A91" s="3" t="s">
        <v>231</v>
      </c>
      <c r="B91" s="3" t="s">
        <v>696</v>
      </c>
      <c r="C91" s="3" t="s">
        <v>695</v>
      </c>
      <c r="D91" s="194" t="n">
        <v>2036</v>
      </c>
      <c r="E91" s="3" t="s">
        <v>693</v>
      </c>
      <c r="F91" s="196" t="n">
        <v>0.165517697384109</v>
      </c>
      <c r="G91" s="197" t="n">
        <v>0.1365</v>
      </c>
      <c r="H91" s="198" t="n">
        <v>0.4165</v>
      </c>
      <c r="I91" s="199"/>
      <c r="J91" s="200"/>
      <c r="K91" s="195"/>
      <c r="L91" s="201" t="n">
        <v>0.316107078953644</v>
      </c>
      <c r="M91" s="202"/>
      <c r="N91" s="203" t="str">
        <f>=L91</f>
      </c>
    </row>
    <row r="92">
      <c r="A92" s="3" t="s">
        <v>231</v>
      </c>
      <c r="B92" s="3" t="s">
        <v>696</v>
      </c>
      <c r="C92" s="3" t="s">
        <v>695</v>
      </c>
      <c r="D92" s="194" t="n">
        <v>2037</v>
      </c>
      <c r="E92" s="3" t="s">
        <v>693</v>
      </c>
      <c r="F92" s="196" t="n">
        <v>0.165517697384109</v>
      </c>
      <c r="G92" s="197" t="n">
        <v>0.1365</v>
      </c>
      <c r="H92" s="198" t="n">
        <v>0.4165</v>
      </c>
      <c r="I92" s="199"/>
      <c r="J92" s="200"/>
      <c r="K92" s="195"/>
      <c r="L92" s="201" t="n">
        <v>0.341205309215233</v>
      </c>
      <c r="M92" s="202"/>
      <c r="N92" s="203" t="str">
        <f>=L92</f>
      </c>
    </row>
    <row r="93">
      <c r="A93" s="3" t="s">
        <v>231</v>
      </c>
      <c r="B93" s="3" t="s">
        <v>696</v>
      </c>
      <c r="C93" s="3" t="s">
        <v>695</v>
      </c>
      <c r="D93" s="194" t="n">
        <v>2038</v>
      </c>
      <c r="E93" s="3" t="s">
        <v>693</v>
      </c>
      <c r="F93" s="196" t="n">
        <v>0.165517697384109</v>
      </c>
      <c r="G93" s="197" t="n">
        <v>0.1365</v>
      </c>
      <c r="H93" s="198" t="n">
        <v>0.4165</v>
      </c>
      <c r="I93" s="199"/>
      <c r="J93" s="200"/>
      <c r="K93" s="195"/>
      <c r="L93" s="201" t="n">
        <v>0.366303539476822</v>
      </c>
      <c r="M93" s="202"/>
      <c r="N93" s="203" t="str">
        <f>=L93</f>
      </c>
    </row>
    <row r="94">
      <c r="A94" s="3" t="s">
        <v>231</v>
      </c>
      <c r="B94" s="3" t="s">
        <v>696</v>
      </c>
      <c r="C94" s="3" t="s">
        <v>695</v>
      </c>
      <c r="D94" s="194" t="n">
        <v>2039</v>
      </c>
      <c r="E94" s="3" t="s">
        <v>693</v>
      </c>
      <c r="F94" s="196" t="n">
        <v>0.165517697384109</v>
      </c>
      <c r="G94" s="197" t="n">
        <v>0.1365</v>
      </c>
      <c r="H94" s="198" t="n">
        <v>0.4165</v>
      </c>
      <c r="I94" s="199"/>
      <c r="J94" s="200"/>
      <c r="K94" s="195"/>
      <c r="L94" s="201" t="n">
        <v>0.391401769738411</v>
      </c>
      <c r="M94" s="202"/>
      <c r="N94" s="203" t="str">
        <f>=L94</f>
      </c>
    </row>
    <row r="95">
      <c r="A95" s="3" t="s">
        <v>231</v>
      </c>
      <c r="B95" s="3" t="s">
        <v>696</v>
      </c>
      <c r="C95" s="3" t="s">
        <v>695</v>
      </c>
      <c r="D95" s="194" t="n">
        <v>2040</v>
      </c>
      <c r="E95" s="3" t="s">
        <v>693</v>
      </c>
      <c r="F95" s="196" t="n">
        <v>0.165517697384109</v>
      </c>
      <c r="G95" s="197" t="n">
        <v>0.1365</v>
      </c>
      <c r="H95" s="198" t="n">
        <v>0.4165</v>
      </c>
      <c r="I95" s="199" t="n">
        <v>0.343</v>
      </c>
      <c r="J95" s="200" t="n">
        <v>0.147</v>
      </c>
      <c r="K95" s="195" t="n">
        <v>0.5</v>
      </c>
      <c r="L95" s="201" t="n">
        <v>0.4165</v>
      </c>
      <c r="M95" s="202" t="str">
        <f>=I95+'Cascade_Assumptions'!$B$11*J95</f>
      </c>
      <c r="N95" s="203" t="str">
        <f>=L95</f>
      </c>
    </row>
    <row r="96">
      <c r="A96" s="3" t="s">
        <v>231</v>
      </c>
      <c r="B96" s="3" t="s">
        <v>696</v>
      </c>
      <c r="C96" s="3" t="s">
        <v>695</v>
      </c>
      <c r="D96" s="194" t="n">
        <v>2041</v>
      </c>
      <c r="E96" s="3" t="s">
        <v>694</v>
      </c>
      <c r="F96" s="196" t="n">
        <v>0.165517697384109</v>
      </c>
      <c r="G96" s="197" t="n">
        <v>0.1365</v>
      </c>
      <c r="H96" s="198" t="n">
        <v>0.4165</v>
      </c>
      <c r="I96" s="199"/>
      <c r="J96" s="200"/>
      <c r="K96" s="195"/>
      <c r="L96" s="201" t="n">
        <v>0.4165</v>
      </c>
      <c r="M96" s="202"/>
      <c r="N96" s="203" t="str">
        <f>=L96</f>
      </c>
    </row>
    <row r="97">
      <c r="A97" s="3" t="s">
        <v>231</v>
      </c>
      <c r="B97" s="3" t="s">
        <v>696</v>
      </c>
      <c r="C97" s="3" t="s">
        <v>695</v>
      </c>
      <c r="D97" s="194" t="n">
        <v>2042</v>
      </c>
      <c r="E97" s="3" t="s">
        <v>694</v>
      </c>
      <c r="F97" s="196" t="n">
        <v>0.165517697384109</v>
      </c>
      <c r="G97" s="197" t="n">
        <v>0.1365</v>
      </c>
      <c r="H97" s="198" t="n">
        <v>0.4165</v>
      </c>
      <c r="I97" s="199"/>
      <c r="J97" s="200"/>
      <c r="K97" s="195"/>
      <c r="L97" s="201" t="n">
        <v>0.4165</v>
      </c>
      <c r="M97" s="202"/>
      <c r="N97" s="203" t="str">
        <f>=L97</f>
      </c>
    </row>
    <row r="98">
      <c r="A98" s="3" t="s">
        <v>231</v>
      </c>
      <c r="B98" s="3" t="s">
        <v>696</v>
      </c>
      <c r="C98" s="3" t="s">
        <v>695</v>
      </c>
      <c r="D98" s="194" t="n">
        <v>2043</v>
      </c>
      <c r="E98" s="3" t="s">
        <v>694</v>
      </c>
      <c r="F98" s="196" t="n">
        <v>0.165517697384109</v>
      </c>
      <c r="G98" s="197" t="n">
        <v>0.1365</v>
      </c>
      <c r="H98" s="198" t="n">
        <v>0.4165</v>
      </c>
      <c r="I98" s="199"/>
      <c r="J98" s="200"/>
      <c r="K98" s="195"/>
      <c r="L98" s="201" t="n">
        <v>0.4165</v>
      </c>
      <c r="M98" s="202"/>
      <c r="N98" s="203" t="str">
        <f>=L98</f>
      </c>
    </row>
    <row r="99">
      <c r="A99" s="3" t="s">
        <v>231</v>
      </c>
      <c r="B99" s="3" t="s">
        <v>696</v>
      </c>
      <c r="C99" s="3" t="s">
        <v>695</v>
      </c>
      <c r="D99" s="194" t="n">
        <v>2044</v>
      </c>
      <c r="E99" s="3" t="s">
        <v>694</v>
      </c>
      <c r="F99" s="196" t="n">
        <v>0.165517697384109</v>
      </c>
      <c r="G99" s="197" t="n">
        <v>0.1365</v>
      </c>
      <c r="H99" s="198" t="n">
        <v>0.4165</v>
      </c>
      <c r="I99" s="199"/>
      <c r="J99" s="200"/>
      <c r="K99" s="195"/>
      <c r="L99" s="201" t="n">
        <v>0.4165</v>
      </c>
      <c r="M99" s="202"/>
      <c r="N99" s="203" t="str">
        <f>=L99</f>
      </c>
    </row>
    <row r="100">
      <c r="A100" s="3" t="s">
        <v>231</v>
      </c>
      <c r="B100" s="3" t="s">
        <v>696</v>
      </c>
      <c r="C100" s="3" t="s">
        <v>695</v>
      </c>
      <c r="D100" s="194" t="n">
        <v>2045</v>
      </c>
      <c r="E100" s="3" t="s">
        <v>694</v>
      </c>
      <c r="F100" s="196" t="n">
        <v>0.165517697384109</v>
      </c>
      <c r="G100" s="197" t="n">
        <v>0.1365</v>
      </c>
      <c r="H100" s="198" t="n">
        <v>0.4165</v>
      </c>
      <c r="I100" s="199"/>
      <c r="J100" s="200"/>
      <c r="K100" s="195"/>
      <c r="L100" s="201" t="n">
        <v>0.4165</v>
      </c>
      <c r="M100" s="202"/>
      <c r="N100" s="203" t="str">
        <f>=L100</f>
      </c>
    </row>
    <row r="101">
      <c r="A101" s="3" t="s">
        <v>231</v>
      </c>
      <c r="B101" s="3" t="s">
        <v>696</v>
      </c>
      <c r="C101" s="3" t="s">
        <v>695</v>
      </c>
      <c r="D101" s="194" t="n">
        <v>2046</v>
      </c>
      <c r="E101" s="3" t="s">
        <v>694</v>
      </c>
      <c r="F101" s="196" t="n">
        <v>0.165517697384109</v>
      </c>
      <c r="G101" s="197" t="n">
        <v>0.1365</v>
      </c>
      <c r="H101" s="198" t="n">
        <v>0.4165</v>
      </c>
      <c r="I101" s="199"/>
      <c r="J101" s="200"/>
      <c r="K101" s="195"/>
      <c r="L101" s="201" t="n">
        <v>0.4165</v>
      </c>
      <c r="M101" s="202"/>
      <c r="N101" s="203" t="str">
        <f>=L101</f>
      </c>
    </row>
    <row r="102">
      <c r="A102" s="3" t="s">
        <v>231</v>
      </c>
      <c r="B102" s="3" t="s">
        <v>696</v>
      </c>
      <c r="C102" s="3" t="s">
        <v>695</v>
      </c>
      <c r="D102" s="194" t="n">
        <v>2047</v>
      </c>
      <c r="E102" s="3" t="s">
        <v>694</v>
      </c>
      <c r="F102" s="196" t="n">
        <v>0.165517697384109</v>
      </c>
      <c r="G102" s="197" t="n">
        <v>0.1365</v>
      </c>
      <c r="H102" s="198" t="n">
        <v>0.4165</v>
      </c>
      <c r="I102" s="199"/>
      <c r="J102" s="200"/>
      <c r="K102" s="195"/>
      <c r="L102" s="201" t="n">
        <v>0.4165</v>
      </c>
      <c r="M102" s="202"/>
      <c r="N102" s="203" t="str">
        <f>=L102</f>
      </c>
    </row>
    <row r="103">
      <c r="A103" s="3" t="s">
        <v>231</v>
      </c>
      <c r="B103" s="3" t="s">
        <v>696</v>
      </c>
      <c r="C103" s="3" t="s">
        <v>695</v>
      </c>
      <c r="D103" s="194" t="n">
        <v>2048</v>
      </c>
      <c r="E103" s="3" t="s">
        <v>694</v>
      </c>
      <c r="F103" s="196" t="n">
        <v>0.165517697384109</v>
      </c>
      <c r="G103" s="197" t="n">
        <v>0.1365</v>
      </c>
      <c r="H103" s="198" t="n">
        <v>0.4165</v>
      </c>
      <c r="I103" s="199"/>
      <c r="J103" s="200"/>
      <c r="K103" s="195"/>
      <c r="L103" s="201" t="n">
        <v>0.4165</v>
      </c>
      <c r="M103" s="202"/>
      <c r="N103" s="203" t="str">
        <f>=L103</f>
      </c>
    </row>
    <row r="104">
      <c r="A104" s="3" t="s">
        <v>231</v>
      </c>
      <c r="B104" s="3" t="s">
        <v>696</v>
      </c>
      <c r="C104" s="3" t="s">
        <v>695</v>
      </c>
      <c r="D104" s="194" t="n">
        <v>2049</v>
      </c>
      <c r="E104" s="3" t="s">
        <v>694</v>
      </c>
      <c r="F104" s="196" t="n">
        <v>0.165517697384109</v>
      </c>
      <c r="G104" s="197" t="n">
        <v>0.1365</v>
      </c>
      <c r="H104" s="198" t="n">
        <v>0.4165</v>
      </c>
      <c r="I104" s="199"/>
      <c r="J104" s="200"/>
      <c r="K104" s="195"/>
      <c r="L104" s="201" t="n">
        <v>0.4165</v>
      </c>
      <c r="M104" s="202"/>
      <c r="N104" s="203" t="str">
        <f>=L104</f>
      </c>
    </row>
    <row r="105">
      <c r="A105" s="3" t="s">
        <v>231</v>
      </c>
      <c r="B105" s="3" t="s">
        <v>696</v>
      </c>
      <c r="C105" s="3" t="s">
        <v>695</v>
      </c>
      <c r="D105" s="194" t="n">
        <v>2050</v>
      </c>
      <c r="E105" s="3" t="s">
        <v>694</v>
      </c>
      <c r="F105" s="196" t="n">
        <v>0.165517697384109</v>
      </c>
      <c r="G105" s="197" t="n">
        <v>0.1365</v>
      </c>
      <c r="H105" s="198" t="n">
        <v>0.4165</v>
      </c>
      <c r="I105" s="199"/>
      <c r="J105" s="200"/>
      <c r="K105" s="195"/>
      <c r="L105" s="201" t="n">
        <v>0.4165</v>
      </c>
      <c r="M105" s="202"/>
      <c r="N105" s="203" t="str">
        <f>=L105</f>
      </c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8.71" hidden="0" customWidth="1"/>
    <col min="4" max="4" width="28.71" hidden="0" customWidth="1"/>
    <col min="5" max="5" width="17.71" hidden="0" customWidth="1"/>
    <col min="6" max="6" width="20.71" hidden="0" customWidth="1"/>
    <col min="7" max="7" width="11.71" hidden="0" customWidth="1"/>
    <col min="8" max="8" width="11.71" hidden="0" customWidth="1"/>
  </cols>
  <sheetData>
    <row r="1" ht="28" customHeight="1">
      <c r="A1" s="1" t="s">
        <v>697</v>
      </c>
      <c r="B1" s="1" t="s">
        <v>408</v>
      </c>
      <c r="C1" s="1" t="s">
        <v>684</v>
      </c>
      <c r="D1" s="1" t="s">
        <v>685</v>
      </c>
      <c r="E1" s="1" t="s">
        <v>698</v>
      </c>
      <c r="F1" s="1" t="s">
        <v>699</v>
      </c>
      <c r="G1" s="1" t="s">
        <v>700</v>
      </c>
      <c r="H1" s="1" t="s">
        <v>411</v>
      </c>
    </row>
    <row r="2">
      <c r="A2" t="s">
        <v>701</v>
      </c>
      <c r="B2" s="32" t="s">
        <v>702</v>
      </c>
      <c r="C2" s="205" t="n">
        <v>0.063</v>
      </c>
      <c r="D2" s="206" t="n">
        <v>0.147</v>
      </c>
      <c r="E2" s="207" t="str">
        <f>=C2+'Cascade_Assumptions'!$B$11*D2</f>
      </c>
      <c r="F2" s="208" t="n">
        <v>0.1365</v>
      </c>
      <c r="G2" s="204"/>
      <c r="H2" s="34" t="str">
        <f>=IF(ABS(E2-F2)&lt;0.0000001,"PASS","CHECK")</f>
      </c>
    </row>
    <row r="3">
      <c r="A3" t="s">
        <v>703</v>
      </c>
      <c r="B3" s="32" t="s">
        <v>704</v>
      </c>
      <c r="C3" s="205" t="n">
        <v>0.343</v>
      </c>
      <c r="D3" s="206" t="n">
        <v>0.147</v>
      </c>
      <c r="E3" s="207" t="str">
        <f>=C3+'Cascade_Assumptions'!$B$11*D3</f>
      </c>
      <c r="F3" s="208" t="n">
        <v>0.4165</v>
      </c>
      <c r="G3" s="204"/>
      <c r="H3" s="34" t="str">
        <f>=IF(ABS(E3-F3)&lt;0.0000001,"PASS","CHECK")</f>
      </c>
    </row>
    <row r="4">
      <c r="A4" t="s">
        <v>705</v>
      </c>
      <c r="B4" s="32" t="s">
        <v>706</v>
      </c>
      <c r="C4" s="205"/>
      <c r="D4" s="206"/>
      <c r="E4" s="207"/>
      <c r="F4" s="208"/>
      <c r="G4" s="204" t="n">
        <v>0</v>
      </c>
      <c r="H4" s="34" t="s">
        <v>711</v>
      </c>
    </row>
    <row r="5">
      <c r="A5" t="s">
        <v>707</v>
      </c>
      <c r="B5" s="32" t="s">
        <v>708</v>
      </c>
      <c r="C5" s="205"/>
      <c r="D5" s="206"/>
      <c r="E5" s="207"/>
      <c r="F5" s="208"/>
      <c r="G5" s="204" t="n">
        <v>0</v>
      </c>
      <c r="H5" s="34" t="str">
        <f>=IF(G5&lt;0.000001,"PASS","FAIL")</f>
      </c>
    </row>
    <row r="6">
      <c r="A6" t="s">
        <v>709</v>
      </c>
      <c r="B6" s="32" t="s">
        <v>710</v>
      </c>
      <c r="C6" s="205"/>
      <c r="D6" s="206"/>
      <c r="E6" s="207"/>
      <c r="F6" s="208"/>
      <c r="G6" s="204" t="n">
        <v>0</v>
      </c>
      <c r="H6" s="34" t="str">
        <f>=IF(G6=0,"PASS","FAIL")</f>
      </c>
    </row>
  </sheetData>
  <autoFilter ref="A1:H1"/>
  <conditionalFormatting sqref="H2:H6">
    <cfRule type="containsText" dxfId="0" priority="3" operator="containsText" text="PASS">
      <formula>NOT(ISERROR(SEARCH("PASS", H2)))</formula>
    </cfRule>
    <cfRule type="containsText" dxfId="1" priority="2" operator="containsText" text="FAIL">
      <formula>NOT(ISERROR(SEARCH("FAIL", H2)))</formula>
    </cfRule>
    <cfRule type="containsText" dxfId="2" priority="1" operator="containsText" text="CHECK">
      <formula>NOT(ISERROR(SEARCH("CHECK", H2)))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wrgar</dc:creator>
  <cp:lastModifiedBy>wrgar</cp:lastModifiedBy>
  <dcterms:created xsi:type="dcterms:W3CDTF">2026-08-29T23:40:41Z</dcterms:created>
</coreProperties>
</file>